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daveyrya\Documents\1) R2L\1) RSR\RSR library\"/>
    </mc:Choice>
  </mc:AlternateContent>
  <xr:revisionPtr revIDLastSave="0" documentId="13_ncr:1_{B1E9E291-A285-4468-90E1-66FF2CBBC3D1}" xr6:coauthVersionLast="47" xr6:coauthVersionMax="47" xr10:uidLastSave="{00000000-0000-0000-0000-000000000000}"/>
  <bookViews>
    <workbookView xWindow="5415" yWindow="4920" windowWidth="28800" windowHeight="15345" firstSheet="1" activeTab="1" xr2:uid="{00000000-000D-0000-FFFF-FFFF00000000}"/>
  </bookViews>
  <sheets>
    <sheet name="Cost and Area Metrics" sheetId="3" state="hidden" r:id="rId1"/>
    <sheet name="RSR Blueprint Attributes" sheetId="4" r:id="rId2"/>
    <sheet name="Sheet1" sheetId="5"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9" i="4" l="1"/>
  <c r="C65" i="4"/>
  <c r="D60" i="4"/>
  <c r="E60" i="4"/>
  <c r="F60" i="4"/>
  <c r="G60" i="4"/>
  <c r="H60" i="4"/>
  <c r="I60" i="4"/>
  <c r="J60" i="4"/>
  <c r="K60" i="4"/>
  <c r="C60" i="4" l="1"/>
  <c r="L33" i="4"/>
  <c r="K72" i="4"/>
  <c r="K83" i="4"/>
  <c r="K44" i="4"/>
  <c r="K45" i="4" l="1"/>
  <c r="K64" i="4"/>
  <c r="K65" i="4"/>
  <c r="D7" i="5"/>
  <c r="E7" i="5"/>
  <c r="F7" i="5"/>
  <c r="G7" i="5"/>
  <c r="H7" i="5"/>
  <c r="I7" i="5"/>
  <c r="J7" i="5"/>
  <c r="K7" i="5"/>
  <c r="C7" i="5"/>
  <c r="F6" i="5"/>
  <c r="D6" i="5"/>
  <c r="E6" i="5"/>
  <c r="G6" i="5"/>
  <c r="H6" i="5"/>
  <c r="I6" i="5"/>
  <c r="J6" i="5"/>
  <c r="K6" i="5"/>
  <c r="D5" i="5"/>
  <c r="E5" i="5"/>
  <c r="F5" i="5"/>
  <c r="G5" i="5"/>
  <c r="H5" i="5"/>
  <c r="I5" i="5"/>
  <c r="J5" i="5"/>
  <c r="K5" i="5"/>
  <c r="C6" i="5"/>
  <c r="C5" i="5"/>
  <c r="C4" i="5"/>
  <c r="D4" i="5"/>
  <c r="E4" i="5"/>
  <c r="F4" i="5"/>
  <c r="G4" i="5"/>
  <c r="H4" i="5"/>
  <c r="I4" i="5"/>
  <c r="J4" i="5"/>
  <c r="K4" i="5"/>
  <c r="D85" i="4" l="1"/>
  <c r="C45" i="4"/>
  <c r="D45" i="4"/>
  <c r="D66" i="4" s="1"/>
  <c r="E45" i="4"/>
  <c r="F45" i="4"/>
  <c r="G45" i="4"/>
  <c r="H45" i="4"/>
  <c r="I45" i="4"/>
  <c r="J45" i="4"/>
  <c r="B45" i="4"/>
  <c r="F112" i="4"/>
  <c r="F33" i="4" s="1"/>
  <c r="I112" i="4"/>
  <c r="I33" i="4" s="1"/>
  <c r="D112" i="4"/>
  <c r="D33" i="4" s="1"/>
  <c r="D58" i="4"/>
  <c r="D48" i="4" s="1"/>
  <c r="C112" i="4"/>
  <c r="C33" i="4" s="1"/>
  <c r="I44" i="4" l="1"/>
  <c r="K112" i="4" l="1"/>
  <c r="K33" i="4" s="1"/>
  <c r="J112" i="4"/>
  <c r="J33" i="4" s="1"/>
  <c r="G112" i="4" l="1"/>
  <c r="G33" i="4" s="1"/>
  <c r="H112" i="4"/>
  <c r="H33" i="4" s="1"/>
  <c r="E112" i="4"/>
  <c r="E33" i="4" s="1"/>
  <c r="B112" i="4"/>
  <c r="B33" i="4" s="1"/>
  <c r="D15" i="4"/>
  <c r="E15" i="4"/>
  <c r="F15" i="4"/>
  <c r="G15" i="4"/>
  <c r="H15" i="4"/>
  <c r="I15" i="4"/>
  <c r="J15" i="4"/>
  <c r="K15" i="4"/>
  <c r="E85" i="4"/>
  <c r="F85" i="4"/>
  <c r="G85" i="4"/>
  <c r="H85" i="4"/>
  <c r="I85" i="4"/>
  <c r="J85" i="4"/>
  <c r="K85" i="4"/>
  <c r="C85" i="4"/>
  <c r="C15" i="4" l="1"/>
  <c r="B15" i="4"/>
  <c r="C20" i="4" l="1"/>
  <c r="D20" i="4"/>
  <c r="E20" i="4"/>
  <c r="G20" i="4"/>
  <c r="H20" i="4"/>
  <c r="J20" i="4"/>
  <c r="K20" i="4"/>
  <c r="B20" i="4"/>
  <c r="B19" i="4"/>
  <c r="B18" i="4"/>
  <c r="B16" i="4"/>
  <c r="C68" i="4" l="1"/>
  <c r="D68" i="4"/>
  <c r="K57" i="4" l="1"/>
  <c r="K22" i="4" s="1"/>
  <c r="K50" i="4"/>
  <c r="K68" i="4" s="1"/>
  <c r="K63" i="4"/>
  <c r="B17" i="4"/>
  <c r="I50" i="4"/>
  <c r="I68" i="4" s="1"/>
  <c r="K67" i="4" l="1"/>
  <c r="K66" i="4"/>
  <c r="K84" i="4" s="1"/>
  <c r="K46" i="4"/>
  <c r="I57" i="4"/>
  <c r="I22" i="4" s="1"/>
  <c r="K91" i="4" l="1"/>
  <c r="K74" i="4"/>
  <c r="K58" i="4" s="1"/>
  <c r="K48" i="4" s="1"/>
  <c r="K73" i="4"/>
  <c r="K90" i="4"/>
  <c r="K16" i="4" s="1"/>
  <c r="I67" i="4"/>
  <c r="I66" i="4"/>
  <c r="I84" i="4" s="1"/>
  <c r="I63" i="4"/>
  <c r="I72" i="4" s="1"/>
  <c r="I65" i="4"/>
  <c r="I74" i="4" s="1"/>
  <c r="I58" i="4" s="1"/>
  <c r="I48" i="4" s="1"/>
  <c r="I64" i="4"/>
  <c r="K51" i="4"/>
  <c r="I46" i="4"/>
  <c r="I51" i="4" s="1"/>
  <c r="F50" i="4"/>
  <c r="F68" i="4" s="1"/>
  <c r="F57" i="4"/>
  <c r="F22" i="4" s="1"/>
  <c r="K62" i="4" l="1"/>
  <c r="K52" i="4"/>
  <c r="I91" i="4"/>
  <c r="I69" i="4"/>
  <c r="I73" i="4"/>
  <c r="K92" i="4"/>
  <c r="K78" i="4"/>
  <c r="K94" i="4"/>
  <c r="K96" i="4"/>
  <c r="F67" i="4"/>
  <c r="F66" i="4"/>
  <c r="F84" i="4" s="1"/>
  <c r="F63" i="4"/>
  <c r="F65" i="4"/>
  <c r="F64" i="4"/>
  <c r="I90" i="4"/>
  <c r="F44" i="4"/>
  <c r="F46" i="4" s="1"/>
  <c r="F51" i="4" s="1"/>
  <c r="K26" i="4"/>
  <c r="I16" i="4" l="1"/>
  <c r="K93" i="4"/>
  <c r="K86" i="4" s="1"/>
  <c r="K69" i="4"/>
  <c r="K71" i="4"/>
  <c r="K97" i="4"/>
  <c r="K88" i="4" s="1"/>
  <c r="K95" i="4"/>
  <c r="K87" i="4" s="1"/>
  <c r="K70" i="4"/>
  <c r="F91" i="4"/>
  <c r="F73" i="4"/>
  <c r="F69" i="4"/>
  <c r="I79" i="4"/>
  <c r="I96" i="4"/>
  <c r="I78" i="4"/>
  <c r="I92" i="4"/>
  <c r="F74" i="4"/>
  <c r="F58" i="4" s="1"/>
  <c r="I94" i="4"/>
  <c r="I83" i="4"/>
  <c r="F72" i="4"/>
  <c r="F90" i="4" s="1"/>
  <c r="I26" i="4"/>
  <c r="F26" i="4"/>
  <c r="F16" i="4" l="1"/>
  <c r="K19" i="4"/>
  <c r="K17" i="4"/>
  <c r="K23" i="4" s="1"/>
  <c r="K12" i="4" s="1"/>
  <c r="K18" i="4"/>
  <c r="F78" i="4"/>
  <c r="F92" i="4"/>
  <c r="F79" i="4"/>
  <c r="F96" i="4"/>
  <c r="F94" i="4"/>
  <c r="F83" i="4"/>
  <c r="D57" i="4"/>
  <c r="D22" i="4" s="1"/>
  <c r="K24" i="4" l="1"/>
  <c r="K13" i="4" s="1"/>
  <c r="K25" i="4"/>
  <c r="K14" i="4" s="1"/>
  <c r="D67" i="4"/>
  <c r="D84" i="4"/>
  <c r="D65" i="4"/>
  <c r="D63" i="4"/>
  <c r="D64" i="4"/>
  <c r="I62" i="4"/>
  <c r="I93" i="4" s="1"/>
  <c r="I52" i="4"/>
  <c r="F48" i="4"/>
  <c r="D44" i="4"/>
  <c r="D46" i="4" s="1"/>
  <c r="D51" i="4" s="1"/>
  <c r="K27" i="4" l="1"/>
  <c r="K11" i="4"/>
  <c r="I17" i="4"/>
  <c r="I86" i="4"/>
  <c r="D91" i="4"/>
  <c r="D69" i="4"/>
  <c r="I71" i="4"/>
  <c r="I70" i="4"/>
  <c r="I97" i="4"/>
  <c r="I95" i="4"/>
  <c r="D73" i="4"/>
  <c r="D94" i="4" s="1"/>
  <c r="F62" i="4"/>
  <c r="F93" i="4" s="1"/>
  <c r="F52" i="4"/>
  <c r="D72" i="4"/>
  <c r="D26" i="4"/>
  <c r="D90" i="4" l="1"/>
  <c r="D16" i="4" s="1"/>
  <c r="D92" i="4"/>
  <c r="D83" i="4"/>
  <c r="F86" i="4"/>
  <c r="F17" i="4"/>
  <c r="I87" i="4"/>
  <c r="I18" i="4"/>
  <c r="I88" i="4"/>
  <c r="I19" i="4"/>
  <c r="D78" i="4"/>
  <c r="F70" i="4"/>
  <c r="F71" i="4"/>
  <c r="F97" i="4"/>
  <c r="F19" i="4" s="1"/>
  <c r="F95" i="4"/>
  <c r="D96" i="4"/>
  <c r="D79" i="4"/>
  <c r="H50" i="4"/>
  <c r="H68" i="4" s="1"/>
  <c r="F87" i="4" l="1"/>
  <c r="F18" i="4"/>
  <c r="F88" i="4"/>
  <c r="G50" i="4"/>
  <c r="G68" i="4" s="1"/>
  <c r="J50" i="4"/>
  <c r="J68" i="4" s="1"/>
  <c r="D62" i="4" l="1"/>
  <c r="D93" i="4" s="1"/>
  <c r="D52" i="4"/>
  <c r="E50" i="4"/>
  <c r="E68" i="4" s="1"/>
  <c r="D17" i="4" l="1"/>
  <c r="D23" i="4" s="1"/>
  <c r="D86" i="4"/>
  <c r="D97" i="4"/>
  <c r="D71" i="4"/>
  <c r="D70" i="4"/>
  <c r="D95" i="4"/>
  <c r="H57" i="4"/>
  <c r="H22" i="4" s="1"/>
  <c r="E57" i="4"/>
  <c r="E22" i="4" s="1"/>
  <c r="B57" i="4"/>
  <c r="B22" i="4" s="1"/>
  <c r="J57" i="4"/>
  <c r="J22" i="4" s="1"/>
  <c r="G57" i="4"/>
  <c r="G22" i="4" s="1"/>
  <c r="C57" i="4"/>
  <c r="B44" i="4"/>
  <c r="B46" i="4" s="1"/>
  <c r="B28" i="4" s="1"/>
  <c r="E43" i="3"/>
  <c r="D43" i="3"/>
  <c r="C43" i="3"/>
  <c r="E42" i="3"/>
  <c r="D42" i="3"/>
  <c r="C42" i="3"/>
  <c r="E40" i="3"/>
  <c r="D40" i="3"/>
  <c r="C40" i="3"/>
  <c r="E36" i="3"/>
  <c r="D36" i="3"/>
  <c r="C36" i="3"/>
  <c r="E35" i="3"/>
  <c r="D35" i="3"/>
  <c r="C35" i="3"/>
  <c r="E33" i="3"/>
  <c r="D33" i="3"/>
  <c r="C33" i="3"/>
  <c r="E29" i="3"/>
  <c r="D29" i="3"/>
  <c r="C29" i="3"/>
  <c r="E28" i="3"/>
  <c r="D28" i="3"/>
  <c r="C28" i="3"/>
  <c r="E26" i="3"/>
  <c r="D26" i="3"/>
  <c r="C26" i="3"/>
  <c r="E22" i="3"/>
  <c r="D22" i="3"/>
  <c r="C22" i="3"/>
  <c r="E21" i="3"/>
  <c r="D21" i="3"/>
  <c r="C21" i="3"/>
  <c r="E19" i="3"/>
  <c r="D19" i="3"/>
  <c r="C19" i="3"/>
  <c r="E15" i="3"/>
  <c r="D15" i="3"/>
  <c r="C15" i="3"/>
  <c r="E14" i="3"/>
  <c r="D14" i="3"/>
  <c r="C14" i="3"/>
  <c r="E12" i="3"/>
  <c r="D12" i="3"/>
  <c r="C12" i="3"/>
  <c r="E8" i="3"/>
  <c r="D8" i="3"/>
  <c r="C8" i="3"/>
  <c r="E7" i="3"/>
  <c r="D7" i="3"/>
  <c r="C7" i="3"/>
  <c r="E5" i="3"/>
  <c r="D5" i="3"/>
  <c r="C5" i="3"/>
  <c r="B24" i="4" l="1"/>
  <c r="B13" i="4" s="1"/>
  <c r="B25" i="4"/>
  <c r="B14" i="4" s="1"/>
  <c r="B11" i="4" s="1"/>
  <c r="B23" i="4"/>
  <c r="B12" i="4" s="1"/>
  <c r="D18" i="4"/>
  <c r="D87" i="4"/>
  <c r="D88" i="4"/>
  <c r="D19" i="4"/>
  <c r="D12" i="4"/>
  <c r="C22" i="4"/>
  <c r="E67" i="4"/>
  <c r="E66" i="4"/>
  <c r="E84" i="4" s="1"/>
  <c r="E65" i="4"/>
  <c r="E63" i="4"/>
  <c r="E64" i="4"/>
  <c r="J67" i="4"/>
  <c r="J66" i="4"/>
  <c r="J84" i="4" s="1"/>
  <c r="J63" i="4"/>
  <c r="J65" i="4"/>
  <c r="J64" i="4"/>
  <c r="G67" i="4"/>
  <c r="G66" i="4"/>
  <c r="G84" i="4" s="1"/>
  <c r="G64" i="4"/>
  <c r="G65" i="4"/>
  <c r="G63" i="4"/>
  <c r="H67" i="4"/>
  <c r="H66" i="4"/>
  <c r="H84" i="4" s="1"/>
  <c r="H63" i="4"/>
  <c r="H64" i="4"/>
  <c r="H65" i="4"/>
  <c r="C67" i="4"/>
  <c r="C66" i="4"/>
  <c r="C84" i="4" s="1"/>
  <c r="C64" i="4"/>
  <c r="C63" i="4"/>
  <c r="C44" i="4"/>
  <c r="C46" i="4" s="1"/>
  <c r="G44" i="4"/>
  <c r="G46" i="4" s="1"/>
  <c r="J44" i="4"/>
  <c r="J46" i="4" s="1"/>
  <c r="H44" i="4"/>
  <c r="H46" i="4" s="1"/>
  <c r="E44" i="4"/>
  <c r="E46" i="4" s="1"/>
  <c r="E51" i="4" s="1"/>
  <c r="B49" i="4"/>
  <c r="B50" i="4"/>
  <c r="B29" i="4"/>
  <c r="C51" i="4" l="1"/>
  <c r="C31" i="4" s="1"/>
  <c r="C29" i="4"/>
  <c r="C30" i="4"/>
  <c r="C26" i="4"/>
  <c r="D25" i="4"/>
  <c r="D14" i="4" s="1"/>
  <c r="D24" i="4"/>
  <c r="D13" i="4" s="1"/>
  <c r="J91" i="4"/>
  <c r="C69" i="4"/>
  <c r="C91" i="4"/>
  <c r="G91" i="4"/>
  <c r="E91" i="4"/>
  <c r="H91" i="4"/>
  <c r="E73" i="4"/>
  <c r="E69" i="4"/>
  <c r="H74" i="4"/>
  <c r="H58" i="4" s="1"/>
  <c r="H73" i="4"/>
  <c r="H69" i="4"/>
  <c r="G69" i="4"/>
  <c r="G74" i="4"/>
  <c r="G58" i="4" s="1"/>
  <c r="G73" i="4"/>
  <c r="J69" i="4"/>
  <c r="E74" i="4"/>
  <c r="E58" i="4" s="1"/>
  <c r="C73" i="4"/>
  <c r="C94" i="4" s="1"/>
  <c r="C74" i="4"/>
  <c r="C58" i="4" s="1"/>
  <c r="C48" i="4" s="1"/>
  <c r="C52" i="4" s="1"/>
  <c r="C32" i="4" s="1"/>
  <c r="J73" i="4"/>
  <c r="J74" i="4"/>
  <c r="J58" i="4" s="1"/>
  <c r="J48" i="4" s="1"/>
  <c r="G72" i="4"/>
  <c r="G90" i="4" s="1"/>
  <c r="C72" i="4"/>
  <c r="C83" i="4" s="1"/>
  <c r="H72" i="4"/>
  <c r="H90" i="4" s="1"/>
  <c r="J72" i="4"/>
  <c r="J90" i="4" s="1"/>
  <c r="J16" i="4" s="1"/>
  <c r="B51" i="4"/>
  <c r="B68" i="4"/>
  <c r="E72" i="4"/>
  <c r="H51" i="4"/>
  <c r="E29" i="4"/>
  <c r="C28" i="4"/>
  <c r="J51" i="4"/>
  <c r="E28" i="4"/>
  <c r="G51" i="4"/>
  <c r="E31" i="4"/>
  <c r="E26" i="4"/>
  <c r="E30" i="4"/>
  <c r="B27" i="4" l="1"/>
  <c r="B31" i="4"/>
  <c r="E90" i="4"/>
  <c r="E16" i="4" s="1"/>
  <c r="E92" i="4"/>
  <c r="C90" i="4"/>
  <c r="D27" i="4"/>
  <c r="D11" i="4"/>
  <c r="H16" i="4"/>
  <c r="G16" i="4"/>
  <c r="C16" i="4"/>
  <c r="J62" i="4"/>
  <c r="J52" i="4"/>
  <c r="G79" i="4"/>
  <c r="G96" i="4"/>
  <c r="H79" i="4"/>
  <c r="H96" i="4"/>
  <c r="G78" i="4"/>
  <c r="G92" i="4"/>
  <c r="J79" i="4"/>
  <c r="J96" i="4"/>
  <c r="C79" i="4"/>
  <c r="C96" i="4"/>
  <c r="E96" i="4"/>
  <c r="E79" i="4"/>
  <c r="E78" i="4"/>
  <c r="H78" i="4"/>
  <c r="H92" i="4"/>
  <c r="G94" i="4"/>
  <c r="J94" i="4"/>
  <c r="E94" i="4"/>
  <c r="C78" i="4"/>
  <c r="C92" i="4"/>
  <c r="H94" i="4"/>
  <c r="J92" i="4"/>
  <c r="J78" i="4"/>
  <c r="B26" i="4"/>
  <c r="E83" i="4"/>
  <c r="H83" i="4"/>
  <c r="J83" i="4"/>
  <c r="G83" i="4"/>
  <c r="B30" i="4"/>
  <c r="H26" i="4"/>
  <c r="J26" i="4"/>
  <c r="G26" i="4"/>
  <c r="G30" i="4"/>
  <c r="G31" i="4"/>
  <c r="G28" i="4"/>
  <c r="J70" i="4" l="1"/>
  <c r="J71" i="4"/>
  <c r="J95" i="4"/>
  <c r="J87" i="4" s="1"/>
  <c r="J97" i="4"/>
  <c r="J88" i="4" s="1"/>
  <c r="J93" i="4"/>
  <c r="J86" i="4" s="1"/>
  <c r="G48" i="4"/>
  <c r="H48" i="4"/>
  <c r="E48" i="4"/>
  <c r="E62" i="4" s="1"/>
  <c r="G29" i="4"/>
  <c r="H28" i="4"/>
  <c r="H30" i="4"/>
  <c r="H31" i="4"/>
  <c r="J17" i="4" l="1"/>
  <c r="J19" i="4"/>
  <c r="J25" i="4" s="1"/>
  <c r="J14" i="4" s="1"/>
  <c r="J18" i="4"/>
  <c r="E93" i="4"/>
  <c r="E52" i="4"/>
  <c r="E32" i="4" s="1"/>
  <c r="H62" i="4"/>
  <c r="H93" i="4" s="1"/>
  <c r="H52" i="4"/>
  <c r="H32" i="4" s="1"/>
  <c r="G62" i="4"/>
  <c r="G93" i="4" s="1"/>
  <c r="G52" i="4"/>
  <c r="G32" i="4" s="1"/>
  <c r="C62" i="4"/>
  <c r="C93" i="4" s="1"/>
  <c r="H29" i="4"/>
  <c r="J30" i="4"/>
  <c r="J28" i="4"/>
  <c r="J31" i="4" l="1"/>
  <c r="J32" i="4"/>
  <c r="J27" i="4"/>
  <c r="J11" i="4"/>
  <c r="J24" i="4"/>
  <c r="J13" i="4" s="1"/>
  <c r="J23" i="4"/>
  <c r="J12" i="4" s="1"/>
  <c r="E17" i="4"/>
  <c r="E86" i="4"/>
  <c r="G86" i="4"/>
  <c r="G17" i="4"/>
  <c r="H86" i="4"/>
  <c r="H17" i="4"/>
  <c r="C86" i="4"/>
  <c r="C17" i="4"/>
  <c r="E97" i="4"/>
  <c r="E19" i="4" s="1"/>
  <c r="E95" i="4"/>
  <c r="E70" i="4"/>
  <c r="E71" i="4"/>
  <c r="C70" i="4"/>
  <c r="C97" i="4"/>
  <c r="C19" i="4" s="1"/>
  <c r="C71" i="4"/>
  <c r="C95" i="4"/>
  <c r="G71" i="4"/>
  <c r="G97" i="4"/>
  <c r="G95" i="4"/>
  <c r="G70" i="4"/>
  <c r="H97" i="4"/>
  <c r="H70" i="4"/>
  <c r="H95" i="4"/>
  <c r="H71" i="4"/>
  <c r="J29" i="4"/>
  <c r="K30" i="4"/>
  <c r="K28" i="4"/>
  <c r="K31" i="4" l="1"/>
  <c r="K32" i="4"/>
  <c r="G87" i="4"/>
  <c r="G18" i="4"/>
  <c r="H23" i="4"/>
  <c r="H12" i="4" s="1"/>
  <c r="E18" i="4"/>
  <c r="E87" i="4"/>
  <c r="G19" i="4"/>
  <c r="G88" i="4"/>
  <c r="H87" i="4"/>
  <c r="H18" i="4"/>
  <c r="H88" i="4"/>
  <c r="H19" i="4"/>
  <c r="E88" i="4"/>
  <c r="G23" i="4"/>
  <c r="G12" i="4" s="1"/>
  <c r="E23" i="4"/>
  <c r="E12" i="4" s="1"/>
  <c r="C87" i="4"/>
  <c r="C18" i="4"/>
  <c r="C88" i="4"/>
  <c r="C23" i="4"/>
  <c r="C12" i="4" s="1"/>
  <c r="K29" i="4"/>
  <c r="D30" i="4"/>
  <c r="D28" i="4"/>
  <c r="D31" i="4" l="1"/>
  <c r="D32" i="4"/>
  <c r="E24" i="4"/>
  <c r="E13" i="4" s="1"/>
  <c r="G24" i="4"/>
  <c r="G13" i="4" s="1"/>
  <c r="E25" i="4"/>
  <c r="H25" i="4"/>
  <c r="H14" i="4" s="1"/>
  <c r="H24" i="4"/>
  <c r="H13" i="4" s="1"/>
  <c r="G25" i="4"/>
  <c r="G14" i="4" s="1"/>
  <c r="C25" i="4"/>
  <c r="C14" i="4" s="1"/>
  <c r="C24" i="4"/>
  <c r="C13" i="4" s="1"/>
  <c r="D29" i="4"/>
  <c r="G27" i="4" l="1"/>
  <c r="G11" i="4"/>
  <c r="H27" i="4"/>
  <c r="H11" i="4"/>
  <c r="E14" i="4"/>
  <c r="E11" i="4" s="1"/>
  <c r="C27" i="4"/>
  <c r="C11" i="4"/>
  <c r="F30" i="4"/>
  <c r="F28" i="4"/>
  <c r="F20" i="4"/>
  <c r="F23" i="4" s="1"/>
  <c r="F29" i="4" l="1"/>
  <c r="F32" i="4"/>
  <c r="E27" i="4"/>
  <c r="F24" i="4"/>
  <c r="F13" i="4" s="1"/>
  <c r="F25" i="4"/>
  <c r="F14" i="4" s="1"/>
  <c r="F12" i="4"/>
  <c r="F31" i="4"/>
  <c r="I28" i="4"/>
  <c r="I30" i="4"/>
  <c r="I20" i="4"/>
  <c r="I23" i="4" s="1"/>
  <c r="I29" i="4" l="1"/>
  <c r="I32" i="4"/>
  <c r="F27" i="4"/>
  <c r="F11" i="4"/>
  <c r="I12" i="4"/>
  <c r="I25" i="4"/>
  <c r="I14" i="4" s="1"/>
  <c r="I31" i="4"/>
  <c r="I24" i="4"/>
  <c r="I13" i="4" s="1"/>
  <c r="I27" i="4" l="1"/>
  <c r="I11" i="4"/>
</calcChain>
</file>

<file path=xl/sharedStrings.xml><?xml version="1.0" encoding="utf-8"?>
<sst xmlns="http://schemas.openxmlformats.org/spreadsheetml/2006/main" count="257" uniqueCount="179">
  <si>
    <t>Delivery Station Type</t>
  </si>
  <si>
    <t>1-Way, 1-Finger</t>
  </si>
  <si>
    <t>2-Way, 3-Finger</t>
  </si>
  <si>
    <t>Design Type</t>
  </si>
  <si>
    <t>Pick Cart Staging Location</t>
  </si>
  <si>
    <t>Inside</t>
  </si>
  <si>
    <t>Loading Type</t>
  </si>
  <si>
    <t>Single-Side, Outside</t>
  </si>
  <si>
    <t>Office Block (sqft) (total square footage includes the main breakroom area)</t>
  </si>
  <si>
    <t>Main Breakroom (sqft)</t>
  </si>
  <si>
    <t>Total Canopy Size (sqft)</t>
  </si>
  <si>
    <t>Flow Per Hour (FPH)</t>
  </si>
  <si>
    <t>Design Labor Ratio (DLR) for sizing max HC per shift</t>
  </si>
  <si>
    <t>Total Sort Zones (SZ)</t>
  </si>
  <si>
    <t>C0 Sort Span (hrs), Sortation</t>
  </si>
  <si>
    <t># of Dock Doors Required- Inbound (FPH / 1,600 unload rate per door)</t>
  </si>
  <si>
    <t># of Dock Doors Required - Go Cart Return</t>
  </si>
  <si>
    <t>Total Required Dock Doors (# of Inbound + Go Cart Return + Pallet Removal)</t>
  </si>
  <si>
    <t>Single Cycle shipments per route (SPR)</t>
  </si>
  <si>
    <t xml:space="preserve">Total required 9' x 18' stalls (incl. Associate, Manager, DSP Manager, Guest, &amp; Van Driver personal) </t>
  </si>
  <si>
    <t>Total Off Peak required 11’ x 24’ stalls (incl. Delivery Vans, Van Driver personal, 5% Van Buffer, &amp; Training Stalls)</t>
  </si>
  <si>
    <t>Sort Associate Peak Shift Headcount (PSHC)</t>
  </si>
  <si>
    <t>Remote Breakroom Seat count (15% of PSHC)</t>
  </si>
  <si>
    <t>Driver Training Room seat count</t>
  </si>
  <si>
    <t>No. of Multi-Faith Suites</t>
  </si>
  <si>
    <t>No. of Wellness Centers</t>
  </si>
  <si>
    <t>No. of Lactation Rooms (previously Mother's Room)</t>
  </si>
  <si>
    <t>No. of Enclosed Offices</t>
  </si>
  <si>
    <t>No. of Warm Welcome Rooms</t>
  </si>
  <si>
    <t>AMZL BTS Template Metrics</t>
  </si>
  <si>
    <t>1F-SS GEN 3.0 V6</t>
  </si>
  <si>
    <t>1F-SS GEN 3.1 v2 - IS</t>
  </si>
  <si>
    <t>1F-SS GEN 3.1 v2 - OS</t>
  </si>
  <si>
    <r>
      <t>Gross Building Area</t>
    </r>
    <r>
      <rPr>
        <b/>
        <vertAlign val="superscript"/>
        <sz val="11"/>
        <color theme="1"/>
        <rFont val="Calibri"/>
        <family val="2"/>
        <scheme val="minor"/>
      </rPr>
      <t>1</t>
    </r>
  </si>
  <si>
    <r>
      <t xml:space="preserve">Total Construction ROM Cost ($Mil) </t>
    </r>
    <r>
      <rPr>
        <b/>
        <vertAlign val="superscript"/>
        <sz val="11"/>
        <color theme="1"/>
        <rFont val="Calibri"/>
        <family val="2"/>
        <scheme val="minor"/>
      </rPr>
      <t>2</t>
    </r>
  </si>
  <si>
    <t>$ / Bldg sq. ft.</t>
  </si>
  <si>
    <t>Total Peak Day Capacity</t>
  </si>
  <si>
    <t>Pkg / Bldg sq. ft.</t>
  </si>
  <si>
    <t>CPIC (construction capex only)</t>
  </si>
  <si>
    <t>2F-SS GEN 3.0 V6</t>
  </si>
  <si>
    <t>2F-SS GEN 3.1 v2 - IS</t>
  </si>
  <si>
    <t>2F-SS GEN 3.1 v2 - OS</t>
  </si>
  <si>
    <t>3F-SS Gen 3.0 V6</t>
  </si>
  <si>
    <t>3F-SS GEN 3.1 v2 - IS</t>
  </si>
  <si>
    <t>3F-SS GEN 3.1 v2 - OS</t>
  </si>
  <si>
    <t>4F-SS Gen 3.0 V6</t>
  </si>
  <si>
    <t>4F-SS GEN 3.1 v2 - IS</t>
  </si>
  <si>
    <t>4F-SS GEN 3.1 v2 - OS</t>
  </si>
  <si>
    <t>4F-DS Gen 3.0 V6</t>
  </si>
  <si>
    <t>4F-DS GEN 3.1 v2 - IS</t>
  </si>
  <si>
    <t>4F-DS GEN 3.1 v2 - OS</t>
  </si>
  <si>
    <t>6F-DS Gen 3.0 V6</t>
  </si>
  <si>
    <t>6F-DS GEN 3.1 v2 - IS</t>
  </si>
  <si>
    <r>
      <rPr>
        <vertAlign val="superscript"/>
        <sz val="10"/>
        <color theme="1"/>
        <rFont val="Calibri"/>
        <family val="2"/>
        <scheme val="minor"/>
      </rPr>
      <t>1</t>
    </r>
    <r>
      <rPr>
        <sz val="10"/>
        <color theme="1"/>
        <rFont val="Calibri"/>
        <family val="2"/>
        <scheme val="minor"/>
      </rPr>
      <t xml:space="preserve"> Gross Building Area includes Warehouse Floor, Office Block, Breakrooms, Restrooms; excludes Canopy area</t>
    </r>
  </si>
  <si>
    <r>
      <rPr>
        <vertAlign val="superscript"/>
        <sz val="10"/>
        <color theme="1"/>
        <rFont val="Calibri"/>
        <family val="2"/>
        <scheme val="minor"/>
      </rPr>
      <t>2</t>
    </r>
    <r>
      <rPr>
        <sz val="10"/>
        <color theme="1"/>
        <rFont val="Calibri"/>
        <family val="2"/>
        <scheme val="minor"/>
      </rPr>
      <t xml:space="preserve"> Total Construction Cost includes Building, Canopy, Site Work, Exterior Amenities, EV-ready Infrastructure</t>
    </r>
  </si>
  <si>
    <t>Notes</t>
  </si>
  <si>
    <t>C2 Sort Span (hrs), Sortation</t>
  </si>
  <si>
    <t>RSR, INSIDE STAGING, OUTSIDE LOADING</t>
  </si>
  <si>
    <t>2-Way, 2 Finger</t>
  </si>
  <si>
    <t>CDS</t>
  </si>
  <si>
    <t>DS Mini</t>
  </si>
  <si>
    <t>33k</t>
  </si>
  <si>
    <t>57k</t>
  </si>
  <si>
    <t>C2 Mech Capacity (based on C2 Sort Span)</t>
  </si>
  <si>
    <t>FLEX SPR</t>
  </si>
  <si>
    <t>Main Breakroom Seat count (50% of PSHC)</t>
  </si>
  <si>
    <t>RSR+ Wearhouse (sqft)</t>
  </si>
  <si>
    <t># of Dock Doors Required - RSR+</t>
  </si>
  <si>
    <t>48k</t>
  </si>
  <si>
    <t>C0 Shipments per Route</t>
  </si>
  <si>
    <t>Total Peak Daily Mech Capacity (C1+C2)</t>
  </si>
  <si>
    <t>77k</t>
  </si>
  <si>
    <t>Remote Restroom (sqft)</t>
  </si>
  <si>
    <t>Total Peak Daily Mech Capacity (C1+C0)</t>
  </si>
  <si>
    <t xml:space="preserve">C0 DSP Routs </t>
  </si>
  <si>
    <t>C2 Flex Routs</t>
  </si>
  <si>
    <t>Blueprint</t>
  </si>
  <si>
    <t>10k</t>
  </si>
  <si>
    <t>RSR DS Station ADV</t>
  </si>
  <si>
    <t>20k</t>
  </si>
  <si>
    <t># of Dock Doors Required - Heavy Bulky</t>
  </si>
  <si>
    <t>Associate Parking Acreage</t>
  </si>
  <si>
    <t xml:space="preserve">DSP Parking Acreage (88/12 Volume Split C1+C2) </t>
  </si>
  <si>
    <t>Truck court acreage</t>
  </si>
  <si>
    <t xml:space="preserve">Miscellaneous Road and Storm water management </t>
  </si>
  <si>
    <t>Building Acreage (includes canopy)</t>
  </si>
  <si>
    <t>CAP EX</t>
  </si>
  <si>
    <t>Station Code</t>
  </si>
  <si>
    <t>WUT9</t>
  </si>
  <si>
    <t>WNM5</t>
  </si>
  <si>
    <t>23.2m</t>
  </si>
  <si>
    <t>Construction ($/sqft)</t>
  </si>
  <si>
    <t>WMN7</t>
  </si>
  <si>
    <t>8.6m</t>
  </si>
  <si>
    <t>30.2m</t>
  </si>
  <si>
    <t>WMO6</t>
  </si>
  <si>
    <t>WFL6</t>
  </si>
  <si>
    <t>WLB1</t>
  </si>
  <si>
    <t>31.4m</t>
  </si>
  <si>
    <t>28.8m</t>
  </si>
  <si>
    <t>39.4m</t>
  </si>
  <si>
    <t>108k</t>
  </si>
  <si>
    <t>2-Way, 4-Finger</t>
  </si>
  <si>
    <t>WDS1</t>
  </si>
  <si>
    <t>46m</t>
  </si>
  <si>
    <t>C1 DSP Routs 88%</t>
  </si>
  <si>
    <t>C1 Flex Routs 12%</t>
  </si>
  <si>
    <t>C1 DSP Routs 100%</t>
  </si>
  <si>
    <t>Concept</t>
  </si>
  <si>
    <t xml:space="preserve">100% DSP Parking Acreage (Volume Split C1+C0) </t>
  </si>
  <si>
    <t xml:space="preserve">88/12% DSP Parking Acreage (Volume Split C1+C0) </t>
  </si>
  <si>
    <t>95/5% C0 Peaking Lever</t>
  </si>
  <si>
    <t xml:space="preserve">95/5% DSP Parking Acreage (Volume Split C1+C0) </t>
  </si>
  <si>
    <t>100% C0 Peaking Lever</t>
  </si>
  <si>
    <t>Package / Acre (Total Peak Daily Mech Capacity / Template Ideal Plot Acreage)(Historic)</t>
  </si>
  <si>
    <t>Package / Acre (Total Peak Daily Mech Capacity / Template Ideal Plot Acreage)(100% DSP)</t>
  </si>
  <si>
    <t>Total Enclosed Building Size (sqft) [Main Warehouse + Office Block +  Remote Breakroom - RSR+]</t>
  </si>
  <si>
    <t>C1 DSP Routs 95%</t>
  </si>
  <si>
    <t>C1 Flex Routs 5%</t>
  </si>
  <si>
    <t>Total Routes(C1+C0)(Inclusive of DSP and FLEX 95%/5%)</t>
  </si>
  <si>
    <t>Total Routes(C1+C0)(Inclusive of Flex and DSP 100%)</t>
  </si>
  <si>
    <t>Number of Launchpads(#Waves, 6 DSP 3 Flex 88%/12%)</t>
  </si>
  <si>
    <t>Number of Launchpads(#Waves, 6 DSP 3 Flex 95%/5%)</t>
  </si>
  <si>
    <t>Number of Launchpads(#Waves 6 DSP 100%)</t>
  </si>
  <si>
    <t>Estimated Dispatch Hours (88%/12%)</t>
  </si>
  <si>
    <t>Estimated Dispatch Hours (95%/5%)</t>
  </si>
  <si>
    <t>Estimated Dispatch Hours (100%)</t>
  </si>
  <si>
    <t>Van Driver Personal Stalls DSP Total Peak required 11’ x 24’ stalls ( C1&amp;C0 )</t>
  </si>
  <si>
    <t>DSP Total Peak required 11’ x 24’ stalls ( C1&amp;C0 )</t>
  </si>
  <si>
    <t>DSP Total Peak required 11’ x 24’ stalls ( C1&amp;C0 100 )</t>
  </si>
  <si>
    <t>Number of pick cart staging routes (3 waves, 4 carts per route)(CDS uses SSD CARTs)</t>
  </si>
  <si>
    <t>C1 Grid Capacity (sort zones * packages per zone)</t>
  </si>
  <si>
    <t>C1 Single Cycle Mech Capacity (FPH * SC sort span)</t>
  </si>
  <si>
    <t>C1 Single Cycle Sort Span hrs (Template Grid Capacity / Design FPH)</t>
  </si>
  <si>
    <t>Total DSP Loading stalls (Number of Launchpads x Loading Stalls per Launchpad 95/5%, 6 waves )</t>
  </si>
  <si>
    <t>Total DSP Loading stalls (Number of Launchpads x Loading Stalls per Launchpad 88/12%, 6 waves )</t>
  </si>
  <si>
    <t>Total DSP Loading stalls (Number of Launchpads x Loading Stalls per Launchpad 100% 6 waves )</t>
  </si>
  <si>
    <t>Single DSP Launchpad size (88%/12%)</t>
  </si>
  <si>
    <t>Single DSP Launchpad size (100%)</t>
  </si>
  <si>
    <t>Van Driver Personal Stalls DSP Total Peak required 11’ x 24’ stalls ( C1&amp;C2 )</t>
  </si>
  <si>
    <t>DSP Total Peak required 11’ x 24’ stalls ( C1&amp;C2 % )</t>
  </si>
  <si>
    <t>Dispatch (Canopy, Queuing, msc. Road)</t>
  </si>
  <si>
    <t>Total Routes(C1+C0)(Inclusive of DSP and FLEX 88%/12%)</t>
  </si>
  <si>
    <t>Total Capacity of DSP parking (88%/12%)</t>
  </si>
  <si>
    <t>Total Capacity of DSP parking (95%/5%)</t>
  </si>
  <si>
    <t>Total Capacity of DSP parking (100%)</t>
  </si>
  <si>
    <t>Sort Grid (Sqft)</t>
  </si>
  <si>
    <t>Staging (Sqft)</t>
  </si>
  <si>
    <t>DSP Mods (Sqft)</t>
  </si>
  <si>
    <t>Support mods (Sqft)</t>
  </si>
  <si>
    <t>Induct (sqft)</t>
  </si>
  <si>
    <t>XL Support (SQFT)</t>
  </si>
  <si>
    <t xml:space="preserve">88/12% C0 Peaking Lever </t>
  </si>
  <si>
    <t>Paved Plot Acreage (C1+C0 88/12% DSP)</t>
  </si>
  <si>
    <t>Paved Plot Acreage (C1+C0 95/5% DSP)</t>
  </si>
  <si>
    <t>Paved Plot Acreage (C1+C0 100% DSP)</t>
  </si>
  <si>
    <t>64k</t>
  </si>
  <si>
    <t>ADTA Sqft</t>
  </si>
  <si>
    <t>12 Bag Pick Cart</t>
  </si>
  <si>
    <t>STAG (Sqft)</t>
  </si>
  <si>
    <t>PPZ</t>
  </si>
  <si>
    <t>STAG Carts</t>
  </si>
  <si>
    <t>Total Flex Loading Stalls Needed (12%)</t>
  </si>
  <si>
    <t>Total Flex Loading Stalls  Avaiable (5%)</t>
  </si>
  <si>
    <t>Core Warehouse (sqft)</t>
  </si>
  <si>
    <t>34k</t>
  </si>
  <si>
    <t>RSR Station Plot Acreage (Historic)</t>
  </si>
  <si>
    <t>Ideal Green Field Acreage</t>
  </si>
  <si>
    <t>Single Cycle Capacity / Warehouse Sort Floor Area (minus office Block/ Remote rest room)</t>
  </si>
  <si>
    <t>Total Peak Capacity / Warehouse Sort Floor Area (C1+C0)</t>
  </si>
  <si>
    <r>
      <t>Single Cycle Capacity / Total Enclosed Building Area</t>
    </r>
    <r>
      <rPr>
        <b/>
        <sz val="10"/>
        <color rgb="FF000000"/>
        <rFont val="Calibri"/>
        <family val="2"/>
        <scheme val="minor"/>
      </rPr>
      <t>(Minus RSR+)</t>
    </r>
  </si>
  <si>
    <r>
      <t xml:space="preserve">Total Peak Capacity / Total Enclosed Building Area </t>
    </r>
    <r>
      <rPr>
        <b/>
        <sz val="10"/>
        <color rgb="FF000000"/>
        <rFont val="Calibri"/>
        <family val="2"/>
        <scheme val="minor"/>
      </rPr>
      <t>(Minus RSR+)</t>
    </r>
  </si>
  <si>
    <r>
      <t xml:space="preserve">Total Peak Capacity / Warehouse Sort Floor Area </t>
    </r>
    <r>
      <rPr>
        <b/>
        <sz val="10"/>
        <color rgb="FF000000"/>
        <rFont val="Calibri"/>
        <family val="2"/>
        <scheme val="minor"/>
      </rPr>
      <t>(C1+C2)</t>
    </r>
  </si>
  <si>
    <t>C0 Capacity (Based on Staging Lanes)</t>
  </si>
  <si>
    <t>Launch Pad Capacity (LP x 6 waves x SPR)</t>
  </si>
  <si>
    <t xml:space="preserve">Ideal Green Field acreage is based on clean slate Green field scenario. Complicated parcel boundries and set backs, terrain, road access, wetlands and water ways should be factored into site selection. </t>
  </si>
  <si>
    <t>Van Driver Personal Stalls DSP Total Peak required 11’ x 24’ stalls (2x loading Stalls)</t>
  </si>
  <si>
    <t>Van Driver Personal Stalls DSP Total Peak required 11’ x 24’ stalls ( 2x loading stalls )</t>
  </si>
  <si>
    <t>60k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</si>
</sst>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00"/>
    <numFmt numFmtId="166" formatCode="_(* #,##0_);_(* \(#,##0\);_(* &quot;-&quot;??_);_(@_)"/>
    <numFmt numFmtId="167" formatCode="_(&quot;$&quot;* #,##0.0_);_(&quot;$&quot;* \(#,##0.0\);_(&quot;$&quot;* &quot;-&quot;??_);_(@_)"/>
    <numFmt numFmtId="168" formatCode="_(&quot;$&quot;* #,##0_);_(&quot;$&quot;* \(#,##0\);_(&quot;$&quot;* &quot;-&quot;??_);_(@_)"/>
    <numFmt numFmtId="169" formatCode="_(* #,##0.0_);_(* \(#,##0.0\);_(* &quot;-&quot;??_);_(@_)"/>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indexed="8"/>
      <name val="Calibri Light"/>
      <family val="2"/>
      <scheme val="major"/>
    </font>
    <font>
      <b/>
      <vertAlign val="superscript"/>
      <sz val="11"/>
      <color theme="1"/>
      <name val="Calibri"/>
      <family val="2"/>
      <scheme val="minor"/>
    </font>
    <font>
      <b/>
      <sz val="10"/>
      <color theme="0"/>
      <name val="Calibri"/>
      <family val="2"/>
      <scheme val="minor"/>
    </font>
    <font>
      <sz val="10"/>
      <color theme="1"/>
      <name val="Calibri"/>
      <family val="2"/>
      <scheme val="minor"/>
    </font>
    <font>
      <vertAlign val="superscript"/>
      <sz val="10"/>
      <color theme="1"/>
      <name val="Calibri"/>
      <family val="2"/>
      <scheme val="minor"/>
    </font>
    <font>
      <b/>
      <sz val="8"/>
      <color rgb="FF0000FF"/>
      <name val="Calibri"/>
      <family val="2"/>
      <scheme val="minor"/>
    </font>
    <font>
      <sz val="11"/>
      <color indexed="8"/>
      <name val="Calibri"/>
      <family val="2"/>
      <scheme val="minor"/>
    </font>
    <font>
      <b/>
      <sz val="11"/>
      <color rgb="FF0000FF"/>
      <name val="Calibri"/>
      <family val="2"/>
      <scheme val="minor"/>
    </font>
    <font>
      <b/>
      <sz val="10"/>
      <color rgb="FF0000FF"/>
      <name val="Calibri"/>
      <family val="2"/>
      <scheme val="minor"/>
    </font>
    <font>
      <b/>
      <sz val="8"/>
      <color rgb="FFFF3300"/>
      <name val="Calibri"/>
      <family val="2"/>
      <scheme val="minor"/>
    </font>
    <font>
      <b/>
      <sz val="11"/>
      <color rgb="FFFF3300"/>
      <name val="Calibri"/>
      <family val="2"/>
      <scheme val="minor"/>
    </font>
    <font>
      <b/>
      <sz val="11"/>
      <color rgb="FF009900"/>
      <name val="Calibri"/>
      <family val="2"/>
      <scheme val="minor"/>
    </font>
    <font>
      <sz val="11"/>
      <name val="Calibri"/>
      <family val="2"/>
      <scheme val="minor"/>
    </font>
    <font>
      <b/>
      <sz val="11"/>
      <name val="Calibri"/>
      <family val="2"/>
      <scheme val="minor"/>
    </font>
    <font>
      <b/>
      <sz val="10"/>
      <color indexed="8"/>
      <name val="Calibri"/>
      <family val="2"/>
      <scheme val="minor"/>
    </font>
    <font>
      <sz val="10"/>
      <name val="Calibri"/>
      <family val="2"/>
      <scheme val="minor"/>
    </font>
    <font>
      <b/>
      <sz val="10"/>
      <color rgb="FFFF3300"/>
      <name val="Calibri"/>
      <family val="2"/>
      <scheme val="minor"/>
    </font>
    <font>
      <sz val="10"/>
      <color rgb="FF000000"/>
      <name val="Calibri"/>
      <family val="2"/>
      <scheme val="minor"/>
    </font>
    <font>
      <b/>
      <sz val="10"/>
      <color rgb="FF009900"/>
      <name val="Calibri"/>
      <family val="2"/>
      <scheme val="minor"/>
    </font>
    <font>
      <b/>
      <sz val="10"/>
      <color rgb="FF000000"/>
      <name val="Calibri"/>
      <family val="2"/>
      <scheme val="minor"/>
    </font>
    <font>
      <b/>
      <sz val="10"/>
      <name val="Calibri"/>
      <family val="2"/>
      <scheme val="minor"/>
    </font>
    <font>
      <sz val="10"/>
      <color indexed="8"/>
      <name val="Calibri"/>
      <family val="2"/>
      <scheme val="minor"/>
    </font>
    <font>
      <sz val="10"/>
      <color rgb="FFFF3300"/>
      <name val="Calibri"/>
      <family val="2"/>
      <scheme val="minor"/>
    </font>
    <font>
      <sz val="11"/>
      <color rgb="FFFF33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2" tint="-9.9978637043366805E-2"/>
        <bgColor indexed="64"/>
      </patternFill>
    </fill>
  </fills>
  <borders count="21">
    <border>
      <left/>
      <right/>
      <top/>
      <bottom/>
      <diagonal/>
    </border>
    <border>
      <left style="double">
        <color auto="1"/>
      </left>
      <right style="double">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style="double">
        <color auto="1"/>
      </right>
      <top/>
      <bottom style="hair">
        <color auto="1"/>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style="hair">
        <color indexed="64"/>
      </top>
      <bottom style="hair">
        <color indexed="64"/>
      </bottom>
      <diagonal/>
    </border>
    <border>
      <left/>
      <right/>
      <top/>
      <bottom style="hair">
        <color auto="1"/>
      </bottom>
      <diagonal/>
    </border>
    <border>
      <left style="double">
        <color auto="1"/>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double">
        <color auto="1"/>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auto="1"/>
      </left>
      <right style="double">
        <color auto="1"/>
      </right>
      <top/>
      <bottom style="hair">
        <color auto="1"/>
      </bottom>
      <diagonal/>
    </border>
    <border>
      <left style="thin">
        <color indexed="64"/>
      </left>
      <right style="thin">
        <color indexed="64"/>
      </right>
      <top/>
      <bottom style="thin">
        <color indexed="64"/>
      </bottom>
      <diagonal/>
    </border>
    <border>
      <left/>
      <right style="double">
        <color indexed="64"/>
      </right>
      <top style="hair">
        <color indexed="64"/>
      </top>
      <bottom style="medium">
        <color indexed="64"/>
      </bottom>
      <diagonal/>
    </border>
    <border>
      <left style="double">
        <color auto="1"/>
      </left>
      <right style="double">
        <color auto="1"/>
      </right>
      <top style="hair">
        <color auto="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5">
    <xf numFmtId="0" fontId="0"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83">
    <xf numFmtId="0" fontId="0" fillId="0" borderId="0" xfId="0"/>
    <xf numFmtId="0" fontId="1" fillId="0" borderId="0" xfId="1"/>
    <xf numFmtId="3" fontId="2" fillId="3" borderId="2" xfId="1" applyNumberFormat="1" applyFont="1" applyFill="1" applyBorder="1" applyAlignment="1">
      <alignment horizontal="center" vertical="center" wrapText="1"/>
    </xf>
    <xf numFmtId="0" fontId="3" fillId="5" borderId="2" xfId="1" applyFont="1" applyFill="1" applyBorder="1"/>
    <xf numFmtId="166" fontId="0" fillId="0" borderId="2" xfId="2" applyNumberFormat="1" applyFont="1" applyBorder="1"/>
    <xf numFmtId="167" fontId="0" fillId="0" borderId="2" xfId="3" applyNumberFormat="1" applyFont="1" applyBorder="1"/>
    <xf numFmtId="168" fontId="0" fillId="0" borderId="2" xfId="3" applyNumberFormat="1" applyFont="1" applyBorder="1"/>
    <xf numFmtId="169" fontId="0" fillId="0" borderId="2" xfId="2" applyNumberFormat="1" applyFont="1" applyBorder="1"/>
    <xf numFmtId="44" fontId="0" fillId="0" borderId="2" xfId="3" applyFont="1" applyBorder="1"/>
    <xf numFmtId="3" fontId="6" fillId="3" borderId="2" xfId="1" applyNumberFormat="1" applyFont="1" applyFill="1" applyBorder="1" applyAlignment="1">
      <alignment horizontal="center" vertical="center" wrapText="1"/>
    </xf>
    <xf numFmtId="0" fontId="7" fillId="0" borderId="0" xfId="1" applyFont="1"/>
    <xf numFmtId="164" fontId="9" fillId="2" borderId="1" xfId="0" applyNumberFormat="1" applyFont="1" applyFill="1" applyBorder="1" applyAlignment="1">
      <alignment horizontal="center" vertical="center"/>
    </xf>
    <xf numFmtId="164" fontId="13" fillId="2" borderId="1" xfId="0" applyNumberFormat="1" applyFont="1" applyFill="1" applyBorder="1" applyAlignment="1">
      <alignment horizontal="center" vertical="center"/>
    </xf>
    <xf numFmtId="0" fontId="0" fillId="0" borderId="2" xfId="0" applyBorder="1"/>
    <xf numFmtId="0" fontId="14" fillId="0" borderId="2" xfId="0" applyFont="1" applyBorder="1"/>
    <xf numFmtId="0" fontId="15" fillId="0" borderId="2" xfId="0" applyFont="1" applyBorder="1"/>
    <xf numFmtId="0" fontId="11" fillId="0" borderId="2" xfId="0" applyFont="1" applyBorder="1"/>
    <xf numFmtId="0" fontId="16" fillId="0" borderId="2" xfId="0" applyFont="1" applyBorder="1"/>
    <xf numFmtId="0" fontId="17" fillId="0" borderId="2" xfId="0" applyFont="1" applyBorder="1"/>
    <xf numFmtId="0" fontId="0" fillId="0" borderId="4" xfId="0" applyBorder="1" applyAlignment="1">
      <alignment horizontal="center"/>
    </xf>
    <xf numFmtId="0" fontId="2" fillId="3" borderId="4" xfId="0" applyFont="1" applyFill="1" applyBorder="1" applyAlignment="1">
      <alignment horizontal="center" vertical="center"/>
    </xf>
    <xf numFmtId="0" fontId="7" fillId="0" borderId="4" xfId="0" applyFont="1" applyBorder="1" applyAlignment="1">
      <alignment horizontal="center" wrapText="1"/>
    </xf>
    <xf numFmtId="0" fontId="7" fillId="0" borderId="4" xfId="0" applyFont="1" applyBorder="1" applyAlignment="1">
      <alignment horizontal="center"/>
    </xf>
    <xf numFmtId="0" fontId="12" fillId="0" borderId="4" xfId="0" applyFont="1" applyBorder="1" applyAlignment="1">
      <alignment horizontal="center"/>
    </xf>
    <xf numFmtId="0" fontId="2" fillId="3" borderId="1" xfId="0" applyFont="1" applyFill="1" applyBorder="1" applyAlignment="1">
      <alignment horizontal="center" vertical="center"/>
    </xf>
    <xf numFmtId="0" fontId="13" fillId="2" borderId="6" xfId="0" applyFont="1" applyFill="1" applyBorder="1" applyAlignment="1">
      <alignment horizontal="left" vertical="center"/>
    </xf>
    <xf numFmtId="0" fontId="9" fillId="2" borderId="6" xfId="0" applyFont="1" applyFill="1" applyBorder="1" applyAlignment="1">
      <alignment horizontal="left" vertical="center"/>
    </xf>
    <xf numFmtId="164" fontId="13" fillId="4" borderId="1" xfId="0" applyNumberFormat="1" applyFont="1" applyFill="1" applyBorder="1" applyAlignment="1">
      <alignment horizontal="center" vertical="center"/>
    </xf>
    <xf numFmtId="164" fontId="9" fillId="4" borderId="1" xfId="0" applyNumberFormat="1" applyFont="1" applyFill="1" applyBorder="1" applyAlignment="1">
      <alignment horizontal="center" vertical="center"/>
    </xf>
    <xf numFmtId="0" fontId="10" fillId="0" borderId="1" xfId="0" applyFont="1" applyBorder="1" applyAlignment="1">
      <alignment horizontal="center" vertical="center"/>
    </xf>
    <xf numFmtId="2" fontId="0" fillId="0" borderId="2" xfId="0" applyNumberFormat="1" applyBorder="1"/>
    <xf numFmtId="0" fontId="2" fillId="3" borderId="6" xfId="0" applyFont="1" applyFill="1" applyBorder="1" applyAlignment="1">
      <alignment horizontal="center" vertical="center"/>
    </xf>
    <xf numFmtId="164" fontId="0" fillId="0" borderId="0" xfId="0" applyNumberFormat="1"/>
    <xf numFmtId="2" fontId="0" fillId="0" borderId="0" xfId="0" applyNumberFormat="1"/>
    <xf numFmtId="0" fontId="0" fillId="0" borderId="16" xfId="0" applyBorder="1"/>
    <xf numFmtId="0" fontId="0" fillId="0" borderId="20" xfId="0" applyBorder="1"/>
    <xf numFmtId="0" fontId="11" fillId="0" borderId="20" xfId="0" applyFont="1" applyBorder="1"/>
    <xf numFmtId="0" fontId="0" fillId="0" borderId="14" xfId="0" applyBorder="1" applyAlignment="1">
      <alignment horizontal="center"/>
    </xf>
    <xf numFmtId="0" fontId="12" fillId="0" borderId="19" xfId="0" applyFont="1" applyBorder="1" applyAlignment="1">
      <alignment horizontal="center"/>
    </xf>
    <xf numFmtId="0" fontId="7" fillId="0" borderId="2" xfId="0" applyFont="1" applyBorder="1"/>
    <xf numFmtId="0" fontId="6" fillId="3" borderId="1" xfId="0" applyFont="1" applyFill="1" applyBorder="1" applyAlignment="1">
      <alignment horizontal="center" vertical="center"/>
    </xf>
    <xf numFmtId="0" fontId="6" fillId="3" borderId="4" xfId="0" applyFont="1" applyFill="1" applyBorder="1" applyAlignment="1">
      <alignment horizontal="center" vertical="center"/>
    </xf>
    <xf numFmtId="0" fontId="19" fillId="2"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2" borderId="18" xfId="0" applyFont="1" applyFill="1" applyBorder="1" applyAlignment="1">
      <alignment horizontal="center" vertical="center" wrapText="1"/>
    </xf>
    <xf numFmtId="0" fontId="19" fillId="4" borderId="18" xfId="0" applyFont="1" applyFill="1" applyBorder="1" applyAlignment="1">
      <alignment horizontal="center" vertical="center" wrapText="1"/>
    </xf>
    <xf numFmtId="0" fontId="7" fillId="0" borderId="19" xfId="0" applyFont="1" applyBorder="1" applyAlignment="1">
      <alignment horizontal="center"/>
    </xf>
    <xf numFmtId="0" fontId="7" fillId="0" borderId="20" xfId="0" applyFont="1" applyBorder="1"/>
    <xf numFmtId="0" fontId="19" fillId="2" borderId="15" xfId="0" applyFont="1" applyFill="1" applyBorder="1" applyAlignment="1">
      <alignment horizontal="center" vertical="center" wrapText="1"/>
    </xf>
    <xf numFmtId="0" fontId="19" fillId="4" borderId="15" xfId="0" applyFont="1" applyFill="1" applyBorder="1" applyAlignment="1">
      <alignment horizontal="center" vertical="center" wrapText="1"/>
    </xf>
    <xf numFmtId="2" fontId="19" fillId="2" borderId="1" xfId="0" applyNumberFormat="1" applyFont="1" applyFill="1" applyBorder="1" applyAlignment="1">
      <alignment horizontal="center" vertical="center" wrapText="1"/>
    </xf>
    <xf numFmtId="0" fontId="7" fillId="0" borderId="2" xfId="0" applyFont="1" applyBorder="1" applyAlignment="1">
      <alignment horizontal="center" wrapText="1"/>
    </xf>
    <xf numFmtId="2" fontId="20" fillId="4" borderId="1" xfId="0" applyNumberFormat="1" applyFont="1" applyFill="1" applyBorder="1" applyAlignment="1">
      <alignment horizontal="center" vertical="center" wrapText="1"/>
    </xf>
    <xf numFmtId="0" fontId="20" fillId="0" borderId="2" xfId="0" applyFont="1" applyBorder="1" applyAlignment="1">
      <alignment horizontal="center" wrapText="1"/>
    </xf>
    <xf numFmtId="2" fontId="22" fillId="4" borderId="1" xfId="0" applyNumberFormat="1" applyFont="1" applyFill="1" applyBorder="1" applyAlignment="1">
      <alignment horizontal="center" vertical="center" wrapText="1"/>
    </xf>
    <xf numFmtId="0" fontId="22" fillId="0" borderId="2" xfId="0" applyFont="1" applyBorder="1" applyAlignment="1">
      <alignment horizontal="center" wrapText="1"/>
    </xf>
    <xf numFmtId="2" fontId="12" fillId="4" borderId="1" xfId="0" applyNumberFormat="1" applyFont="1" applyFill="1" applyBorder="1" applyAlignment="1">
      <alignment horizontal="center" vertical="center" wrapText="1"/>
    </xf>
    <xf numFmtId="0" fontId="12" fillId="0" borderId="2" xfId="0" applyFont="1" applyBorder="1" applyAlignment="1">
      <alignment horizontal="center" wrapText="1"/>
    </xf>
    <xf numFmtId="0" fontId="7" fillId="0" borderId="2" xfId="0" applyFont="1" applyBorder="1" applyAlignment="1">
      <alignment wrapText="1"/>
    </xf>
    <xf numFmtId="0" fontId="7" fillId="0" borderId="4" xfId="0" applyFont="1" applyBorder="1" applyAlignment="1">
      <alignment wrapText="1"/>
    </xf>
    <xf numFmtId="2" fontId="20" fillId="2" borderId="1" xfId="0" applyNumberFormat="1" applyFont="1" applyFill="1" applyBorder="1" applyAlignment="1">
      <alignment horizontal="center" vertical="center" wrapText="1"/>
    </xf>
    <xf numFmtId="2" fontId="20" fillId="4" borderId="1" xfId="0" quotePrefix="1" applyNumberFormat="1" applyFont="1" applyFill="1" applyBorder="1" applyAlignment="1">
      <alignment horizontal="center" vertical="center" wrapText="1"/>
    </xf>
    <xf numFmtId="2" fontId="22" fillId="4" borderId="1" xfId="0" quotePrefix="1" applyNumberFormat="1" applyFont="1" applyFill="1" applyBorder="1" applyAlignment="1">
      <alignment horizontal="center" vertical="center" wrapText="1"/>
    </xf>
    <xf numFmtId="0" fontId="22" fillId="0" borderId="4" xfId="0" applyFont="1" applyBorder="1" applyAlignment="1">
      <alignment wrapText="1"/>
    </xf>
    <xf numFmtId="0" fontId="22" fillId="0" borderId="2" xfId="0" applyFont="1" applyBorder="1" applyAlignment="1">
      <alignment wrapText="1"/>
    </xf>
    <xf numFmtId="0" fontId="22" fillId="0" borderId="2" xfId="0" applyFont="1" applyBorder="1"/>
    <xf numFmtId="2" fontId="12" fillId="4" borderId="1" xfId="0" quotePrefix="1" applyNumberFormat="1" applyFont="1" applyFill="1" applyBorder="1" applyAlignment="1">
      <alignment horizontal="center" vertical="center" wrapText="1"/>
    </xf>
    <xf numFmtId="2" fontId="7" fillId="0" borderId="4" xfId="0" applyNumberFormat="1" applyFont="1" applyBorder="1" applyAlignment="1">
      <alignment wrapText="1"/>
    </xf>
    <xf numFmtId="2" fontId="19" fillId="4" borderId="1" xfId="0" applyNumberFormat="1" applyFont="1" applyFill="1" applyBorder="1" applyAlignment="1">
      <alignment horizontal="center" vertical="center" wrapText="1"/>
    </xf>
    <xf numFmtId="0" fontId="20" fillId="0" borderId="4" xfId="0" applyFont="1" applyBorder="1" applyAlignment="1">
      <alignment wrapText="1"/>
    </xf>
    <xf numFmtId="0" fontId="20" fillId="0" borderId="2" xfId="0" applyFont="1" applyBorder="1" applyAlignment="1">
      <alignment wrapText="1"/>
    </xf>
    <xf numFmtId="0" fontId="20" fillId="0" borderId="2" xfId="0" applyFont="1" applyBorder="1"/>
    <xf numFmtId="2" fontId="22" fillId="2" borderId="1" xfId="0" applyNumberFormat="1" applyFont="1" applyFill="1" applyBorder="1" applyAlignment="1">
      <alignment horizontal="center" vertical="center" wrapText="1"/>
    </xf>
    <xf numFmtId="2" fontId="12" fillId="2" borderId="18" xfId="0" applyNumberFormat="1" applyFont="1" applyFill="1" applyBorder="1" applyAlignment="1">
      <alignment horizontal="center" vertical="center" wrapText="1"/>
    </xf>
    <xf numFmtId="0" fontId="12" fillId="0" borderId="19" xfId="0" applyFont="1" applyBorder="1" applyAlignment="1">
      <alignment wrapText="1"/>
    </xf>
    <xf numFmtId="0" fontId="12" fillId="0" borderId="20" xfId="0" applyFont="1" applyBorder="1" applyAlignment="1">
      <alignment wrapText="1"/>
    </xf>
    <xf numFmtId="0" fontId="12" fillId="0" borderId="20" xfId="0" applyFont="1" applyBorder="1"/>
    <xf numFmtId="3" fontId="19" fillId="2" borderId="15" xfId="0" applyNumberFormat="1" applyFont="1" applyFill="1" applyBorder="1" applyAlignment="1">
      <alignment horizontal="center" vertical="center" wrapText="1"/>
    </xf>
    <xf numFmtId="3" fontId="19" fillId="4" borderId="15" xfId="0" applyNumberFormat="1" applyFont="1" applyFill="1" applyBorder="1" applyAlignment="1">
      <alignment horizontal="center" vertical="center" wrapText="1"/>
    </xf>
    <xf numFmtId="0" fontId="7" fillId="0" borderId="14" xfId="0" applyFont="1" applyBorder="1" applyAlignment="1">
      <alignment wrapText="1"/>
    </xf>
    <xf numFmtId="0" fontId="7" fillId="0" borderId="16" xfId="0" applyFont="1" applyBorder="1" applyAlignment="1">
      <alignment wrapText="1"/>
    </xf>
    <xf numFmtId="0" fontId="7" fillId="0" borderId="16" xfId="0" applyFont="1" applyBorder="1"/>
    <xf numFmtId="3" fontId="12" fillId="2"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0" fontId="12" fillId="0" borderId="4" xfId="0" applyFont="1" applyBorder="1" applyAlignment="1">
      <alignment wrapText="1"/>
    </xf>
    <xf numFmtId="0" fontId="12" fillId="0" borderId="2" xfId="0" applyFont="1" applyBorder="1" applyAlignment="1">
      <alignment wrapText="1"/>
    </xf>
    <xf numFmtId="0" fontId="12" fillId="0" borderId="2" xfId="0" applyFont="1" applyBorder="1"/>
    <xf numFmtId="2" fontId="12"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xf>
    <xf numFmtId="164" fontId="19" fillId="4" borderId="1" xfId="0" applyNumberFormat="1" applyFont="1" applyFill="1" applyBorder="1" applyAlignment="1">
      <alignment horizontal="center" vertical="center"/>
    </xf>
    <xf numFmtId="3" fontId="19" fillId="2" borderId="18" xfId="0" applyNumberFormat="1" applyFont="1" applyFill="1" applyBorder="1" applyAlignment="1">
      <alignment horizontal="center" vertical="center"/>
    </xf>
    <xf numFmtId="3" fontId="19" fillId="4" borderId="18" xfId="0" applyNumberFormat="1" applyFont="1" applyFill="1" applyBorder="1" applyAlignment="1">
      <alignment horizontal="center" vertical="center"/>
    </xf>
    <xf numFmtId="164" fontId="19" fillId="2" borderId="15" xfId="0" applyNumberFormat="1" applyFont="1" applyFill="1" applyBorder="1" applyAlignment="1">
      <alignment horizontal="center" vertical="center" wrapText="1"/>
    </xf>
    <xf numFmtId="164" fontId="19" fillId="4" borderId="15" xfId="0" applyNumberFormat="1" applyFont="1" applyFill="1" applyBorder="1" applyAlignment="1">
      <alignment horizontal="center" vertical="center" wrapText="1"/>
    </xf>
    <xf numFmtId="0" fontId="7" fillId="0" borderId="14" xfId="0" applyFont="1" applyBorder="1" applyAlignment="1">
      <alignment horizontal="center"/>
    </xf>
    <xf numFmtId="2" fontId="7" fillId="0" borderId="4" xfId="0" applyNumberFormat="1" applyFont="1" applyBorder="1" applyAlignment="1">
      <alignment horizontal="center"/>
    </xf>
    <xf numFmtId="2" fontId="7" fillId="0" borderId="2" xfId="0" applyNumberFormat="1" applyFont="1" applyBorder="1"/>
    <xf numFmtId="164" fontId="19" fillId="2" borderId="1" xfId="0" applyNumberFormat="1" applyFont="1" applyFill="1" applyBorder="1" applyAlignment="1">
      <alignment horizontal="center" vertical="center" wrapText="1"/>
    </xf>
    <xf numFmtId="164" fontId="19" fillId="4" borderId="1" xfId="0" applyNumberFormat="1" applyFont="1" applyFill="1" applyBorder="1" applyAlignment="1">
      <alignment horizontal="center" vertical="center" wrapText="1"/>
    </xf>
    <xf numFmtId="165" fontId="19" fillId="2" borderId="1" xfId="0" applyNumberFormat="1" applyFont="1" applyFill="1" applyBorder="1" applyAlignment="1">
      <alignment horizontal="center" vertical="center"/>
    </xf>
    <xf numFmtId="165" fontId="19" fillId="4" borderId="1" xfId="0" applyNumberFormat="1" applyFont="1" applyFill="1" applyBorder="1" applyAlignment="1">
      <alignment horizontal="center" vertical="center"/>
    </xf>
    <xf numFmtId="3" fontId="19" fillId="2" borderId="1" xfId="0" applyNumberFormat="1" applyFont="1" applyFill="1" applyBorder="1" applyAlignment="1">
      <alignment horizontal="center" vertical="center"/>
    </xf>
    <xf numFmtId="3" fontId="19" fillId="4" borderId="1" xfId="0" applyNumberFormat="1" applyFont="1" applyFill="1" applyBorder="1" applyAlignment="1">
      <alignment horizontal="center" vertical="center"/>
    </xf>
    <xf numFmtId="3" fontId="12" fillId="4" borderId="18" xfId="0" applyNumberFormat="1" applyFont="1" applyFill="1" applyBorder="1" applyAlignment="1">
      <alignment horizontal="center" vertical="center"/>
    </xf>
    <xf numFmtId="3" fontId="12" fillId="2" borderId="18" xfId="0" applyNumberFormat="1" applyFont="1" applyFill="1" applyBorder="1" applyAlignment="1">
      <alignment horizontal="center" vertical="center"/>
    </xf>
    <xf numFmtId="164" fontId="19" fillId="2" borderId="15" xfId="0" applyNumberFormat="1" applyFont="1" applyFill="1" applyBorder="1" applyAlignment="1">
      <alignment horizontal="center" vertical="center"/>
    </xf>
    <xf numFmtId="164" fontId="19" fillId="4" borderId="15" xfId="0" applyNumberFormat="1" applyFont="1" applyFill="1" applyBorder="1" applyAlignment="1">
      <alignment horizontal="center" vertical="center"/>
    </xf>
    <xf numFmtId="164" fontId="19" fillId="2" borderId="18" xfId="0" applyNumberFormat="1" applyFont="1" applyFill="1" applyBorder="1" applyAlignment="1">
      <alignment horizontal="center" vertical="center"/>
    </xf>
    <xf numFmtId="164" fontId="19" fillId="4" borderId="18" xfId="0" applyNumberFormat="1" applyFont="1" applyFill="1" applyBorder="1" applyAlignment="1">
      <alignment horizontal="center" vertical="center"/>
    </xf>
    <xf numFmtId="0" fontId="19" fillId="0" borderId="4" xfId="0" applyFont="1" applyBorder="1" applyAlignment="1">
      <alignment horizontal="center"/>
    </xf>
    <xf numFmtId="0" fontId="19" fillId="0" borderId="2" xfId="0" applyFont="1" applyBorder="1"/>
    <xf numFmtId="164" fontId="20" fillId="2" borderId="1" xfId="0" applyNumberFormat="1" applyFont="1" applyFill="1" applyBorder="1" applyAlignment="1">
      <alignment horizontal="center" vertical="center"/>
    </xf>
    <xf numFmtId="164" fontId="20" fillId="4" borderId="1" xfId="0" applyNumberFormat="1" applyFont="1" applyFill="1" applyBorder="1" applyAlignment="1">
      <alignment horizontal="center" vertical="center"/>
    </xf>
    <xf numFmtId="0" fontId="20" fillId="0" borderId="4" xfId="0" applyFont="1" applyBorder="1" applyAlignment="1">
      <alignment horizontal="center"/>
    </xf>
    <xf numFmtId="164" fontId="22" fillId="2" borderId="1" xfId="0" applyNumberFormat="1" applyFont="1" applyFill="1" applyBorder="1" applyAlignment="1">
      <alignment horizontal="center" vertical="center"/>
    </xf>
    <xf numFmtId="164" fontId="22" fillId="4" borderId="1" xfId="0" applyNumberFormat="1" applyFont="1" applyFill="1" applyBorder="1" applyAlignment="1">
      <alignment horizontal="center" vertical="center"/>
    </xf>
    <xf numFmtId="0" fontId="22" fillId="0" borderId="4" xfId="0" applyFont="1" applyBorder="1" applyAlignment="1">
      <alignment horizontal="center"/>
    </xf>
    <xf numFmtId="164" fontId="12" fillId="2" borderId="1" xfId="0" applyNumberFormat="1" applyFont="1" applyFill="1" applyBorder="1" applyAlignment="1">
      <alignment horizontal="center" vertical="center"/>
    </xf>
    <xf numFmtId="164" fontId="12" fillId="4" borderId="1" xfId="0" applyNumberFormat="1" applyFont="1" applyFill="1" applyBorder="1" applyAlignment="1">
      <alignment horizontal="center" vertical="center"/>
    </xf>
    <xf numFmtId="164" fontId="24" fillId="2" borderId="1" xfId="0" applyNumberFormat="1" applyFont="1" applyFill="1" applyBorder="1" applyAlignment="1">
      <alignment horizontal="center" vertical="center"/>
    </xf>
    <xf numFmtId="164" fontId="12" fillId="2" borderId="18" xfId="0" applyNumberFormat="1" applyFont="1" applyFill="1" applyBorder="1" applyAlignment="1">
      <alignment horizontal="center" vertical="center"/>
    </xf>
    <xf numFmtId="164" fontId="12" fillId="4" borderId="18" xfId="0" applyNumberFormat="1" applyFont="1" applyFill="1" applyBorder="1" applyAlignment="1">
      <alignment horizontal="center" vertical="center"/>
    </xf>
    <xf numFmtId="164" fontId="24" fillId="4" borderId="1" xfId="0" applyNumberFormat="1" applyFont="1" applyFill="1" applyBorder="1" applyAlignment="1">
      <alignment horizontal="center" vertical="center"/>
    </xf>
    <xf numFmtId="0" fontId="24" fillId="0" borderId="4" xfId="0" applyFont="1" applyBorder="1" applyAlignment="1">
      <alignment horizontal="center"/>
    </xf>
    <xf numFmtId="0" fontId="24" fillId="0" borderId="2" xfId="0" applyFont="1" applyBorder="1"/>
    <xf numFmtId="0" fontId="21" fillId="2" borderId="6" xfId="0" applyFont="1" applyFill="1" applyBorder="1" applyAlignment="1">
      <alignment horizontal="left" vertical="center" wrapText="1"/>
    </xf>
    <xf numFmtId="166" fontId="25" fillId="2" borderId="1" xfId="4" applyNumberFormat="1" applyFont="1" applyFill="1" applyBorder="1" applyAlignment="1">
      <alignment horizontal="center" vertical="center"/>
    </xf>
    <xf numFmtId="0" fontId="6" fillId="3" borderId="6" xfId="0" applyFont="1" applyFill="1" applyBorder="1" applyAlignment="1">
      <alignment horizontal="center" vertical="center" wrapText="1"/>
    </xf>
    <xf numFmtId="0" fontId="19" fillId="2" borderId="6" xfId="0" applyFont="1" applyFill="1" applyBorder="1" applyAlignment="1">
      <alignment horizontal="left" vertical="center" wrapText="1"/>
    </xf>
    <xf numFmtId="0" fontId="21" fillId="2" borderId="17" xfId="0" applyFont="1" applyFill="1" applyBorder="1" applyAlignment="1">
      <alignment horizontal="left" vertical="center" wrapText="1"/>
    </xf>
    <xf numFmtId="0" fontId="21" fillId="2" borderId="3"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2" fillId="2" borderId="6" xfId="0" applyFont="1" applyFill="1" applyBorder="1" applyAlignment="1">
      <alignment horizontal="left" vertical="center" wrapText="1"/>
    </xf>
    <xf numFmtId="0" fontId="12" fillId="2" borderId="6" xfId="0" applyFont="1" applyFill="1" applyBorder="1" applyAlignment="1">
      <alignment horizontal="left" vertical="center" wrapText="1"/>
    </xf>
    <xf numFmtId="0" fontId="12" fillId="2" borderId="17" xfId="0" applyFont="1" applyFill="1" applyBorder="1" applyAlignment="1">
      <alignment horizontal="left" vertical="center" wrapText="1"/>
    </xf>
    <xf numFmtId="2" fontId="21" fillId="2" borderId="6" xfId="0" applyNumberFormat="1" applyFont="1" applyFill="1" applyBorder="1" applyAlignment="1">
      <alignment horizontal="left" vertical="center" wrapText="1"/>
    </xf>
    <xf numFmtId="0" fontId="24" fillId="2" borderId="6" xfId="0" applyFont="1" applyFill="1" applyBorder="1" applyAlignment="1">
      <alignment horizontal="left" vertical="center" wrapText="1"/>
    </xf>
    <xf numFmtId="166" fontId="25" fillId="2" borderId="6" xfId="4" applyNumberFormat="1" applyFont="1" applyFill="1" applyBorder="1" applyAlignment="1">
      <alignment vertical="center" wrapText="1"/>
    </xf>
    <xf numFmtId="166" fontId="21" fillId="2" borderId="6" xfId="4" applyNumberFormat="1" applyFont="1" applyFill="1" applyBorder="1" applyAlignment="1">
      <alignment vertical="center" wrapText="1"/>
    </xf>
    <xf numFmtId="166" fontId="25" fillId="0" borderId="6" xfId="4" applyNumberFormat="1" applyFont="1" applyBorder="1" applyAlignment="1">
      <alignment wrapText="1"/>
    </xf>
    <xf numFmtId="0" fontId="25" fillId="0" borderId="6" xfId="0" applyFont="1" applyBorder="1" applyAlignment="1">
      <alignment wrapText="1"/>
    </xf>
    <xf numFmtId="0" fontId="4" fillId="0" borderId="6" xfId="0" applyFont="1" applyBorder="1" applyAlignment="1">
      <alignment wrapText="1"/>
    </xf>
    <xf numFmtId="166" fontId="25" fillId="2" borderId="3" xfId="4" applyNumberFormat="1" applyFont="1" applyFill="1" applyBorder="1" applyAlignment="1">
      <alignment vertical="center" wrapText="1"/>
    </xf>
    <xf numFmtId="166" fontId="25" fillId="2" borderId="15" xfId="4" applyNumberFormat="1" applyFont="1" applyFill="1" applyBorder="1" applyAlignment="1">
      <alignment horizontal="center" vertical="center"/>
    </xf>
    <xf numFmtId="164" fontId="19" fillId="2" borderId="18" xfId="0" applyNumberFormat="1" applyFont="1" applyFill="1" applyBorder="1" applyAlignment="1">
      <alignment horizontal="center" vertical="center" wrapText="1"/>
    </xf>
    <xf numFmtId="164" fontId="19" fillId="4" borderId="18" xfId="0" applyNumberFormat="1" applyFont="1" applyFill="1" applyBorder="1" applyAlignment="1">
      <alignment horizontal="center" vertical="center" wrapText="1"/>
    </xf>
    <xf numFmtId="166" fontId="10" fillId="0" borderId="1" xfId="0" applyNumberFormat="1" applyFont="1" applyBorder="1" applyAlignment="1">
      <alignment horizontal="center" vertical="center"/>
    </xf>
    <xf numFmtId="0" fontId="4" fillId="0" borderId="3" xfId="0" applyFont="1" applyBorder="1" applyAlignment="1">
      <alignment wrapText="1"/>
    </xf>
    <xf numFmtId="0" fontId="10" fillId="0" borderId="15" xfId="0" applyFont="1" applyBorder="1" applyAlignment="1">
      <alignment horizontal="center" vertical="center"/>
    </xf>
    <xf numFmtId="0" fontId="25" fillId="0" borderId="17" xfId="0" applyFont="1" applyBorder="1" applyAlignment="1">
      <alignment wrapText="1"/>
    </xf>
    <xf numFmtId="0" fontId="26" fillId="0" borderId="4" xfId="0" applyFont="1" applyBorder="1" applyAlignment="1">
      <alignment horizontal="center"/>
    </xf>
    <xf numFmtId="0" fontId="26" fillId="0" borderId="2" xfId="0" applyFont="1" applyBorder="1"/>
    <xf numFmtId="0" fontId="27" fillId="0" borderId="2" xfId="0" applyFont="1" applyBorder="1"/>
    <xf numFmtId="2" fontId="22" fillId="2" borderId="1" xfId="0" quotePrefix="1" applyNumberFormat="1" applyFont="1" applyFill="1" applyBorder="1" applyAlignment="1">
      <alignment horizontal="center" vertical="center" wrapText="1"/>
    </xf>
    <xf numFmtId="2" fontId="12" fillId="2" borderId="1" xfId="0" quotePrefix="1" applyNumberFormat="1" applyFont="1" applyFill="1" applyBorder="1" applyAlignment="1">
      <alignment horizontal="center" vertical="center" wrapText="1"/>
    </xf>
    <xf numFmtId="0" fontId="25" fillId="2" borderId="1" xfId="0" applyFont="1" applyFill="1" applyBorder="1" applyAlignment="1">
      <alignment horizontal="center" vertical="center"/>
    </xf>
    <xf numFmtId="0" fontId="25" fillId="2" borderId="18" xfId="0" applyFont="1" applyFill="1" applyBorder="1" applyAlignment="1">
      <alignment horizontal="center" vertical="center"/>
    </xf>
    <xf numFmtId="2" fontId="12" fillId="4" borderId="18" xfId="0" applyNumberFormat="1" applyFont="1" applyFill="1" applyBorder="1" applyAlignment="1">
      <alignment horizontal="center" vertical="center" wrapText="1"/>
    </xf>
    <xf numFmtId="166" fontId="25" fillId="4" borderId="15" xfId="4" applyNumberFormat="1" applyFont="1" applyFill="1" applyBorder="1" applyAlignment="1">
      <alignment horizontal="center" vertical="center"/>
    </xf>
    <xf numFmtId="166" fontId="25" fillId="4" borderId="1" xfId="4" applyNumberFormat="1" applyFont="1" applyFill="1" applyBorder="1" applyAlignment="1">
      <alignment horizontal="center" vertical="center"/>
    </xf>
    <xf numFmtId="0" fontId="25" fillId="4" borderId="1" xfId="0" applyFont="1" applyFill="1" applyBorder="1" applyAlignment="1">
      <alignment horizontal="center" vertical="center"/>
    </xf>
    <xf numFmtId="164" fontId="25" fillId="4" borderId="1" xfId="0" applyNumberFormat="1" applyFont="1" applyFill="1" applyBorder="1" applyAlignment="1">
      <alignment horizontal="center" vertical="center"/>
    </xf>
    <xf numFmtId="0" fontId="25" fillId="4" borderId="18" xfId="0" applyFont="1" applyFill="1" applyBorder="1" applyAlignment="1">
      <alignment horizontal="center" vertical="center"/>
    </xf>
    <xf numFmtId="2" fontId="20" fillId="2" borderId="1" xfId="0" quotePrefix="1" applyNumberFormat="1" applyFont="1" applyFill="1" applyBorder="1" applyAlignment="1">
      <alignment horizontal="center" vertical="center" wrapText="1"/>
    </xf>
    <xf numFmtId="164" fontId="25" fillId="2" borderId="1" xfId="0" applyNumberFormat="1" applyFont="1" applyFill="1" applyBorder="1" applyAlignment="1">
      <alignment horizontal="center" vertical="center"/>
    </xf>
    <xf numFmtId="0" fontId="24" fillId="2"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164" fontId="7" fillId="0" borderId="4" xfId="0" applyNumberFormat="1" applyFont="1" applyBorder="1" applyAlignment="1">
      <alignment horizontal="center"/>
    </xf>
    <xf numFmtId="0" fontId="20" fillId="0" borderId="8" xfId="0" applyFont="1" applyBorder="1" applyAlignment="1">
      <alignment horizontal="center" wrapText="1"/>
    </xf>
    <xf numFmtId="0" fontId="20" fillId="0" borderId="9" xfId="0" applyFont="1" applyBorder="1" applyAlignment="1">
      <alignment horizontal="center" wrapText="1"/>
    </xf>
    <xf numFmtId="0" fontId="20" fillId="0" borderId="10" xfId="0" applyFont="1" applyBorder="1" applyAlignment="1">
      <alignment horizontal="center" wrapText="1"/>
    </xf>
    <xf numFmtId="0" fontId="20" fillId="0" borderId="5" xfId="0" applyFont="1" applyBorder="1" applyAlignment="1">
      <alignment horizontal="center" wrapText="1"/>
    </xf>
    <xf numFmtId="0" fontId="20" fillId="0" borderId="0" xfId="0" applyFont="1" applyAlignment="1">
      <alignment horizontal="center" wrapText="1"/>
    </xf>
    <xf numFmtId="0" fontId="20" fillId="0" borderId="11" xfId="0" applyFont="1" applyBorder="1" applyAlignment="1">
      <alignment horizontal="center" wrapText="1"/>
    </xf>
    <xf numFmtId="0" fontId="20" fillId="0" borderId="12" xfId="0" applyFont="1" applyBorder="1" applyAlignment="1">
      <alignment horizontal="center" wrapText="1"/>
    </xf>
    <xf numFmtId="0" fontId="20" fillId="0" borderId="13" xfId="0" applyFont="1" applyBorder="1" applyAlignment="1">
      <alignment horizontal="center" wrapText="1"/>
    </xf>
    <xf numFmtId="0" fontId="20" fillId="0" borderId="14" xfId="0" applyFont="1" applyBorder="1" applyAlignment="1">
      <alignment horizontal="center" wrapText="1"/>
    </xf>
    <xf numFmtId="0" fontId="18" fillId="2" borderId="7" xfId="0" applyFont="1" applyFill="1" applyBorder="1" applyAlignment="1">
      <alignment horizontal="center" vertical="center"/>
    </xf>
    <xf numFmtId="0" fontId="18" fillId="2" borderId="3" xfId="0" applyFont="1" applyFill="1" applyBorder="1" applyAlignment="1">
      <alignment horizontal="center" vertical="center"/>
    </xf>
    <xf numFmtId="0" fontId="7" fillId="0" borderId="16" xfId="0" applyFont="1" applyBorder="1" applyAlignment="1">
      <alignment horizontal="center" wrapText="1"/>
    </xf>
    <xf numFmtId="0" fontId="20" fillId="0" borderId="2" xfId="0" applyFont="1" applyBorder="1" applyAlignment="1">
      <alignment horizontal="center"/>
    </xf>
    <xf numFmtId="0" fontId="22" fillId="0" borderId="2" xfId="0" applyFont="1" applyBorder="1" applyAlignment="1">
      <alignment horizontal="center"/>
    </xf>
    <xf numFmtId="0" fontId="12" fillId="0" borderId="2" xfId="0" applyFont="1" applyBorder="1" applyAlignment="1">
      <alignment horizontal="center"/>
    </xf>
  </cellXfs>
  <cellStyles count="5">
    <cellStyle name="Comma" xfId="4" builtinId="3"/>
    <cellStyle name="Comma 2" xfId="2" xr:uid="{4B4A4C50-7DDF-47E1-A961-C6AB62083F7E}"/>
    <cellStyle name="Currency 2" xfId="3" xr:uid="{E4F7E757-00EE-4639-95A2-F914D5A91EBC}"/>
    <cellStyle name="Normal" xfId="0" builtinId="0"/>
    <cellStyle name="Normal 2" xfId="1" xr:uid="{4EAD3EA6-210C-47FE-85D0-3AE6B1F26D77}"/>
  </cellStyles>
  <dxfs count="0"/>
  <tableStyles count="0" defaultTableStyle="TableStyleMedium2" defaultPivotStyle="PivotStyleLight16"/>
  <colors>
    <mruColors>
      <color rgb="FF0000FF"/>
      <color rgb="FF009900"/>
      <color rgb="FFFF33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1AF94-F23E-44F6-8FF7-5A32E5D2C60B}">
  <sheetPr codeName="Sheet1"/>
  <dimension ref="A2:E45"/>
  <sheetViews>
    <sheetView workbookViewId="0">
      <selection activeCell="B12" sqref="B12"/>
    </sheetView>
  </sheetViews>
  <sheetFormatPr defaultRowHeight="15" x14ac:dyDescent="0.25"/>
  <cols>
    <col min="1" max="1" width="9.140625" style="1" customWidth="1"/>
    <col min="2" max="2" width="35.28515625" style="1" customWidth="1"/>
    <col min="3" max="5" width="20.7109375" style="1" customWidth="1"/>
  </cols>
  <sheetData>
    <row r="2" spans="2:5" x14ac:dyDescent="0.25">
      <c r="B2" s="2" t="s">
        <v>29</v>
      </c>
      <c r="C2" s="2" t="s">
        <v>30</v>
      </c>
      <c r="D2" s="2" t="s">
        <v>31</v>
      </c>
      <c r="E2" s="2" t="s">
        <v>32</v>
      </c>
    </row>
    <row r="3" spans="2:5" ht="17.25" x14ac:dyDescent="0.25">
      <c r="B3" s="3" t="s">
        <v>33</v>
      </c>
      <c r="C3" s="4">
        <v>71904.208333333328</v>
      </c>
      <c r="D3" s="4">
        <v>66260</v>
      </c>
      <c r="E3" s="4">
        <v>54795</v>
      </c>
    </row>
    <row r="4" spans="2:5" ht="17.25" x14ac:dyDescent="0.25">
      <c r="B4" s="3" t="s">
        <v>34</v>
      </c>
      <c r="C4" s="5">
        <v>30.519600000000001</v>
      </c>
      <c r="D4" s="5">
        <v>24.999480629081692</v>
      </c>
      <c r="E4" s="5">
        <v>23.851081855011476</v>
      </c>
    </row>
    <row r="5" spans="2:5" x14ac:dyDescent="0.25">
      <c r="B5" s="3" t="s">
        <v>35</v>
      </c>
      <c r="C5" s="6">
        <f>C4/C3*1000000</f>
        <v>424.44803589961418</v>
      </c>
      <c r="D5" s="6">
        <f>D4/D3*1000000</f>
        <v>377.29370101240102</v>
      </c>
      <c r="E5" s="6">
        <f>E4/E3*1000000</f>
        <v>435.27843516765176</v>
      </c>
    </row>
    <row r="6" spans="2:5" x14ac:dyDescent="0.25">
      <c r="B6" s="3" t="s">
        <v>36</v>
      </c>
      <c r="C6" s="4">
        <v>47250</v>
      </c>
      <c r="D6" s="4">
        <v>46350</v>
      </c>
      <c r="E6" s="4">
        <v>47835</v>
      </c>
    </row>
    <row r="7" spans="2:5" x14ac:dyDescent="0.25">
      <c r="B7" s="3" t="s">
        <v>37</v>
      </c>
      <c r="C7" s="7">
        <f>C6/C3</f>
        <v>0.657124264284485</v>
      </c>
      <c r="D7" s="7">
        <f>D6/D3</f>
        <v>0.69951705402958042</v>
      </c>
      <c r="E7" s="7">
        <f>E6/E3</f>
        <v>0.87298111141527512</v>
      </c>
    </row>
    <row r="8" spans="2:5" x14ac:dyDescent="0.25">
      <c r="B8" s="3" t="s">
        <v>38</v>
      </c>
      <c r="C8" s="8">
        <f>C4*1000000/C6/365</f>
        <v>1.769636877582083</v>
      </c>
      <c r="D8" s="8">
        <f>D4*1000000/D6/365</f>
        <v>1.4777071790918823</v>
      </c>
      <c r="E8" s="8">
        <f>E4*1000000/E6/365</f>
        <v>1.3660589472093125</v>
      </c>
    </row>
    <row r="9" spans="2:5" x14ac:dyDescent="0.25">
      <c r="B9" s="9"/>
      <c r="C9" s="2" t="s">
        <v>39</v>
      </c>
      <c r="D9" s="2" t="s">
        <v>40</v>
      </c>
      <c r="E9" s="2" t="s">
        <v>41</v>
      </c>
    </row>
    <row r="10" spans="2:5" ht="17.25" x14ac:dyDescent="0.25">
      <c r="B10" s="3" t="s">
        <v>33</v>
      </c>
      <c r="C10" s="4">
        <v>103448.25</v>
      </c>
      <c r="D10" s="4">
        <v>99990</v>
      </c>
      <c r="E10" s="4">
        <v>67685</v>
      </c>
    </row>
    <row r="11" spans="2:5" ht="17.25" x14ac:dyDescent="0.25">
      <c r="B11" s="3" t="s">
        <v>34</v>
      </c>
      <c r="C11" s="5">
        <v>37.329599999999999</v>
      </c>
      <c r="D11" s="5">
        <v>34.114061373132571</v>
      </c>
      <c r="E11" s="5">
        <v>31.706620359191952</v>
      </c>
    </row>
    <row r="12" spans="2:5" x14ac:dyDescent="0.25">
      <c r="B12" s="3" t="s">
        <v>35</v>
      </c>
      <c r="C12" s="6">
        <f>C11/C10*1000000</f>
        <v>360.85289021322251</v>
      </c>
      <c r="D12" s="6">
        <f>D11/D10*1000000</f>
        <v>341.17473120444612</v>
      </c>
      <c r="E12" s="6">
        <f>E11/E10*1000000</f>
        <v>468.44382594654576</v>
      </c>
    </row>
    <row r="13" spans="2:5" x14ac:dyDescent="0.25">
      <c r="B13" s="3" t="s">
        <v>36</v>
      </c>
      <c r="C13" s="4">
        <v>84000</v>
      </c>
      <c r="D13" s="4">
        <v>80800</v>
      </c>
      <c r="E13" s="4">
        <v>71920</v>
      </c>
    </row>
    <row r="14" spans="2:5" x14ac:dyDescent="0.25">
      <c r="B14" s="3" t="s">
        <v>37</v>
      </c>
      <c r="C14" s="7">
        <f>C13/C10</f>
        <v>0.81200020300005071</v>
      </c>
      <c r="D14" s="7">
        <f>D13/D10</f>
        <v>0.80808080808080807</v>
      </c>
      <c r="E14" s="7">
        <f>E13/E10</f>
        <v>1.0625692546354435</v>
      </c>
    </row>
    <row r="15" spans="2:5" x14ac:dyDescent="0.25">
      <c r="B15" s="3" t="s">
        <v>38</v>
      </c>
      <c r="C15" s="8">
        <f>C11*1000000/C13/365</f>
        <v>1.2175342465753425</v>
      </c>
      <c r="D15" s="8">
        <f>D11*1000000/D13/365</f>
        <v>1.1567225475767182</v>
      </c>
      <c r="E15" s="8">
        <f>E11*1000000/E13/365</f>
        <v>1.2078344415862354</v>
      </c>
    </row>
    <row r="16" spans="2:5" x14ac:dyDescent="0.25">
      <c r="B16" s="9"/>
      <c r="C16" s="2" t="s">
        <v>42</v>
      </c>
      <c r="D16" s="2" t="s">
        <v>43</v>
      </c>
      <c r="E16" s="2" t="s">
        <v>44</v>
      </c>
    </row>
    <row r="17" spans="2:5" ht="17.25" x14ac:dyDescent="0.25">
      <c r="B17" s="3" t="s">
        <v>33</v>
      </c>
      <c r="C17" s="4">
        <v>124926.79166666667</v>
      </c>
      <c r="D17" s="4">
        <v>113615</v>
      </c>
      <c r="E17" s="4">
        <v>87325</v>
      </c>
    </row>
    <row r="18" spans="2:5" ht="17.25" x14ac:dyDescent="0.25">
      <c r="B18" s="3" t="s">
        <v>34</v>
      </c>
      <c r="C18" s="5">
        <v>44.156399999999998</v>
      </c>
      <c r="D18" s="5">
        <v>36.913839426617649</v>
      </c>
      <c r="E18" s="5">
        <v>35.891497392131598</v>
      </c>
    </row>
    <row r="19" spans="2:5" x14ac:dyDescent="0.25">
      <c r="B19" s="3" t="s">
        <v>35</v>
      </c>
      <c r="C19" s="6">
        <f>C18/C17*1000000</f>
        <v>353.45820869088993</v>
      </c>
      <c r="D19" s="6">
        <f>D18/D17*1000000</f>
        <v>324.90286869354975</v>
      </c>
      <c r="E19" s="6">
        <f>E18/E17*1000000</f>
        <v>411.01056274986081</v>
      </c>
    </row>
    <row r="20" spans="2:5" x14ac:dyDescent="0.25">
      <c r="B20" s="3" t="s">
        <v>36</v>
      </c>
      <c r="C20" s="4">
        <v>105000</v>
      </c>
      <c r="D20" s="4">
        <v>109200</v>
      </c>
      <c r="E20" s="4">
        <v>103600</v>
      </c>
    </row>
    <row r="21" spans="2:5" x14ac:dyDescent="0.25">
      <c r="B21" s="3" t="s">
        <v>37</v>
      </c>
      <c r="C21" s="7">
        <f>C20/C17</f>
        <v>0.84049224829341718</v>
      </c>
      <c r="D21" s="7">
        <f>D20/D17</f>
        <v>0.96114069445055672</v>
      </c>
      <c r="E21" s="7">
        <f>E20/E17</f>
        <v>1.186372745490982</v>
      </c>
    </row>
    <row r="22" spans="2:5" x14ac:dyDescent="0.25">
      <c r="B22" s="3" t="s">
        <v>38</v>
      </c>
      <c r="C22" s="8">
        <f>C18*1000000/C20/365</f>
        <v>1.152156555772994</v>
      </c>
      <c r="D22" s="8">
        <f>D18*1000000/D20/365</f>
        <v>0.92613376051527052</v>
      </c>
      <c r="E22" s="8">
        <f>E18*1000000/E20/365</f>
        <v>0.94915897265911031</v>
      </c>
    </row>
    <row r="23" spans="2:5" x14ac:dyDescent="0.25">
      <c r="B23" s="9"/>
      <c r="C23" s="2" t="s">
        <v>45</v>
      </c>
      <c r="D23" s="2" t="s">
        <v>46</v>
      </c>
      <c r="E23" s="2" t="s">
        <v>47</v>
      </c>
    </row>
    <row r="24" spans="2:5" ht="17.25" x14ac:dyDescent="0.25">
      <c r="B24" s="3" t="s">
        <v>33</v>
      </c>
      <c r="C24" s="4">
        <v>143563.33333333334</v>
      </c>
      <c r="D24" s="4">
        <v>141573</v>
      </c>
      <c r="E24" s="4">
        <v>110982</v>
      </c>
    </row>
    <row r="25" spans="2:5" ht="17.25" x14ac:dyDescent="0.25">
      <c r="B25" s="3" t="s">
        <v>34</v>
      </c>
      <c r="C25" s="5">
        <v>49.3596</v>
      </c>
      <c r="D25" s="5">
        <v>45.018658583914409</v>
      </c>
      <c r="E25" s="5">
        <v>44.698875199076333</v>
      </c>
    </row>
    <row r="26" spans="2:5" x14ac:dyDescent="0.25">
      <c r="B26" s="3" t="s">
        <v>35</v>
      </c>
      <c r="C26" s="6">
        <f>C25/C24*1000000</f>
        <v>343.81759502194149</v>
      </c>
      <c r="D26" s="6">
        <f>D25/D24*1000000</f>
        <v>317.98901332820816</v>
      </c>
      <c r="E26" s="6">
        <f>E25/E24*1000000</f>
        <v>402.7578814499318</v>
      </c>
    </row>
    <row r="27" spans="2:5" x14ac:dyDescent="0.25">
      <c r="B27" s="3" t="s">
        <v>36</v>
      </c>
      <c r="C27" s="4">
        <v>126000</v>
      </c>
      <c r="D27" s="4">
        <v>127440</v>
      </c>
      <c r="E27" s="4">
        <v>125640</v>
      </c>
    </row>
    <row r="28" spans="2:5" x14ac:dyDescent="0.25">
      <c r="B28" s="3" t="s">
        <v>37</v>
      </c>
      <c r="C28" s="7">
        <f>C27/C24</f>
        <v>0.8776614270124683</v>
      </c>
      <c r="D28" s="7">
        <f>D27/D24</f>
        <v>0.90017164289801022</v>
      </c>
      <c r="E28" s="7">
        <f>E27/E24</f>
        <v>1.1320754716981132</v>
      </c>
    </row>
    <row r="29" spans="2:5" x14ac:dyDescent="0.25">
      <c r="B29" s="3" t="s">
        <v>38</v>
      </c>
      <c r="C29" s="8">
        <f>C25*1000000/C27/365</f>
        <v>1.0732681017612524</v>
      </c>
      <c r="D29" s="8">
        <f>D25*1000000/D27/365</f>
        <v>0.96781850785358914</v>
      </c>
      <c r="E29" s="8">
        <f>E25*1000000/E27/365</f>
        <v>0.97471085465051988</v>
      </c>
    </row>
    <row r="30" spans="2:5" x14ac:dyDescent="0.25">
      <c r="B30" s="9"/>
      <c r="C30" s="2" t="s">
        <v>48</v>
      </c>
      <c r="D30" s="2" t="s">
        <v>49</v>
      </c>
      <c r="E30" s="2" t="s">
        <v>50</v>
      </c>
    </row>
    <row r="31" spans="2:5" ht="17.25" x14ac:dyDescent="0.25">
      <c r="B31" s="3" t="s">
        <v>33</v>
      </c>
      <c r="C31" s="4">
        <v>185782.66666666666</v>
      </c>
      <c r="D31" s="4">
        <v>168913</v>
      </c>
      <c r="E31" s="4">
        <v>126910</v>
      </c>
    </row>
    <row r="32" spans="2:5" ht="17.25" x14ac:dyDescent="0.25">
      <c r="B32" s="3" t="s">
        <v>34</v>
      </c>
      <c r="C32" s="5">
        <v>60.016799999999996</v>
      </c>
      <c r="D32" s="5">
        <v>53.196184557108822</v>
      </c>
      <c r="E32" s="5">
        <v>53.293021090861437</v>
      </c>
    </row>
    <row r="33" spans="2:5" x14ac:dyDescent="0.25">
      <c r="B33" s="3" t="s">
        <v>35</v>
      </c>
      <c r="C33" s="6">
        <f>C32/C31*1000000</f>
        <v>323.04843652439769</v>
      </c>
      <c r="D33" s="6">
        <f>D32/D31*1000000</f>
        <v>314.93244781105551</v>
      </c>
      <c r="E33" s="6">
        <f>E32/E31*1000000</f>
        <v>419.92767387015556</v>
      </c>
    </row>
    <row r="34" spans="2:5" x14ac:dyDescent="0.25">
      <c r="B34" s="3" t="s">
        <v>36</v>
      </c>
      <c r="C34" s="4">
        <v>147000</v>
      </c>
      <c r="D34" s="4">
        <v>151360</v>
      </c>
      <c r="E34" s="4">
        <v>151360</v>
      </c>
    </row>
    <row r="35" spans="2:5" x14ac:dyDescent="0.25">
      <c r="B35" s="3" t="s">
        <v>37</v>
      </c>
      <c r="C35" s="7">
        <f>C34/C31</f>
        <v>0.7912471202910929</v>
      </c>
      <c r="D35" s="7">
        <f>D34/D31</f>
        <v>0.89608259873425966</v>
      </c>
      <c r="E35" s="7">
        <f>E34/E31</f>
        <v>1.1926562130643763</v>
      </c>
    </row>
    <row r="36" spans="2:5" x14ac:dyDescent="0.25">
      <c r="B36" s="3" t="s">
        <v>38</v>
      </c>
      <c r="C36" s="8">
        <f>C32*1000000/C34/365</f>
        <v>1.1185686329326252</v>
      </c>
      <c r="D36" s="8">
        <f>D32*1000000/D34/365</f>
        <v>0.96288961013041252</v>
      </c>
      <c r="E36" s="8">
        <f>E32*1000000/E34/365</f>
        <v>0.96464242178425086</v>
      </c>
    </row>
    <row r="37" spans="2:5" x14ac:dyDescent="0.25">
      <c r="B37" s="9"/>
      <c r="C37" s="2" t="s">
        <v>51</v>
      </c>
      <c r="D37" s="2" t="s">
        <v>52</v>
      </c>
      <c r="E37" s="2" t="s">
        <v>50</v>
      </c>
    </row>
    <row r="38" spans="2:5" ht="17.25" x14ac:dyDescent="0.25">
      <c r="B38" s="3" t="s">
        <v>33</v>
      </c>
      <c r="C38" s="4">
        <v>223513.91666666666</v>
      </c>
      <c r="D38" s="4">
        <v>225050</v>
      </c>
      <c r="E38" s="4">
        <v>179130</v>
      </c>
    </row>
    <row r="39" spans="2:5" ht="17.25" x14ac:dyDescent="0.25">
      <c r="B39" s="3" t="s">
        <v>34</v>
      </c>
      <c r="C39" s="5">
        <v>67.401600000000002</v>
      </c>
      <c r="D39" s="5">
        <v>70.544434240282072</v>
      </c>
      <c r="E39" s="5">
        <v>69.902090475125959</v>
      </c>
    </row>
    <row r="40" spans="2:5" x14ac:dyDescent="0.25">
      <c r="B40" s="3" t="s">
        <v>35</v>
      </c>
      <c r="C40" s="6">
        <f>C39/C38*1000000</f>
        <v>301.5543774865622</v>
      </c>
      <c r="D40" s="6">
        <f>D39/D38*1000000</f>
        <v>313.46116080996251</v>
      </c>
      <c r="E40" s="6">
        <f>E39/E38*1000000</f>
        <v>390.23106389284851</v>
      </c>
    </row>
    <row r="41" spans="2:5" x14ac:dyDescent="0.25">
      <c r="B41" s="3" t="s">
        <v>36</v>
      </c>
      <c r="C41" s="4">
        <v>189000</v>
      </c>
      <c r="D41" s="4">
        <v>189900</v>
      </c>
      <c r="E41" s="4">
        <v>185760</v>
      </c>
    </row>
    <row r="42" spans="2:5" x14ac:dyDescent="0.25">
      <c r="B42" s="3" t="s">
        <v>37</v>
      </c>
      <c r="C42" s="7">
        <f>C41/C38</f>
        <v>0.84558493188530026</v>
      </c>
      <c r="D42" s="7">
        <f>D41/D38</f>
        <v>0.84381248611419679</v>
      </c>
      <c r="E42" s="7">
        <f>E41/E38</f>
        <v>1.0370122257578296</v>
      </c>
    </row>
    <row r="43" spans="2:5" x14ac:dyDescent="0.25">
      <c r="B43" s="3" t="s">
        <v>38</v>
      </c>
      <c r="C43" s="8">
        <f>C39*1000000/C41/365</f>
        <v>0.97704718417047176</v>
      </c>
      <c r="D43" s="8">
        <f>D39*1000000/D41/365</f>
        <v>1.0177589393160362</v>
      </c>
      <c r="E43" s="8">
        <f>E39*1000000/E41/365</f>
        <v>1.0309677898588538</v>
      </c>
    </row>
    <row r="44" spans="2:5" ht="15.75" x14ac:dyDescent="0.25">
      <c r="B44" s="10" t="s">
        <v>53</v>
      </c>
    </row>
    <row r="45" spans="2:5" ht="15.75" x14ac:dyDescent="0.25">
      <c r="B45" s="10"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FB9E3-79FE-4457-80E8-61D6662B38E6}">
  <sheetPr codeName="Sheet4"/>
  <dimension ref="A1:Q119"/>
  <sheetViews>
    <sheetView tabSelected="1" zoomScale="85" zoomScaleNormal="85" workbookViewId="0">
      <pane xSplit="1" topLeftCell="B1" activePane="topRight" state="frozen"/>
      <selection pane="topRight" activeCell="K11" sqref="K11"/>
    </sheetView>
  </sheetViews>
  <sheetFormatPr defaultColWidth="9.140625" defaultRowHeight="15" x14ac:dyDescent="0.25"/>
  <cols>
    <col min="1" max="1" width="61.5703125" style="141" customWidth="1"/>
    <col min="2" max="3" width="16" style="29" customWidth="1"/>
    <col min="4" max="5" width="16" style="29" hidden="1" customWidth="1"/>
    <col min="6" max="6" width="16" style="29" customWidth="1"/>
    <col min="7" max="7" width="16" style="29" hidden="1" customWidth="1"/>
    <col min="8" max="8" width="16.5703125" style="29" hidden="1" customWidth="1"/>
    <col min="9" max="11" width="16.5703125" style="29" customWidth="1"/>
    <col min="12" max="12" width="22.7109375" style="19" customWidth="1"/>
    <col min="13" max="13" width="9.140625" style="13"/>
    <col min="14" max="14" width="21" style="13" customWidth="1"/>
    <col min="15" max="16384" width="9.140625" style="13"/>
  </cols>
  <sheetData>
    <row r="1" spans="1:17" x14ac:dyDescent="0.25">
      <c r="A1" s="177" t="s">
        <v>57</v>
      </c>
      <c r="B1" s="177"/>
      <c r="C1" s="177"/>
      <c r="D1" s="177"/>
      <c r="E1" s="177"/>
      <c r="F1" s="177"/>
      <c r="G1" s="177"/>
      <c r="H1" s="177"/>
      <c r="I1" s="177"/>
      <c r="J1" s="177"/>
      <c r="K1" s="178"/>
      <c r="L1" s="22"/>
      <c r="M1" s="39"/>
      <c r="N1" s="39"/>
      <c r="O1" s="39"/>
      <c r="P1" s="39"/>
      <c r="Q1" s="39"/>
    </row>
    <row r="2" spans="1:17" x14ac:dyDescent="0.25">
      <c r="A2" s="127" t="s">
        <v>78</v>
      </c>
      <c r="B2" s="40" t="s">
        <v>77</v>
      </c>
      <c r="C2" s="40" t="s">
        <v>79</v>
      </c>
      <c r="D2" s="40" t="s">
        <v>79</v>
      </c>
      <c r="E2" s="40" t="s">
        <v>61</v>
      </c>
      <c r="F2" s="40" t="s">
        <v>165</v>
      </c>
      <c r="G2" s="40" t="s">
        <v>68</v>
      </c>
      <c r="H2" s="40" t="s">
        <v>62</v>
      </c>
      <c r="I2" s="40" t="s">
        <v>178</v>
      </c>
      <c r="J2" s="40" t="s">
        <v>71</v>
      </c>
      <c r="K2" s="40" t="s">
        <v>101</v>
      </c>
      <c r="L2" s="41" t="s">
        <v>55</v>
      </c>
      <c r="M2" s="39"/>
      <c r="N2" s="39"/>
      <c r="O2" s="39"/>
      <c r="P2" s="39"/>
      <c r="Q2" s="39"/>
    </row>
    <row r="3" spans="1:17" x14ac:dyDescent="0.25">
      <c r="A3" s="128" t="s">
        <v>0</v>
      </c>
      <c r="B3" s="42" t="s">
        <v>1</v>
      </c>
      <c r="C3" s="43" t="s">
        <v>1</v>
      </c>
      <c r="D3" s="42" t="s">
        <v>1</v>
      </c>
      <c r="E3" s="43" t="s">
        <v>1</v>
      </c>
      <c r="F3" s="42" t="s">
        <v>1</v>
      </c>
      <c r="G3" s="43" t="s">
        <v>58</v>
      </c>
      <c r="H3" s="42" t="s">
        <v>58</v>
      </c>
      <c r="I3" s="43" t="s">
        <v>58</v>
      </c>
      <c r="J3" s="42" t="s">
        <v>2</v>
      </c>
      <c r="K3" s="43" t="s">
        <v>102</v>
      </c>
      <c r="L3" s="180" t="s">
        <v>152</v>
      </c>
      <c r="M3" s="180"/>
      <c r="N3" s="39"/>
      <c r="O3" s="39"/>
      <c r="P3" s="39"/>
      <c r="Q3" s="39"/>
    </row>
    <row r="4" spans="1:17" x14ac:dyDescent="0.25">
      <c r="A4" s="125" t="s">
        <v>3</v>
      </c>
      <c r="B4" s="165" t="s">
        <v>59</v>
      </c>
      <c r="C4" s="43" t="s">
        <v>60</v>
      </c>
      <c r="D4" s="165" t="s">
        <v>108</v>
      </c>
      <c r="E4" s="43" t="s">
        <v>76</v>
      </c>
      <c r="F4" s="165" t="s">
        <v>108</v>
      </c>
      <c r="G4" s="43" t="s">
        <v>76</v>
      </c>
      <c r="H4" s="42" t="s">
        <v>76</v>
      </c>
      <c r="I4" s="166" t="s">
        <v>108</v>
      </c>
      <c r="J4" s="42" t="s">
        <v>76</v>
      </c>
      <c r="K4" s="43" t="s">
        <v>76</v>
      </c>
      <c r="L4" s="181" t="s">
        <v>111</v>
      </c>
      <c r="M4" s="181"/>
      <c r="N4" s="39"/>
      <c r="O4" s="39"/>
      <c r="P4" s="39"/>
      <c r="Q4" s="39"/>
    </row>
    <row r="5" spans="1:17" x14ac:dyDescent="0.25">
      <c r="A5" s="125" t="s">
        <v>4</v>
      </c>
      <c r="B5" s="42" t="s">
        <v>5</v>
      </c>
      <c r="C5" s="43" t="s">
        <v>5</v>
      </c>
      <c r="D5" s="42" t="s">
        <v>5</v>
      </c>
      <c r="E5" s="43" t="s">
        <v>5</v>
      </c>
      <c r="F5" s="42" t="s">
        <v>5</v>
      </c>
      <c r="G5" s="43" t="s">
        <v>5</v>
      </c>
      <c r="H5" s="42" t="s">
        <v>5</v>
      </c>
      <c r="I5" s="43" t="s">
        <v>5</v>
      </c>
      <c r="J5" s="42" t="s">
        <v>5</v>
      </c>
      <c r="K5" s="43" t="s">
        <v>5</v>
      </c>
      <c r="L5" s="182" t="s">
        <v>113</v>
      </c>
      <c r="M5" s="181"/>
      <c r="N5" s="39"/>
      <c r="O5" s="39"/>
      <c r="P5" s="39"/>
      <c r="Q5" s="39"/>
    </row>
    <row r="6" spans="1:17" ht="25.5" x14ac:dyDescent="0.25">
      <c r="A6" s="125" t="s">
        <v>6</v>
      </c>
      <c r="B6" s="42" t="s">
        <v>7</v>
      </c>
      <c r="C6" s="43" t="s">
        <v>7</v>
      </c>
      <c r="D6" s="42" t="s">
        <v>7</v>
      </c>
      <c r="E6" s="43" t="s">
        <v>7</v>
      </c>
      <c r="F6" s="42" t="s">
        <v>7</v>
      </c>
      <c r="G6" s="43" t="s">
        <v>7</v>
      </c>
      <c r="H6" s="42" t="s">
        <v>7</v>
      </c>
      <c r="I6" s="43" t="s">
        <v>7</v>
      </c>
      <c r="J6" s="42" t="s">
        <v>7</v>
      </c>
      <c r="K6" s="43" t="s">
        <v>7</v>
      </c>
      <c r="L6" s="22"/>
      <c r="M6" s="39"/>
      <c r="N6" s="39"/>
      <c r="O6" s="39"/>
      <c r="P6" s="39"/>
      <c r="Q6" s="39"/>
    </row>
    <row r="7" spans="1:17" x14ac:dyDescent="0.25">
      <c r="A7" s="125" t="s">
        <v>87</v>
      </c>
      <c r="B7" s="42" t="s">
        <v>88</v>
      </c>
      <c r="C7" s="43" t="s">
        <v>89</v>
      </c>
      <c r="D7" s="42"/>
      <c r="E7" s="43" t="s">
        <v>92</v>
      </c>
      <c r="F7" s="42"/>
      <c r="G7" s="43" t="s">
        <v>96</v>
      </c>
      <c r="H7" s="42" t="s">
        <v>95</v>
      </c>
      <c r="I7" s="43"/>
      <c r="J7" s="42" t="s">
        <v>97</v>
      </c>
      <c r="K7" s="43" t="s">
        <v>103</v>
      </c>
      <c r="L7" s="22"/>
      <c r="M7" s="39"/>
      <c r="N7" s="39"/>
      <c r="O7" s="39"/>
      <c r="P7" s="39"/>
      <c r="Q7" s="39"/>
    </row>
    <row r="8" spans="1:17" x14ac:dyDescent="0.25">
      <c r="A8" s="125" t="s">
        <v>86</v>
      </c>
      <c r="B8" s="42" t="s">
        <v>93</v>
      </c>
      <c r="C8" s="43" t="s">
        <v>90</v>
      </c>
      <c r="D8" s="42"/>
      <c r="E8" s="43" t="s">
        <v>94</v>
      </c>
      <c r="F8" s="42"/>
      <c r="G8" s="43" t="s">
        <v>98</v>
      </c>
      <c r="H8" s="42" t="s">
        <v>99</v>
      </c>
      <c r="I8" s="43"/>
      <c r="J8" s="42" t="s">
        <v>100</v>
      </c>
      <c r="K8" s="43" t="s">
        <v>104</v>
      </c>
      <c r="L8" s="22"/>
      <c r="M8" s="39"/>
      <c r="N8" s="39"/>
      <c r="O8" s="39"/>
      <c r="P8" s="39"/>
      <c r="Q8" s="39"/>
    </row>
    <row r="9" spans="1:17" s="35" customFormat="1" ht="15.75" thickBot="1" x14ac:dyDescent="0.3">
      <c r="A9" s="129" t="s">
        <v>91</v>
      </c>
      <c r="B9" s="44">
        <v>250</v>
      </c>
      <c r="C9" s="45">
        <v>493</v>
      </c>
      <c r="D9" s="44"/>
      <c r="E9" s="45">
        <v>347</v>
      </c>
      <c r="F9" s="44"/>
      <c r="G9" s="45">
        <v>255</v>
      </c>
      <c r="H9" s="44">
        <v>238</v>
      </c>
      <c r="I9" s="45"/>
      <c r="J9" s="44">
        <v>204</v>
      </c>
      <c r="K9" s="45">
        <v>206</v>
      </c>
      <c r="L9" s="46"/>
      <c r="M9" s="47"/>
      <c r="N9" s="47"/>
      <c r="O9" s="47"/>
      <c r="P9" s="47"/>
      <c r="Q9" s="47"/>
    </row>
    <row r="10" spans="1:17" s="34" customFormat="1" ht="15" customHeight="1" x14ac:dyDescent="0.25">
      <c r="A10" s="130" t="s">
        <v>166</v>
      </c>
      <c r="B10" s="48">
        <v>6</v>
      </c>
      <c r="C10" s="49">
        <v>11</v>
      </c>
      <c r="D10" s="48">
        <v>11</v>
      </c>
      <c r="E10" s="49">
        <v>14</v>
      </c>
      <c r="F10" s="48">
        <v>15</v>
      </c>
      <c r="G10" s="49">
        <v>15</v>
      </c>
      <c r="H10" s="48">
        <v>15</v>
      </c>
      <c r="I10" s="49">
        <v>16</v>
      </c>
      <c r="J10" s="48">
        <v>25</v>
      </c>
      <c r="K10" s="49">
        <v>31</v>
      </c>
      <c r="L10" s="179"/>
      <c r="M10" s="179"/>
      <c r="N10" s="179"/>
      <c r="O10" s="179"/>
      <c r="P10" s="179"/>
      <c r="Q10" s="179"/>
    </row>
    <row r="11" spans="1:17" ht="15" customHeight="1" x14ac:dyDescent="0.25">
      <c r="A11" s="125" t="s">
        <v>167</v>
      </c>
      <c r="B11" s="50">
        <f>B14*1.5</f>
        <v>4.0798991735537191</v>
      </c>
      <c r="C11" s="68">
        <f>C14*1.5</f>
        <v>7.0430721100533535</v>
      </c>
      <c r="D11" s="50">
        <f t="shared" ref="D11:K11" si="0">D14*1.5</f>
        <v>7.4851067161837026</v>
      </c>
      <c r="E11" s="68">
        <f t="shared" si="0"/>
        <v>10.716438462182238</v>
      </c>
      <c r="F11" s="50">
        <f t="shared" si="0"/>
        <v>9.6359548739407881</v>
      </c>
      <c r="G11" s="68">
        <f t="shared" si="0"/>
        <v>13.893629800188306</v>
      </c>
      <c r="H11" s="50">
        <f t="shared" si="0"/>
        <v>15.987489595145936</v>
      </c>
      <c r="I11" s="68">
        <f t="shared" si="0"/>
        <v>15.809276514279734</v>
      </c>
      <c r="J11" s="50">
        <f t="shared" si="0"/>
        <v>22.238121608954916</v>
      </c>
      <c r="K11" s="68">
        <f t="shared" si="0"/>
        <v>28.191240016738156</v>
      </c>
      <c r="L11" s="168" t="s">
        <v>175</v>
      </c>
      <c r="M11" s="169"/>
      <c r="N11" s="170"/>
      <c r="O11" s="51"/>
      <c r="P11" s="51"/>
      <c r="Q11" s="51"/>
    </row>
    <row r="12" spans="1:17" s="14" customFormat="1" ht="15" customHeight="1" x14ac:dyDescent="0.25">
      <c r="A12" s="131" t="s">
        <v>153</v>
      </c>
      <c r="B12" s="60">
        <f>SUM(B15,B17,B20,B22,B23,B21)</f>
        <v>2.7199327823691464</v>
      </c>
      <c r="C12" s="52">
        <f>SUM(C15,C17,C20,C22,C23,C21)</f>
        <v>4.5694753629738134</v>
      </c>
      <c r="D12" s="60">
        <f t="shared" ref="D12:K12" si="1">SUM(D15,D17,D20,D22,D23,D21)</f>
        <v>4.7121743554765159</v>
      </c>
      <c r="E12" s="52">
        <f t="shared" si="1"/>
        <v>6.9092676931617678</v>
      </c>
      <c r="F12" s="60">
        <f>SUM(F15,F17,F20,F22,F23,F21)</f>
        <v>6.1931421691250828</v>
      </c>
      <c r="G12" s="52">
        <f t="shared" si="1"/>
        <v>8.9350641530983044</v>
      </c>
      <c r="H12" s="60">
        <f t="shared" si="1"/>
        <v>10.255427056833003</v>
      </c>
      <c r="I12" s="52">
        <f t="shared" si="1"/>
        <v>10.139416248338389</v>
      </c>
      <c r="J12" s="60">
        <f t="shared" si="1"/>
        <v>14.288215286062002</v>
      </c>
      <c r="K12" s="52">
        <f t="shared" si="1"/>
        <v>17.988361331296861</v>
      </c>
      <c r="L12" s="171"/>
      <c r="M12" s="172"/>
      <c r="N12" s="173"/>
      <c r="O12" s="53"/>
      <c r="P12" s="53"/>
      <c r="Q12" s="53"/>
    </row>
    <row r="13" spans="1:17" s="15" customFormat="1" ht="15" customHeight="1" x14ac:dyDescent="0.25">
      <c r="A13" s="132" t="s">
        <v>154</v>
      </c>
      <c r="B13" s="72">
        <f>SUM(B15,B18,B20,B21,B22,B24)</f>
        <v>2.7199327823691459</v>
      </c>
      <c r="C13" s="54">
        <f>SUM(C15,C18,C20,C21,C22,C24)</f>
        <v>4.6429205551487263</v>
      </c>
      <c r="D13" s="72">
        <f t="shared" ref="D13:K13" si="2">SUM(D15,D18,D20,D21,D22,D24)</f>
        <v>4.7794991149701858</v>
      </c>
      <c r="E13" s="54">
        <f t="shared" si="2"/>
        <v>7.0463653852216055</v>
      </c>
      <c r="F13" s="72">
        <f t="shared" si="2"/>
        <v>6.3277916881124252</v>
      </c>
      <c r="G13" s="54">
        <f t="shared" si="2"/>
        <v>9.126021652753078</v>
      </c>
      <c r="H13" s="72">
        <f t="shared" si="2"/>
        <v>10.490451671792727</v>
      </c>
      <c r="I13" s="54">
        <f t="shared" si="2"/>
        <v>10.37280874791645</v>
      </c>
      <c r="J13" s="72">
        <f t="shared" si="2"/>
        <v>14.601581439341636</v>
      </c>
      <c r="K13" s="54">
        <f t="shared" si="2"/>
        <v>18.458410561216304</v>
      </c>
      <c r="L13" s="171"/>
      <c r="M13" s="172"/>
      <c r="N13" s="173"/>
      <c r="O13" s="55"/>
      <c r="P13" s="55"/>
      <c r="Q13" s="55"/>
    </row>
    <row r="14" spans="1:17" s="16" customFormat="1" ht="15" customHeight="1" x14ac:dyDescent="0.25">
      <c r="A14" s="133" t="s">
        <v>155</v>
      </c>
      <c r="B14" s="87">
        <f>SUM(B15,B19,B20,B21,B22,B25)</f>
        <v>2.7199327823691459</v>
      </c>
      <c r="C14" s="56">
        <f>SUM(C15,C19,C20,C21,C22,C25)</f>
        <v>4.6953814067022357</v>
      </c>
      <c r="D14" s="87">
        <f t="shared" ref="D14:K14" si="3">SUM(D15,D19,D20,D21,D22,D25)</f>
        <v>4.9900711441224681</v>
      </c>
      <c r="E14" s="56">
        <f>SUM(E15,E19,E20,E21,E22,E25)</f>
        <v>7.144292308121492</v>
      </c>
      <c r="F14" s="87">
        <f t="shared" si="3"/>
        <v>6.4239699159605257</v>
      </c>
      <c r="G14" s="56">
        <f t="shared" si="3"/>
        <v>9.2624198667922037</v>
      </c>
      <c r="H14" s="87">
        <f t="shared" si="3"/>
        <v>10.658326396763957</v>
      </c>
      <c r="I14" s="56">
        <f t="shared" si="3"/>
        <v>10.53951767618649</v>
      </c>
      <c r="J14" s="87">
        <f t="shared" si="3"/>
        <v>14.825414405969944</v>
      </c>
      <c r="K14" s="56">
        <f t="shared" si="3"/>
        <v>18.79416001115877</v>
      </c>
      <c r="L14" s="171"/>
      <c r="M14" s="172"/>
      <c r="N14" s="173"/>
      <c r="O14" s="57"/>
      <c r="P14" s="57"/>
      <c r="Q14" s="57"/>
    </row>
    <row r="15" spans="1:17" x14ac:dyDescent="0.25">
      <c r="A15" s="125" t="s">
        <v>81</v>
      </c>
      <c r="B15" s="50">
        <f>(B89*(9*30))*(1.06)*(1.12)/43560</f>
        <v>0.29434710743801656</v>
      </c>
      <c r="C15" s="68">
        <f t="shared" ref="C15:K15" si="4">(C89*(9*30))*(1.06)*(1.12)/43560</f>
        <v>0.91983471074380185</v>
      </c>
      <c r="D15" s="50">
        <f t="shared" si="4"/>
        <v>0.91983471074380185</v>
      </c>
      <c r="E15" s="68">
        <f t="shared" si="4"/>
        <v>1.2141818181818183</v>
      </c>
      <c r="F15" s="50">
        <f t="shared" si="4"/>
        <v>0.86832396694214886</v>
      </c>
      <c r="G15" s="68">
        <f t="shared" si="4"/>
        <v>1.4423008264462813</v>
      </c>
      <c r="H15" s="50">
        <f t="shared" si="4"/>
        <v>1.5894743801652895</v>
      </c>
      <c r="I15" s="68">
        <f t="shared" si="4"/>
        <v>1.5894743801652895</v>
      </c>
      <c r="J15" s="50">
        <f t="shared" si="4"/>
        <v>1.9206148760330581</v>
      </c>
      <c r="K15" s="68">
        <f t="shared" si="4"/>
        <v>2.2443966942148763</v>
      </c>
      <c r="L15" s="174"/>
      <c r="M15" s="175"/>
      <c r="N15" s="176"/>
      <c r="O15" s="58"/>
      <c r="P15" s="58"/>
      <c r="Q15" s="39"/>
    </row>
    <row r="16" spans="1:17" x14ac:dyDescent="0.25">
      <c r="A16" s="125" t="s">
        <v>82</v>
      </c>
      <c r="B16" s="50">
        <f>((B92+B93)*(11*40))*(1.06)/43560</f>
        <v>0</v>
      </c>
      <c r="C16" s="68">
        <f>((C90+C91)*(11*40))*(1.06)*(1.12)/43560</f>
        <v>0.76942582278481031</v>
      </c>
      <c r="D16" s="50">
        <f t="shared" ref="D16:K16" si="5">((D90+D91)*(11*40))*(1.06)*(1.12)/43560</f>
        <v>0.70530700421940939</v>
      </c>
      <c r="E16" s="68">
        <f t="shared" si="5"/>
        <v>1.4362615358649793</v>
      </c>
      <c r="F16" s="50">
        <f t="shared" si="5"/>
        <v>1.4106140084388188</v>
      </c>
      <c r="G16" s="68">
        <f t="shared" si="5"/>
        <v>2.0005071392405065</v>
      </c>
      <c r="H16" s="50">
        <f t="shared" si="5"/>
        <v>2.4621626329113928</v>
      </c>
      <c r="I16" s="68">
        <f t="shared" si="5"/>
        <v>2.445064281293952</v>
      </c>
      <c r="J16" s="50">
        <f t="shared" si="5"/>
        <v>3.2828835105485235</v>
      </c>
      <c r="K16" s="68">
        <f t="shared" si="5"/>
        <v>4.9243252658227856</v>
      </c>
      <c r="L16" s="59"/>
      <c r="M16" s="58"/>
      <c r="N16" s="58"/>
      <c r="O16" s="58"/>
      <c r="P16" s="58"/>
      <c r="Q16" s="39"/>
    </row>
    <row r="17" spans="1:17" x14ac:dyDescent="0.25">
      <c r="A17" s="131" t="s">
        <v>110</v>
      </c>
      <c r="B17" s="60">
        <f t="shared" ref="B17" si="6">(B96*(11*40))*(1.06)/43560</f>
        <v>0</v>
      </c>
      <c r="C17" s="61">
        <f>(((C92+C93)*(11*40))*(1.06)*1.12)/43560</f>
        <v>1.0973061449942465</v>
      </c>
      <c r="D17" s="163">
        <f t="shared" ref="D17:K17" si="7">(((D92+D93)*(11*40))*(1.06)*1.12)/43560</f>
        <v>1.2089676102800155</v>
      </c>
      <c r="E17" s="61">
        <f t="shared" si="7"/>
        <v>2.04830480398926</v>
      </c>
      <c r="F17" s="163">
        <f t="shared" si="7"/>
        <v>2.0117279324894519</v>
      </c>
      <c r="G17" s="61">
        <f t="shared" si="7"/>
        <v>2.8529959769850408</v>
      </c>
      <c r="H17" s="163">
        <f t="shared" si="7"/>
        <v>3.5113796639815882</v>
      </c>
      <c r="I17" s="61">
        <f t="shared" si="7"/>
        <v>3.4869950829817156</v>
      </c>
      <c r="J17" s="163">
        <f t="shared" si="7"/>
        <v>4.6818395519754512</v>
      </c>
      <c r="K17" s="61">
        <f t="shared" si="7"/>
        <v>7.0227593279631764</v>
      </c>
      <c r="L17" s="59"/>
      <c r="M17" s="58"/>
      <c r="N17" s="58"/>
      <c r="O17" s="58"/>
      <c r="P17" s="58"/>
      <c r="Q17" s="39"/>
    </row>
    <row r="18" spans="1:17" s="15" customFormat="1" x14ac:dyDescent="0.25">
      <c r="A18" s="132" t="s">
        <v>112</v>
      </c>
      <c r="B18" s="153">
        <f>((B94+B95)*(11*40))*(1.06)/43560</f>
        <v>0</v>
      </c>
      <c r="C18" s="62">
        <f>((C94+C95)*(11*40))*(1.06)*(1.12)/43560</f>
        <v>1.1585104718066748</v>
      </c>
      <c r="D18" s="153">
        <f t="shared" ref="D18:K18" si="8">((D94+D95)*(11*40))*(1.06)*(1.12)/43560</f>
        <v>1.2650715765247413</v>
      </c>
      <c r="E18" s="62">
        <f t="shared" si="8"/>
        <v>2.1625528807057921</v>
      </c>
      <c r="F18" s="153">
        <f t="shared" si="8"/>
        <v>2.1239358649789035</v>
      </c>
      <c r="G18" s="62">
        <f t="shared" si="8"/>
        <v>3.0121272266973533</v>
      </c>
      <c r="H18" s="153">
        <f t="shared" si="8"/>
        <v>3.707233509781358</v>
      </c>
      <c r="I18" s="62">
        <f t="shared" si="8"/>
        <v>3.6814888326300985</v>
      </c>
      <c r="J18" s="153">
        <f t="shared" si="8"/>
        <v>4.9429780130418113</v>
      </c>
      <c r="K18" s="62">
        <f t="shared" si="8"/>
        <v>7.414467019562716</v>
      </c>
      <c r="L18" s="63"/>
      <c r="M18" s="64"/>
      <c r="N18" s="64"/>
      <c r="O18" s="64"/>
      <c r="P18" s="64"/>
      <c r="Q18" s="65"/>
    </row>
    <row r="19" spans="1:17" x14ac:dyDescent="0.25">
      <c r="A19" s="133" t="s">
        <v>109</v>
      </c>
      <c r="B19" s="154">
        <f>((B96+B97)*(11*40))*(1.06)/43560</f>
        <v>0</v>
      </c>
      <c r="C19" s="66">
        <f>((C96+C97)*(11*40))*(1.06)*(1.12)/43560</f>
        <v>1.202227848101266</v>
      </c>
      <c r="D19" s="154">
        <f t="shared" ref="D19:K19" si="9">((D96+D97)*(11*40))*(1.06)*(1.12)/43560</f>
        <v>1.4405482674849766</v>
      </c>
      <c r="E19" s="66">
        <f>((E96+E97)*(11*40))*(1.06)*(1.12)/43560</f>
        <v>2.2441586497890307</v>
      </c>
      <c r="F19" s="154">
        <f>((F96+F97)*(11*40))*(1.06)*(1.12)/43560</f>
        <v>2.2040843881856542</v>
      </c>
      <c r="G19" s="66">
        <f t="shared" si="9"/>
        <v>3.125792405063291</v>
      </c>
      <c r="H19" s="154">
        <f t="shared" si="9"/>
        <v>3.8471291139240509</v>
      </c>
      <c r="I19" s="66">
        <f t="shared" si="9"/>
        <v>3.8204129395217996</v>
      </c>
      <c r="J19" s="154">
        <f t="shared" si="9"/>
        <v>5.1295054852320687</v>
      </c>
      <c r="K19" s="66">
        <f t="shared" si="9"/>
        <v>7.6942582278481018</v>
      </c>
      <c r="L19" s="67"/>
      <c r="M19" s="58"/>
      <c r="N19" s="58"/>
      <c r="O19" s="58"/>
      <c r="P19" s="58"/>
      <c r="Q19" s="39"/>
    </row>
    <row r="20" spans="1:17" x14ac:dyDescent="0.25">
      <c r="A20" s="125" t="s">
        <v>85</v>
      </c>
      <c r="B20" s="50">
        <f>B38/43560</f>
        <v>0.26845730027548209</v>
      </c>
      <c r="C20" s="68">
        <f t="shared" ref="C20:K20" si="10">C38/43560</f>
        <v>0.7151515151515152</v>
      </c>
      <c r="D20" s="50">
        <f t="shared" si="10"/>
        <v>0.72240587695133152</v>
      </c>
      <c r="E20" s="68">
        <f t="shared" si="10"/>
        <v>1.3184343434343435</v>
      </c>
      <c r="F20" s="50">
        <f t="shared" si="10"/>
        <v>1.1446969696969698</v>
      </c>
      <c r="G20" s="68">
        <f t="shared" si="10"/>
        <v>1.7225895316804407</v>
      </c>
      <c r="H20" s="50">
        <f t="shared" si="10"/>
        <v>1.8479338842975206</v>
      </c>
      <c r="I20" s="68">
        <f t="shared" si="10"/>
        <v>1.7756427915518824</v>
      </c>
      <c r="J20" s="50">
        <f t="shared" si="10"/>
        <v>2.6351928374655649</v>
      </c>
      <c r="K20" s="68">
        <f t="shared" si="10"/>
        <v>2.9421487603305785</v>
      </c>
      <c r="L20" s="59"/>
      <c r="M20" s="58"/>
      <c r="N20" s="58"/>
      <c r="O20" s="58"/>
      <c r="P20" s="58"/>
      <c r="Q20" s="39"/>
    </row>
    <row r="21" spans="1:17" x14ac:dyDescent="0.25">
      <c r="A21" s="125" t="s">
        <v>141</v>
      </c>
      <c r="B21" s="50">
        <v>1.28</v>
      </c>
      <c r="C21" s="68">
        <v>0.53</v>
      </c>
      <c r="D21" s="50">
        <v>0.53</v>
      </c>
      <c r="E21" s="68">
        <v>0.55000000000000004</v>
      </c>
      <c r="F21" s="50">
        <v>0.55000000000000004</v>
      </c>
      <c r="G21" s="68">
        <v>0.72</v>
      </c>
      <c r="H21" s="50">
        <v>0.93</v>
      </c>
      <c r="I21" s="68">
        <v>0.93</v>
      </c>
      <c r="J21" s="50">
        <v>1.88</v>
      </c>
      <c r="K21" s="68">
        <v>1.87</v>
      </c>
      <c r="L21" s="59"/>
      <c r="M21" s="58"/>
      <c r="N21" s="58"/>
      <c r="O21" s="58"/>
      <c r="P21" s="58"/>
      <c r="Q21" s="39"/>
    </row>
    <row r="22" spans="1:17" x14ac:dyDescent="0.25">
      <c r="A22" s="125" t="s">
        <v>83</v>
      </c>
      <c r="B22" s="50">
        <f>((B57+3)*(13.5*131)+(3.14*50^2))/43560</f>
        <v>0.42380624426078972</v>
      </c>
      <c r="C22" s="68">
        <f>((C57+3)*(13.5*131)+(3.14*50^2))/43560</f>
        <v>0.54560376492194673</v>
      </c>
      <c r="D22" s="50">
        <f t="shared" ref="D22:J22" si="11">((D57+3)*(13.5*131)+(3.14*50^2))/43560</f>
        <v>0.54560376492194673</v>
      </c>
      <c r="E22" s="68">
        <f t="shared" si="11"/>
        <v>0.62680211202938474</v>
      </c>
      <c r="F22" s="50">
        <f t="shared" si="11"/>
        <v>0.58620293847566574</v>
      </c>
      <c r="G22" s="68">
        <f t="shared" si="11"/>
        <v>0.70800045913682275</v>
      </c>
      <c r="H22" s="50">
        <f t="shared" si="11"/>
        <v>0.66740128558310374</v>
      </c>
      <c r="I22" s="68">
        <f t="shared" si="11"/>
        <v>0.66740128558310374</v>
      </c>
      <c r="J22" s="50">
        <f t="shared" si="11"/>
        <v>0.78919880624426075</v>
      </c>
      <c r="K22" s="68">
        <f t="shared" ref="K22" si="12">((K57+3)*(13.5*131)+(3.14*50^2))/43560</f>
        <v>0.91099632690541776</v>
      </c>
      <c r="L22" s="59"/>
      <c r="M22" s="58"/>
      <c r="N22" s="58"/>
      <c r="O22" s="58"/>
      <c r="P22" s="58"/>
      <c r="Q22" s="39"/>
    </row>
    <row r="23" spans="1:17" s="14" customFormat="1" x14ac:dyDescent="0.25">
      <c r="A23" s="131" t="s">
        <v>84</v>
      </c>
      <c r="B23" s="60">
        <f>0.2*(SUM(B15,B17,B20,B22,B21))</f>
        <v>0.45332213039485769</v>
      </c>
      <c r="C23" s="52">
        <f t="shared" ref="C23:K23" si="13">0.2*(SUM(C15,C17,C20,C22,C21))</f>
        <v>0.7615792271623022</v>
      </c>
      <c r="D23" s="60">
        <f>0.2*(SUM(D15,D17,D20,D22,D21))</f>
        <v>0.78536239257941931</v>
      </c>
      <c r="E23" s="52">
        <f t="shared" si="13"/>
        <v>1.1515446155269613</v>
      </c>
      <c r="F23" s="60">
        <f t="shared" si="13"/>
        <v>1.0321903615208472</v>
      </c>
      <c r="G23" s="52">
        <f t="shared" si="13"/>
        <v>1.4891773588497172</v>
      </c>
      <c r="H23" s="60">
        <f t="shared" si="13"/>
        <v>1.7092378428055008</v>
      </c>
      <c r="I23" s="52">
        <f t="shared" si="13"/>
        <v>1.6899027080563984</v>
      </c>
      <c r="J23" s="60">
        <f t="shared" si="13"/>
        <v>2.3813692143436671</v>
      </c>
      <c r="K23" s="52">
        <f t="shared" si="13"/>
        <v>2.9980602218828096</v>
      </c>
      <c r="L23" s="69"/>
      <c r="M23" s="70"/>
      <c r="N23" s="70"/>
      <c r="O23" s="70"/>
      <c r="P23" s="70"/>
      <c r="Q23" s="71"/>
    </row>
    <row r="24" spans="1:17" s="15" customFormat="1" x14ac:dyDescent="0.25">
      <c r="A24" s="132" t="s">
        <v>84</v>
      </c>
      <c r="B24" s="72">
        <f>(SUM(B15,B18,B20,B22,B21))*0.2</f>
        <v>0.45332213039485769</v>
      </c>
      <c r="C24" s="54">
        <f t="shared" ref="C24:K24" si="14">(SUM(C15,C18,C20,C22,C21))*0.2</f>
        <v>0.77382009252478778</v>
      </c>
      <c r="D24" s="72">
        <f t="shared" si="14"/>
        <v>0.79658318582836429</v>
      </c>
      <c r="E24" s="54">
        <f t="shared" si="14"/>
        <v>1.1743942308702677</v>
      </c>
      <c r="F24" s="72">
        <f t="shared" si="14"/>
        <v>1.0546319480187376</v>
      </c>
      <c r="G24" s="54">
        <f t="shared" si="14"/>
        <v>1.5210036087921797</v>
      </c>
      <c r="H24" s="72">
        <f t="shared" si="14"/>
        <v>1.7484086119654547</v>
      </c>
      <c r="I24" s="54">
        <f t="shared" si="14"/>
        <v>1.7288014579860751</v>
      </c>
      <c r="J24" s="72">
        <f t="shared" si="14"/>
        <v>2.4335969065569394</v>
      </c>
      <c r="K24" s="54">
        <f t="shared" si="14"/>
        <v>3.0764017602027174</v>
      </c>
      <c r="L24" s="63"/>
      <c r="M24" s="64"/>
      <c r="N24" s="64"/>
      <c r="O24" s="64"/>
      <c r="P24" s="64"/>
      <c r="Q24" s="65"/>
    </row>
    <row r="25" spans="1:17" s="36" customFormat="1" ht="15.75" thickBot="1" x14ac:dyDescent="0.3">
      <c r="A25" s="134" t="s">
        <v>84</v>
      </c>
      <c r="B25" s="73">
        <f>(SUM(B15,B19,B20,B22,B21))*0.2</f>
        <v>0.45332213039485769</v>
      </c>
      <c r="C25" s="157">
        <f t="shared" ref="C25:K25" si="15">(SUM(C15,C19,C20,C22,C21))*0.2</f>
        <v>0.78256356778370595</v>
      </c>
      <c r="D25" s="73">
        <f t="shared" si="15"/>
        <v>0.83167852402041142</v>
      </c>
      <c r="E25" s="157">
        <f t="shared" si="15"/>
        <v>1.1907153846869154</v>
      </c>
      <c r="F25" s="73">
        <f t="shared" si="15"/>
        <v>1.0706616526600878</v>
      </c>
      <c r="G25" s="157">
        <f t="shared" si="15"/>
        <v>1.5437366444653673</v>
      </c>
      <c r="H25" s="73">
        <f t="shared" si="15"/>
        <v>1.7763877327939932</v>
      </c>
      <c r="I25" s="157">
        <f t="shared" si="15"/>
        <v>1.7565862793644151</v>
      </c>
      <c r="J25" s="73">
        <f t="shared" si="15"/>
        <v>2.4709024009949907</v>
      </c>
      <c r="K25" s="157">
        <f t="shared" si="15"/>
        <v>3.1323600018597952</v>
      </c>
      <c r="L25" s="74"/>
      <c r="M25" s="75"/>
      <c r="N25" s="75"/>
      <c r="O25" s="75"/>
      <c r="P25" s="75"/>
      <c r="Q25" s="76"/>
    </row>
    <row r="26" spans="1:17" s="34" customFormat="1" ht="25.5" x14ac:dyDescent="0.25">
      <c r="A26" s="130" t="s">
        <v>114</v>
      </c>
      <c r="B26" s="77">
        <f>B51/B10</f>
        <v>1824</v>
      </c>
      <c r="C26" s="78">
        <f>C51/C10</f>
        <v>1832.7272727272727</v>
      </c>
      <c r="D26" s="77">
        <f>D51/D10</f>
        <v>1734.5454545454545</v>
      </c>
      <c r="E26" s="78">
        <f t="shared" ref="E26:J26" si="16">E51/E10</f>
        <v>2370.8571428571427</v>
      </c>
      <c r="F26" s="77">
        <f t="shared" ref="F26" si="17">F51/F10</f>
        <v>2184</v>
      </c>
      <c r="G26" s="78">
        <f t="shared" si="16"/>
        <v>3313.0666666666666</v>
      </c>
      <c r="H26" s="77">
        <f t="shared" si="16"/>
        <v>3831.4666666666667</v>
      </c>
      <c r="I26" s="78">
        <f t="shared" ref="I26" si="18">I51/I10</f>
        <v>3574</v>
      </c>
      <c r="J26" s="77">
        <f t="shared" si="16"/>
        <v>3091.84</v>
      </c>
      <c r="K26" s="78">
        <f t="shared" ref="K26" si="19">K51/K10</f>
        <v>3578.8387096774195</v>
      </c>
      <c r="L26" s="79"/>
      <c r="M26" s="80"/>
      <c r="N26" s="80"/>
      <c r="O26" s="80"/>
      <c r="P26" s="80"/>
      <c r="Q26" s="81"/>
    </row>
    <row r="27" spans="1:17" s="16" customFormat="1" ht="25.5" x14ac:dyDescent="0.25">
      <c r="A27" s="133" t="s">
        <v>115</v>
      </c>
      <c r="B27" s="82">
        <f>B52/B14</f>
        <v>0</v>
      </c>
      <c r="C27" s="83">
        <f>C52/C14</f>
        <v>3629.6092955672366</v>
      </c>
      <c r="D27" s="82">
        <f t="shared" ref="D27:K27" si="20">D52/D14</f>
        <v>3637.4270978839841</v>
      </c>
      <c r="E27" s="83">
        <f t="shared" si="20"/>
        <v>4452.8525189032644</v>
      </c>
      <c r="F27" s="82">
        <f t="shared" si="20"/>
        <v>4863.7214072831275</v>
      </c>
      <c r="G27" s="83">
        <f t="shared" si="20"/>
        <v>4783.8729659472547</v>
      </c>
      <c r="H27" s="82">
        <f t="shared" si="20"/>
        <v>5116.7207655188649</v>
      </c>
      <c r="I27" s="83">
        <f t="shared" si="20"/>
        <v>5138.466641824125</v>
      </c>
      <c r="J27" s="82">
        <f t="shared" si="20"/>
        <v>4904.7020210591345</v>
      </c>
      <c r="K27" s="83">
        <f t="shared" si="20"/>
        <v>5803.4708619720386</v>
      </c>
      <c r="L27" s="84"/>
      <c r="M27" s="85"/>
      <c r="N27" s="85"/>
      <c r="O27" s="85"/>
      <c r="P27" s="85"/>
      <c r="Q27" s="86"/>
    </row>
    <row r="28" spans="1:17" x14ac:dyDescent="0.25">
      <c r="A28" s="125" t="s">
        <v>170</v>
      </c>
      <c r="B28" s="50">
        <f>B46/B38</f>
        <v>0.46793227296049256</v>
      </c>
      <c r="C28" s="68">
        <f t="shared" ref="C28:J28" si="21">C46/C38</f>
        <v>0.41602465331278893</v>
      </c>
      <c r="D28" s="50">
        <f t="shared" ref="D28" si="22">D46/D38</f>
        <v>0.37752637600101691</v>
      </c>
      <c r="E28" s="68">
        <f t="shared" si="21"/>
        <v>0.42123591788406956</v>
      </c>
      <c r="F28" s="50">
        <f t="shared" ref="F28" si="23">F46/F38</f>
        <v>0.47650562541363334</v>
      </c>
      <c r="G28" s="68">
        <f t="shared" si="21"/>
        <v>0.44906444906444909</v>
      </c>
      <c r="H28" s="50">
        <f t="shared" si="21"/>
        <v>0.51520572450805013</v>
      </c>
      <c r="I28" s="68">
        <f t="shared" ref="I28" si="24">I46/I38</f>
        <v>0.5324576260229873</v>
      </c>
      <c r="J28" s="50">
        <f t="shared" si="21"/>
        <v>0.48171863157619632</v>
      </c>
      <c r="K28" s="68">
        <f t="shared" ref="K28" si="25">K46/K38</f>
        <v>0.64719101123595502</v>
      </c>
      <c r="L28" s="22"/>
      <c r="M28" s="39"/>
      <c r="N28" s="39"/>
      <c r="O28" s="39"/>
      <c r="P28" s="39"/>
      <c r="Q28" s="39"/>
    </row>
    <row r="29" spans="1:17" ht="25.5" x14ac:dyDescent="0.25">
      <c r="A29" s="125" t="s">
        <v>168</v>
      </c>
      <c r="B29" s="50">
        <f>B46/B33</f>
        <v>0.54480286738351258</v>
      </c>
      <c r="C29" s="68">
        <f>C46/C33</f>
        <v>0.45733643870421342</v>
      </c>
      <c r="D29" s="50">
        <f t="shared" ref="D29" si="26">D46/D33</f>
        <v>0.4267547956031324</v>
      </c>
      <c r="E29" s="68">
        <f>E46/E33</f>
        <v>0.60762545838147386</v>
      </c>
      <c r="F29" s="50">
        <f t="shared" ref="F29" si="27">F46/F33</f>
        <v>0.5233595453644353</v>
      </c>
      <c r="G29" s="68">
        <f>G46/G33</f>
        <v>0.62999663463336197</v>
      </c>
      <c r="H29" s="50">
        <f>H46/H33</f>
        <v>0.67633196888403269</v>
      </c>
      <c r="I29" s="68">
        <f t="shared" ref="I29" si="28">I46/I33</f>
        <v>0.57950132267687282</v>
      </c>
      <c r="J29" s="50">
        <f>J46/J33</f>
        <v>0.62612949249269656</v>
      </c>
      <c r="K29" s="68">
        <f t="shared" ref="K29" si="29">K46/K33</f>
        <v>0.81601652811254854</v>
      </c>
      <c r="L29" s="22"/>
      <c r="M29" s="39"/>
      <c r="N29" s="39"/>
      <c r="O29" s="39"/>
      <c r="P29" s="39"/>
      <c r="Q29" s="39"/>
    </row>
    <row r="30" spans="1:17" x14ac:dyDescent="0.25">
      <c r="A30" s="125" t="s">
        <v>171</v>
      </c>
      <c r="B30" s="50">
        <f>B51/B38</f>
        <v>0.93586454592098511</v>
      </c>
      <c r="C30" s="68">
        <f t="shared" ref="C30:J30" si="30">C51/C38</f>
        <v>0.64714946070878276</v>
      </c>
      <c r="D30" s="50">
        <f t="shared" ref="D30" si="31">D51/D38</f>
        <v>0.60633024024405746</v>
      </c>
      <c r="E30" s="68">
        <f t="shared" si="30"/>
        <v>0.57794570876355977</v>
      </c>
      <c r="F30" s="50">
        <f>F51/F38</f>
        <v>0.65700018049455511</v>
      </c>
      <c r="G30" s="68">
        <f t="shared" si="30"/>
        <v>0.66229543152620074</v>
      </c>
      <c r="H30" s="50">
        <f t="shared" si="30"/>
        <v>0.71397336513615584</v>
      </c>
      <c r="I30" s="68">
        <f t="shared" ref="I30" si="32">I51/I38</f>
        <v>0.73931762059291251</v>
      </c>
      <c r="J30" s="50">
        <f t="shared" si="30"/>
        <v>0.6733746264886008</v>
      </c>
      <c r="K30" s="68">
        <f t="shared" ref="K30" si="33">K51/K38</f>
        <v>0.8656679151061174</v>
      </c>
      <c r="L30" s="22"/>
      <c r="M30" s="39"/>
      <c r="N30" s="39"/>
      <c r="O30" s="39"/>
      <c r="P30" s="39"/>
      <c r="Q30" s="39"/>
    </row>
    <row r="31" spans="1:17" x14ac:dyDescent="0.25">
      <c r="A31" s="125" t="s">
        <v>172</v>
      </c>
      <c r="B31" s="50">
        <f>B51/B33</f>
        <v>1.0896057347670252</v>
      </c>
      <c r="C31" s="68">
        <f>C51/C33</f>
        <v>0.71141223798433195</v>
      </c>
      <c r="D31" s="50">
        <f t="shared" ref="D31" si="34">D51/D33</f>
        <v>0.68539406566563688</v>
      </c>
      <c r="E31" s="68">
        <f>E51/E33</f>
        <v>0.83367659617220069</v>
      </c>
      <c r="F31" s="50">
        <f t="shared" ref="F31" si="35">F51/F33</f>
        <v>0.72160179739641839</v>
      </c>
      <c r="G31" s="68">
        <f>G51/G33</f>
        <v>0.92914033578880451</v>
      </c>
      <c r="H31" s="50">
        <f>H51/H33</f>
        <v>0.93726251243497116</v>
      </c>
      <c r="I31" s="68">
        <f t="shared" ref="I31" si="36">I51/I33</f>
        <v>0.80463781167332693</v>
      </c>
      <c r="J31" s="50">
        <f>J51/J33</f>
        <v>0.87524061870145164</v>
      </c>
      <c r="K31" s="68">
        <f t="shared" ref="K31" si="37">K51/K33</f>
        <v>1.0914850705888139</v>
      </c>
      <c r="L31" s="22"/>
      <c r="M31" s="39"/>
      <c r="N31" s="39"/>
      <c r="O31" s="39"/>
      <c r="P31" s="39"/>
      <c r="Q31" s="39"/>
    </row>
    <row r="32" spans="1:17" s="16" customFormat="1" x14ac:dyDescent="0.25">
      <c r="A32" s="133" t="s">
        <v>169</v>
      </c>
      <c r="B32" s="87"/>
      <c r="C32" s="56">
        <f>C52/C33</f>
        <v>0.60139741689604065</v>
      </c>
      <c r="D32" s="87">
        <f t="shared" ref="D32:K32" si="38">D52/D33</f>
        <v>0.65202313384582222</v>
      </c>
      <c r="E32" s="56">
        <f t="shared" si="38"/>
        <v>0.79902747777163807</v>
      </c>
      <c r="F32" s="87">
        <f t="shared" si="38"/>
        <v>0.68821780215423245</v>
      </c>
      <c r="G32" s="56">
        <f t="shared" si="38"/>
        <v>0.82844557454287104</v>
      </c>
      <c r="H32" s="87">
        <f t="shared" si="38"/>
        <v>0.88937653908250303</v>
      </c>
      <c r="I32" s="56">
        <f t="shared" si="38"/>
        <v>0.7620442393200878</v>
      </c>
      <c r="J32" s="87">
        <f t="shared" si="38"/>
        <v>0.82336028262789585</v>
      </c>
      <c r="K32" s="56">
        <f t="shared" si="38"/>
        <v>1.0730617344680013</v>
      </c>
      <c r="L32" s="23"/>
      <c r="M32" s="86"/>
      <c r="N32" s="86"/>
      <c r="O32" s="86"/>
      <c r="P32" s="86"/>
      <c r="Q32" s="86"/>
    </row>
    <row r="33" spans="1:17" x14ac:dyDescent="0.25">
      <c r="A33" s="125" t="s">
        <v>164</v>
      </c>
      <c r="B33" s="88">
        <f>SUM(B108:B117)</f>
        <v>10044</v>
      </c>
      <c r="C33" s="89">
        <f t="shared" ref="C33:K33" si="39">SUM(C108:C117)</f>
        <v>28338</v>
      </c>
      <c r="D33" s="88">
        <f t="shared" si="39"/>
        <v>27838</v>
      </c>
      <c r="E33" s="89">
        <f t="shared" si="39"/>
        <v>39814</v>
      </c>
      <c r="F33" s="88">
        <f t="shared" si="39"/>
        <v>45399</v>
      </c>
      <c r="G33" s="89">
        <f t="shared" si="39"/>
        <v>53486</v>
      </c>
      <c r="H33" s="88">
        <f t="shared" si="39"/>
        <v>61319</v>
      </c>
      <c r="I33" s="89">
        <f t="shared" si="39"/>
        <v>71068</v>
      </c>
      <c r="J33" s="88">
        <f t="shared" si="39"/>
        <v>88314</v>
      </c>
      <c r="K33" s="89">
        <f t="shared" si="39"/>
        <v>101645</v>
      </c>
      <c r="L33" s="167">
        <f>SUM(J33:J37)</f>
        <v>116858</v>
      </c>
      <c r="M33" s="39"/>
      <c r="N33" s="39"/>
      <c r="O33" s="39"/>
      <c r="P33" s="39"/>
      <c r="Q33" s="39"/>
    </row>
    <row r="34" spans="1:17" x14ac:dyDescent="0.25">
      <c r="A34" s="125" t="s">
        <v>66</v>
      </c>
      <c r="B34" s="88">
        <v>0</v>
      </c>
      <c r="C34" s="89">
        <v>0</v>
      </c>
      <c r="D34" s="88">
        <v>0</v>
      </c>
      <c r="E34" s="89">
        <v>14104</v>
      </c>
      <c r="F34" s="88">
        <v>0</v>
      </c>
      <c r="G34" s="89">
        <v>16000</v>
      </c>
      <c r="H34" s="88">
        <v>13224</v>
      </c>
      <c r="I34" s="89">
        <v>0</v>
      </c>
      <c r="J34" s="88">
        <v>20000</v>
      </c>
      <c r="K34" s="89">
        <v>20000</v>
      </c>
      <c r="L34" s="22"/>
      <c r="M34" s="39"/>
      <c r="N34" s="39"/>
      <c r="O34" s="39"/>
      <c r="P34" s="39"/>
      <c r="Q34" s="39"/>
    </row>
    <row r="35" spans="1:17" x14ac:dyDescent="0.25">
      <c r="A35" s="125" t="s">
        <v>8</v>
      </c>
      <c r="B35" s="88">
        <v>1650</v>
      </c>
      <c r="C35" s="89">
        <v>2814</v>
      </c>
      <c r="D35" s="88">
        <v>3826</v>
      </c>
      <c r="E35" s="89">
        <v>3513</v>
      </c>
      <c r="F35" s="88">
        <v>4464</v>
      </c>
      <c r="G35" s="89">
        <v>5550</v>
      </c>
      <c r="H35" s="88">
        <v>5953</v>
      </c>
      <c r="I35" s="89">
        <v>6279</v>
      </c>
      <c r="J35" s="88">
        <v>6475</v>
      </c>
      <c r="K35" s="89">
        <v>6515</v>
      </c>
      <c r="L35" s="22"/>
      <c r="M35" s="39"/>
      <c r="N35" s="39"/>
      <c r="O35" s="39"/>
      <c r="P35" s="39"/>
      <c r="Q35" s="39"/>
    </row>
    <row r="36" spans="1:17" x14ac:dyDescent="0.25">
      <c r="A36" s="125" t="s">
        <v>9</v>
      </c>
      <c r="B36" s="88">
        <v>540</v>
      </c>
      <c r="C36" s="89">
        <v>873</v>
      </c>
      <c r="D36" s="88">
        <v>818</v>
      </c>
      <c r="E36" s="89">
        <v>1065</v>
      </c>
      <c r="F36" s="88">
        <v>1065</v>
      </c>
      <c r="G36" s="89">
        <v>1501</v>
      </c>
      <c r="H36" s="88">
        <v>1561</v>
      </c>
      <c r="I36" s="89">
        <v>1577</v>
      </c>
      <c r="J36" s="88">
        <v>1875</v>
      </c>
      <c r="K36" s="89">
        <v>2447</v>
      </c>
      <c r="L36" s="22"/>
      <c r="M36" s="39"/>
      <c r="N36" s="39"/>
      <c r="O36" s="39"/>
      <c r="P36" s="39"/>
      <c r="Q36" s="39"/>
    </row>
    <row r="37" spans="1:17" x14ac:dyDescent="0.25">
      <c r="A37" s="125" t="s">
        <v>72</v>
      </c>
      <c r="B37" s="88">
        <v>0</v>
      </c>
      <c r="C37" s="89">
        <v>0</v>
      </c>
      <c r="D37" s="88">
        <v>0</v>
      </c>
      <c r="E37" s="89">
        <v>0</v>
      </c>
      <c r="F37" s="88">
        <v>0</v>
      </c>
      <c r="G37" s="89">
        <v>0</v>
      </c>
      <c r="H37" s="88">
        <v>0</v>
      </c>
      <c r="I37" s="89">
        <v>0</v>
      </c>
      <c r="J37" s="88">
        <v>194</v>
      </c>
      <c r="K37" s="89">
        <v>194</v>
      </c>
      <c r="L37" s="22"/>
      <c r="M37" s="39"/>
      <c r="N37" s="39"/>
      <c r="O37" s="39"/>
      <c r="P37" s="39"/>
      <c r="Q37" s="39"/>
    </row>
    <row r="38" spans="1:17" ht="25.5" x14ac:dyDescent="0.25">
      <c r="A38" s="125" t="s">
        <v>116</v>
      </c>
      <c r="B38" s="88">
        <v>11694</v>
      </c>
      <c r="C38" s="89">
        <v>31152</v>
      </c>
      <c r="D38" s="88">
        <v>31468</v>
      </c>
      <c r="E38" s="89">
        <v>57431</v>
      </c>
      <c r="F38" s="88">
        <v>49863</v>
      </c>
      <c r="G38" s="89">
        <v>75036</v>
      </c>
      <c r="H38" s="88">
        <v>80496</v>
      </c>
      <c r="I38" s="89">
        <v>77347</v>
      </c>
      <c r="J38" s="88">
        <v>114789</v>
      </c>
      <c r="K38" s="89">
        <v>128160</v>
      </c>
      <c r="L38" s="22"/>
      <c r="M38" s="39"/>
      <c r="N38" s="39"/>
      <c r="O38" s="39"/>
      <c r="P38" s="39"/>
      <c r="Q38" s="39"/>
    </row>
    <row r="39" spans="1:17" s="35" customFormat="1" ht="15.75" thickBot="1" x14ac:dyDescent="0.3">
      <c r="A39" s="129" t="s">
        <v>10</v>
      </c>
      <c r="B39" s="90">
        <v>0</v>
      </c>
      <c r="C39" s="91">
        <v>4957</v>
      </c>
      <c r="D39" s="90">
        <v>6438</v>
      </c>
      <c r="E39" s="91">
        <v>11649</v>
      </c>
      <c r="F39" s="90">
        <v>9344</v>
      </c>
      <c r="G39" s="91">
        <v>15731</v>
      </c>
      <c r="H39" s="90">
        <v>19838</v>
      </c>
      <c r="I39" s="91">
        <v>20522</v>
      </c>
      <c r="J39" s="90">
        <v>29078</v>
      </c>
      <c r="K39" s="91">
        <v>28560</v>
      </c>
      <c r="L39" s="46"/>
      <c r="M39" s="47"/>
      <c r="N39" s="47"/>
      <c r="O39" s="47"/>
      <c r="P39" s="47"/>
      <c r="Q39" s="47"/>
    </row>
    <row r="40" spans="1:17" s="34" customFormat="1" x14ac:dyDescent="0.25">
      <c r="A40" s="130" t="s">
        <v>11</v>
      </c>
      <c r="B40" s="92">
        <v>4500</v>
      </c>
      <c r="C40" s="93">
        <v>4500</v>
      </c>
      <c r="D40" s="92">
        <v>4500</v>
      </c>
      <c r="E40" s="93">
        <v>4500</v>
      </c>
      <c r="F40" s="92">
        <v>4500</v>
      </c>
      <c r="G40" s="93">
        <v>8000</v>
      </c>
      <c r="H40" s="92">
        <v>8000</v>
      </c>
      <c r="I40" s="93">
        <v>8000</v>
      </c>
      <c r="J40" s="92">
        <v>11000</v>
      </c>
      <c r="K40" s="93">
        <v>14000</v>
      </c>
      <c r="L40" s="94"/>
      <c r="M40" s="81"/>
      <c r="N40" s="81"/>
      <c r="O40" s="81"/>
      <c r="P40" s="81"/>
      <c r="Q40" s="81"/>
    </row>
    <row r="41" spans="1:17" s="30" customFormat="1" x14ac:dyDescent="0.25">
      <c r="A41" s="135" t="s">
        <v>160</v>
      </c>
      <c r="B41" s="50">
        <v>18</v>
      </c>
      <c r="C41" s="68">
        <v>18</v>
      </c>
      <c r="D41" s="50">
        <v>16.5</v>
      </c>
      <c r="E41" s="68">
        <v>18</v>
      </c>
      <c r="F41" s="50">
        <v>16.5</v>
      </c>
      <c r="G41" s="68">
        <v>18</v>
      </c>
      <c r="H41" s="50">
        <v>18</v>
      </c>
      <c r="I41" s="68">
        <v>16.5</v>
      </c>
      <c r="J41" s="50">
        <v>18</v>
      </c>
      <c r="K41" s="68">
        <v>18</v>
      </c>
      <c r="L41" s="95"/>
      <c r="M41" s="96"/>
      <c r="N41" s="96"/>
      <c r="O41" s="96"/>
      <c r="P41" s="96"/>
      <c r="Q41" s="96"/>
    </row>
    <row r="42" spans="1:17" x14ac:dyDescent="0.25">
      <c r="A42" s="125" t="s">
        <v>12</v>
      </c>
      <c r="B42" s="97">
        <v>100</v>
      </c>
      <c r="C42" s="98">
        <v>100</v>
      </c>
      <c r="D42" s="97">
        <v>100</v>
      </c>
      <c r="E42" s="98">
        <v>100</v>
      </c>
      <c r="F42" s="97">
        <v>100</v>
      </c>
      <c r="G42" s="98">
        <v>100</v>
      </c>
      <c r="H42" s="97">
        <v>100</v>
      </c>
      <c r="I42" s="98">
        <v>100</v>
      </c>
      <c r="J42" s="97">
        <v>100</v>
      </c>
      <c r="K42" s="98">
        <v>100</v>
      </c>
      <c r="L42" s="22"/>
      <c r="M42" s="39"/>
      <c r="N42" s="39"/>
      <c r="O42" s="39"/>
      <c r="P42" s="39"/>
      <c r="Q42" s="39"/>
    </row>
    <row r="43" spans="1:17" x14ac:dyDescent="0.25">
      <c r="A43" s="125" t="s">
        <v>13</v>
      </c>
      <c r="B43" s="88">
        <v>304</v>
      </c>
      <c r="C43" s="89">
        <v>720</v>
      </c>
      <c r="D43" s="88">
        <v>720</v>
      </c>
      <c r="E43" s="89">
        <v>1344</v>
      </c>
      <c r="F43" s="88">
        <v>1440</v>
      </c>
      <c r="G43" s="89">
        <v>1872</v>
      </c>
      <c r="H43" s="88">
        <v>2304</v>
      </c>
      <c r="I43" s="89">
        <v>2496</v>
      </c>
      <c r="J43" s="88">
        <v>3072</v>
      </c>
      <c r="K43" s="89">
        <v>4608</v>
      </c>
      <c r="L43" s="21"/>
      <c r="M43" s="39"/>
      <c r="N43" s="39"/>
      <c r="O43" s="39"/>
      <c r="P43" s="39"/>
      <c r="Q43" s="39"/>
    </row>
    <row r="44" spans="1:17" x14ac:dyDescent="0.25">
      <c r="A44" s="128" t="s">
        <v>133</v>
      </c>
      <c r="B44" s="99">
        <f>B45/B40</f>
        <v>1.216</v>
      </c>
      <c r="C44" s="100">
        <f t="shared" ref="C44:J44" si="40">C45/C40</f>
        <v>2.88</v>
      </c>
      <c r="D44" s="99">
        <f t="shared" ref="D44" si="41">D45/D40</f>
        <v>2.64</v>
      </c>
      <c r="E44" s="100">
        <f t="shared" si="40"/>
        <v>5.3760000000000003</v>
      </c>
      <c r="F44" s="99">
        <f t="shared" ref="F44" si="42">F45/F40</f>
        <v>5.28</v>
      </c>
      <c r="G44" s="100">
        <f t="shared" si="40"/>
        <v>4.2119999999999997</v>
      </c>
      <c r="H44" s="99">
        <f t="shared" si="40"/>
        <v>5.1840000000000002</v>
      </c>
      <c r="I44" s="100">
        <f>I45/I40</f>
        <v>5.1479999999999997</v>
      </c>
      <c r="J44" s="99">
        <f t="shared" si="40"/>
        <v>5.0269090909090908</v>
      </c>
      <c r="K44" s="100">
        <f>K45/K40</f>
        <v>5.9245714285714284</v>
      </c>
      <c r="L44" s="22"/>
      <c r="M44" s="39"/>
      <c r="N44" s="39"/>
      <c r="O44" s="39"/>
      <c r="P44" s="39"/>
      <c r="Q44" s="39"/>
    </row>
    <row r="45" spans="1:17" x14ac:dyDescent="0.25">
      <c r="A45" s="125" t="s">
        <v>131</v>
      </c>
      <c r="B45" s="88">
        <f>B43*B41</f>
        <v>5472</v>
      </c>
      <c r="C45" s="89">
        <f t="shared" ref="C45:J45" si="43">C43*C41</f>
        <v>12960</v>
      </c>
      <c r="D45" s="88">
        <f t="shared" si="43"/>
        <v>11880</v>
      </c>
      <c r="E45" s="89">
        <f t="shared" si="43"/>
        <v>24192</v>
      </c>
      <c r="F45" s="88">
        <f t="shared" si="43"/>
        <v>23760</v>
      </c>
      <c r="G45" s="89">
        <f t="shared" si="43"/>
        <v>33696</v>
      </c>
      <c r="H45" s="88">
        <f t="shared" si="43"/>
        <v>41472</v>
      </c>
      <c r="I45" s="89">
        <f t="shared" si="43"/>
        <v>41184</v>
      </c>
      <c r="J45" s="88">
        <f t="shared" si="43"/>
        <v>55296</v>
      </c>
      <c r="K45" s="89">
        <f>K43*K41</f>
        <v>82944</v>
      </c>
      <c r="L45" s="22"/>
      <c r="M45" s="39"/>
      <c r="N45" s="39"/>
      <c r="O45" s="39"/>
      <c r="P45" s="39"/>
      <c r="Q45" s="39"/>
    </row>
    <row r="46" spans="1:17" x14ac:dyDescent="0.25">
      <c r="A46" s="125" t="s">
        <v>132</v>
      </c>
      <c r="B46" s="88">
        <f>B40*B44</f>
        <v>5472</v>
      </c>
      <c r="C46" s="89">
        <f t="shared" ref="C46:J46" si="44">C40*C44</f>
        <v>12960</v>
      </c>
      <c r="D46" s="88">
        <f t="shared" ref="D46" si="45">D40*D44</f>
        <v>11880</v>
      </c>
      <c r="E46" s="89">
        <f t="shared" si="44"/>
        <v>24192</v>
      </c>
      <c r="F46" s="88">
        <f t="shared" ref="F46" si="46">F40*F44</f>
        <v>23760</v>
      </c>
      <c r="G46" s="89">
        <f t="shared" si="44"/>
        <v>33696</v>
      </c>
      <c r="H46" s="88">
        <f t="shared" si="44"/>
        <v>41472</v>
      </c>
      <c r="I46" s="89">
        <f t="shared" ref="I46" si="47">I40*I44</f>
        <v>41184</v>
      </c>
      <c r="J46" s="88">
        <f t="shared" si="44"/>
        <v>55296</v>
      </c>
      <c r="K46" s="89">
        <f t="shared" ref="K46" si="48">K40*K44</f>
        <v>82944</v>
      </c>
      <c r="L46" s="22"/>
      <c r="M46" s="39"/>
      <c r="N46" s="39"/>
      <c r="O46" s="39"/>
      <c r="P46" s="39"/>
      <c r="Q46" s="39"/>
    </row>
    <row r="47" spans="1:17" x14ac:dyDescent="0.25">
      <c r="A47" s="125" t="s">
        <v>14</v>
      </c>
      <c r="B47" s="88">
        <v>0</v>
      </c>
      <c r="C47" s="89">
        <v>3</v>
      </c>
      <c r="D47" s="88">
        <v>3</v>
      </c>
      <c r="E47" s="89">
        <v>3</v>
      </c>
      <c r="F47" s="88">
        <v>3</v>
      </c>
      <c r="G47" s="89">
        <v>3</v>
      </c>
      <c r="H47" s="88">
        <v>3</v>
      </c>
      <c r="I47" s="89">
        <v>3</v>
      </c>
      <c r="J47" s="88">
        <v>3</v>
      </c>
      <c r="K47" s="89">
        <v>3</v>
      </c>
      <c r="L47" s="22"/>
      <c r="M47" s="39"/>
      <c r="N47" s="39"/>
      <c r="O47" s="39"/>
      <c r="P47" s="39"/>
      <c r="Q47" s="39"/>
    </row>
    <row r="48" spans="1:17" x14ac:dyDescent="0.25">
      <c r="A48" s="125" t="s">
        <v>173</v>
      </c>
      <c r="B48" s="88">
        <v>0</v>
      </c>
      <c r="C48" s="89">
        <f>C58*C60</f>
        <v>4082.4000000000005</v>
      </c>
      <c r="D48" s="88">
        <f>D58*D60</f>
        <v>6271.02</v>
      </c>
      <c r="E48" s="89">
        <f t="shared" ref="E48:H48" si="49">E58*E60</f>
        <v>7620.4800000000005</v>
      </c>
      <c r="F48" s="88">
        <f t="shared" ref="F48" si="50">F58*F60</f>
        <v>7484.4</v>
      </c>
      <c r="G48" s="89">
        <f t="shared" si="49"/>
        <v>10614.24</v>
      </c>
      <c r="H48" s="88">
        <f t="shared" si="49"/>
        <v>13063.68</v>
      </c>
      <c r="I48" s="89">
        <f>I58*I60</f>
        <v>12972.96</v>
      </c>
      <c r="J48" s="88">
        <f>J58*J60</f>
        <v>17418.239999999998</v>
      </c>
      <c r="K48" s="89">
        <f>K58*K60</f>
        <v>26127.360000000001</v>
      </c>
      <c r="L48" s="22"/>
      <c r="M48" s="39"/>
      <c r="N48" s="39"/>
      <c r="O48" s="39"/>
      <c r="P48" s="39"/>
      <c r="Q48" s="39"/>
    </row>
    <row r="49" spans="1:17" x14ac:dyDescent="0.25">
      <c r="A49" s="125" t="s">
        <v>56</v>
      </c>
      <c r="B49" s="99">
        <f>B44</f>
        <v>1.216</v>
      </c>
      <c r="C49" s="89">
        <v>2</v>
      </c>
      <c r="D49" s="88">
        <v>2</v>
      </c>
      <c r="E49" s="89">
        <v>2</v>
      </c>
      <c r="F49" s="88">
        <v>2</v>
      </c>
      <c r="G49" s="89">
        <v>2</v>
      </c>
      <c r="H49" s="88">
        <v>2</v>
      </c>
      <c r="I49" s="89">
        <v>2</v>
      </c>
      <c r="J49" s="88">
        <v>2</v>
      </c>
      <c r="K49" s="89">
        <v>2</v>
      </c>
      <c r="L49" s="22"/>
      <c r="M49" s="39"/>
      <c r="N49" s="39"/>
      <c r="O49" s="39"/>
      <c r="P49" s="39"/>
      <c r="Q49" s="39"/>
    </row>
    <row r="50" spans="1:17" x14ac:dyDescent="0.25">
      <c r="A50" s="125" t="s">
        <v>63</v>
      </c>
      <c r="B50" s="88">
        <f>B45</f>
        <v>5472</v>
      </c>
      <c r="C50" s="89">
        <v>7200</v>
      </c>
      <c r="D50" s="88">
        <v>7200</v>
      </c>
      <c r="E50" s="89">
        <f t="shared" ref="E50:J50" si="51">E49*E40</f>
        <v>9000</v>
      </c>
      <c r="F50" s="88">
        <f t="shared" si="51"/>
        <v>9000</v>
      </c>
      <c r="G50" s="89">
        <f t="shared" si="51"/>
        <v>16000</v>
      </c>
      <c r="H50" s="88">
        <f t="shared" si="51"/>
        <v>16000</v>
      </c>
      <c r="I50" s="89">
        <f t="shared" si="51"/>
        <v>16000</v>
      </c>
      <c r="J50" s="88">
        <f t="shared" si="51"/>
        <v>22000</v>
      </c>
      <c r="K50" s="89">
        <f t="shared" ref="K50" si="52">K49*K40</f>
        <v>28000</v>
      </c>
      <c r="L50" s="22"/>
      <c r="M50" s="39"/>
      <c r="N50" s="39"/>
      <c r="O50" s="39"/>
      <c r="P50" s="39"/>
      <c r="Q50" s="39"/>
    </row>
    <row r="51" spans="1:17" x14ac:dyDescent="0.25">
      <c r="A51" s="125" t="s">
        <v>70</v>
      </c>
      <c r="B51" s="101">
        <f>B50+B46</f>
        <v>10944</v>
      </c>
      <c r="C51" s="102">
        <f>C50+C46</f>
        <v>20160</v>
      </c>
      <c r="D51" s="101">
        <f>D50+D46</f>
        <v>19080</v>
      </c>
      <c r="E51" s="102">
        <f t="shared" ref="E51:J51" si="53">E50+E46</f>
        <v>33192</v>
      </c>
      <c r="F51" s="101">
        <f t="shared" ref="F51" si="54">F50+F46</f>
        <v>32760</v>
      </c>
      <c r="G51" s="102">
        <f t="shared" si="53"/>
        <v>49696</v>
      </c>
      <c r="H51" s="101">
        <f t="shared" si="53"/>
        <v>57472</v>
      </c>
      <c r="I51" s="102">
        <f>I50+I46</f>
        <v>57184</v>
      </c>
      <c r="J51" s="101">
        <f t="shared" si="53"/>
        <v>77296</v>
      </c>
      <c r="K51" s="102">
        <f t="shared" ref="K51" si="55">K50+K46</f>
        <v>110944</v>
      </c>
      <c r="L51" s="22"/>
      <c r="M51" s="39"/>
      <c r="N51" s="39"/>
      <c r="O51" s="39"/>
      <c r="P51" s="39"/>
      <c r="Q51" s="39"/>
    </row>
    <row r="52" spans="1:17" s="36" customFormat="1" ht="15.75" thickBot="1" x14ac:dyDescent="0.3">
      <c r="A52" s="134" t="s">
        <v>73</v>
      </c>
      <c r="B52" s="90">
        <v>0</v>
      </c>
      <c r="C52" s="103">
        <f>C45+C48</f>
        <v>17042.400000000001</v>
      </c>
      <c r="D52" s="104">
        <f>D45+D48</f>
        <v>18151.02</v>
      </c>
      <c r="E52" s="103">
        <f t="shared" ref="E52" si="56">E45+E48</f>
        <v>31812.48</v>
      </c>
      <c r="F52" s="104">
        <f t="shared" ref="F52:K52" si="57">F45+F48</f>
        <v>31244.400000000001</v>
      </c>
      <c r="G52" s="103">
        <f t="shared" si="57"/>
        <v>44310.239999999998</v>
      </c>
      <c r="H52" s="104">
        <f t="shared" si="57"/>
        <v>54535.68</v>
      </c>
      <c r="I52" s="103">
        <f t="shared" si="57"/>
        <v>54156.959999999999</v>
      </c>
      <c r="J52" s="104">
        <f t="shared" si="57"/>
        <v>72714.239999999991</v>
      </c>
      <c r="K52" s="103">
        <f t="shared" si="57"/>
        <v>109071.36</v>
      </c>
      <c r="L52" s="38"/>
      <c r="M52" s="76"/>
      <c r="N52" s="76"/>
      <c r="O52" s="76"/>
      <c r="P52" s="76"/>
      <c r="Q52" s="76"/>
    </row>
    <row r="53" spans="1:17" s="34" customFormat="1" x14ac:dyDescent="0.25">
      <c r="A53" s="130" t="s">
        <v>15</v>
      </c>
      <c r="B53" s="105">
        <v>2</v>
      </c>
      <c r="C53" s="106">
        <v>4</v>
      </c>
      <c r="D53" s="105">
        <v>4</v>
      </c>
      <c r="E53" s="106">
        <v>4</v>
      </c>
      <c r="F53" s="105">
        <v>5</v>
      </c>
      <c r="G53" s="106">
        <v>6</v>
      </c>
      <c r="H53" s="105">
        <v>6</v>
      </c>
      <c r="I53" s="106">
        <v>6</v>
      </c>
      <c r="J53" s="105">
        <v>8</v>
      </c>
      <c r="K53" s="106">
        <v>11</v>
      </c>
      <c r="L53" s="94"/>
      <c r="M53" s="81"/>
      <c r="N53" s="81"/>
      <c r="O53" s="81"/>
      <c r="P53" s="81"/>
      <c r="Q53" s="81"/>
    </row>
    <row r="54" spans="1:17" x14ac:dyDescent="0.25">
      <c r="A54" s="125" t="s">
        <v>16</v>
      </c>
      <c r="B54" s="88">
        <v>1</v>
      </c>
      <c r="C54" s="89">
        <v>1</v>
      </c>
      <c r="D54" s="88">
        <v>1</v>
      </c>
      <c r="E54" s="89">
        <v>1</v>
      </c>
      <c r="F54" s="88">
        <v>1</v>
      </c>
      <c r="G54" s="89">
        <v>1</v>
      </c>
      <c r="H54" s="88">
        <v>1</v>
      </c>
      <c r="I54" s="89">
        <v>1</v>
      </c>
      <c r="J54" s="88">
        <v>1</v>
      </c>
      <c r="K54" s="89">
        <v>1</v>
      </c>
      <c r="L54" s="22"/>
      <c r="M54" s="39"/>
      <c r="N54" s="39"/>
      <c r="O54" s="39"/>
      <c r="P54" s="39"/>
      <c r="Q54" s="39"/>
    </row>
    <row r="55" spans="1:17" x14ac:dyDescent="0.25">
      <c r="A55" s="125" t="s">
        <v>67</v>
      </c>
      <c r="B55" s="88">
        <v>0</v>
      </c>
      <c r="C55" s="89">
        <v>0</v>
      </c>
      <c r="D55" s="88">
        <v>0</v>
      </c>
      <c r="E55" s="89">
        <v>2</v>
      </c>
      <c r="F55" s="88">
        <v>0</v>
      </c>
      <c r="G55" s="89">
        <v>2</v>
      </c>
      <c r="H55" s="88"/>
      <c r="I55" s="89"/>
      <c r="J55" s="88">
        <v>2</v>
      </c>
      <c r="K55" s="89">
        <v>2</v>
      </c>
      <c r="L55" s="22"/>
      <c r="M55" s="39"/>
      <c r="N55" s="39"/>
      <c r="O55" s="39"/>
      <c r="P55" s="39"/>
      <c r="Q55" s="39"/>
    </row>
    <row r="56" spans="1:17" x14ac:dyDescent="0.25">
      <c r="A56" s="125" t="s">
        <v>80</v>
      </c>
      <c r="B56" s="88">
        <v>0</v>
      </c>
      <c r="C56" s="89">
        <v>1</v>
      </c>
      <c r="D56" s="88">
        <v>1</v>
      </c>
      <c r="E56" s="89">
        <v>1</v>
      </c>
      <c r="F56" s="88">
        <v>1</v>
      </c>
      <c r="G56" s="89">
        <v>1</v>
      </c>
      <c r="H56" s="88">
        <v>2</v>
      </c>
      <c r="I56" s="89">
        <v>2</v>
      </c>
      <c r="J56" s="88">
        <v>1</v>
      </c>
      <c r="K56" s="89">
        <v>1</v>
      </c>
      <c r="L56" s="22"/>
      <c r="M56" s="39"/>
      <c r="N56" s="39"/>
      <c r="O56" s="39"/>
      <c r="P56" s="39"/>
      <c r="Q56" s="39"/>
    </row>
    <row r="57" spans="1:17" s="35" customFormat="1" ht="26.25" thickBot="1" x14ac:dyDescent="0.3">
      <c r="A57" s="129" t="s">
        <v>17</v>
      </c>
      <c r="B57" s="107">
        <f t="shared" ref="B57:J57" si="58">SUM(B53:B56)</f>
        <v>3</v>
      </c>
      <c r="C57" s="108">
        <f t="shared" si="58"/>
        <v>6</v>
      </c>
      <c r="D57" s="107">
        <f t="shared" ref="D57" si="59">SUM(D53:D56)</f>
        <v>6</v>
      </c>
      <c r="E57" s="108">
        <f t="shared" si="58"/>
        <v>8</v>
      </c>
      <c r="F57" s="107">
        <f t="shared" ref="F57" si="60">SUM(F53:F56)</f>
        <v>7</v>
      </c>
      <c r="G57" s="108">
        <f t="shared" si="58"/>
        <v>10</v>
      </c>
      <c r="H57" s="107">
        <f t="shared" si="58"/>
        <v>9</v>
      </c>
      <c r="I57" s="108">
        <f t="shared" ref="I57" si="61">SUM(I53:I56)</f>
        <v>9</v>
      </c>
      <c r="J57" s="107">
        <f t="shared" si="58"/>
        <v>12</v>
      </c>
      <c r="K57" s="108">
        <f t="shared" ref="K57" si="62">SUM(K53:K56)</f>
        <v>15</v>
      </c>
      <c r="L57" s="46"/>
      <c r="M57" s="47"/>
      <c r="N57" s="47"/>
      <c r="O57" s="47"/>
      <c r="P57" s="47"/>
      <c r="Q57" s="47"/>
    </row>
    <row r="58" spans="1:17" s="34" customFormat="1" ht="25.5" x14ac:dyDescent="0.25">
      <c r="A58" s="130" t="s">
        <v>130</v>
      </c>
      <c r="B58" s="92">
        <v>128</v>
      </c>
      <c r="C58" s="93">
        <f>C74*3</f>
        <v>27.341772151898738</v>
      </c>
      <c r="D58" s="92">
        <f>D74*3</f>
        <v>42</v>
      </c>
      <c r="E58" s="93">
        <f t="shared" ref="E58:K58" si="63">E74*3</f>
        <v>51.037974683544306</v>
      </c>
      <c r="F58" s="92">
        <f t="shared" si="63"/>
        <v>50.12658227848101</v>
      </c>
      <c r="G58" s="93">
        <f t="shared" si="63"/>
        <v>71.088607594936704</v>
      </c>
      <c r="H58" s="92">
        <f t="shared" si="63"/>
        <v>87.493670886075947</v>
      </c>
      <c r="I58" s="93">
        <f>I74*3</f>
        <v>86.886075949367083</v>
      </c>
      <c r="J58" s="92">
        <f t="shared" si="63"/>
        <v>116.65822784810126</v>
      </c>
      <c r="K58" s="93">
        <f t="shared" si="63"/>
        <v>174.98734177215189</v>
      </c>
      <c r="L58" s="94"/>
      <c r="M58" s="81"/>
      <c r="N58" s="81"/>
      <c r="O58" s="81"/>
      <c r="P58" s="81"/>
      <c r="Q58" s="81"/>
    </row>
    <row r="59" spans="1:17" x14ac:dyDescent="0.25">
      <c r="A59" s="125" t="s">
        <v>18</v>
      </c>
      <c r="B59" s="88">
        <v>43</v>
      </c>
      <c r="C59" s="89">
        <v>237</v>
      </c>
      <c r="D59" s="88">
        <v>237</v>
      </c>
      <c r="E59" s="89">
        <v>237</v>
      </c>
      <c r="F59" s="88">
        <v>237</v>
      </c>
      <c r="G59" s="89">
        <v>237</v>
      </c>
      <c r="H59" s="88">
        <v>237</v>
      </c>
      <c r="I59" s="89">
        <v>237</v>
      </c>
      <c r="J59" s="88">
        <v>237</v>
      </c>
      <c r="K59" s="89">
        <v>237</v>
      </c>
      <c r="L59" s="22"/>
      <c r="M59" s="39"/>
      <c r="N59" s="39"/>
      <c r="O59" s="39"/>
      <c r="P59" s="39"/>
      <c r="Q59" s="39"/>
    </row>
    <row r="60" spans="1:17" x14ac:dyDescent="0.25">
      <c r="A60" s="125" t="s">
        <v>69</v>
      </c>
      <c r="B60" s="88">
        <v>0</v>
      </c>
      <c r="C60" s="89">
        <f>C59*0.63</f>
        <v>149.31</v>
      </c>
      <c r="D60" s="89">
        <f t="shared" ref="D60:K60" si="64">D59*0.63</f>
        <v>149.31</v>
      </c>
      <c r="E60" s="89">
        <f t="shared" si="64"/>
        <v>149.31</v>
      </c>
      <c r="F60" s="89">
        <f t="shared" si="64"/>
        <v>149.31</v>
      </c>
      <c r="G60" s="89">
        <f t="shared" si="64"/>
        <v>149.31</v>
      </c>
      <c r="H60" s="89">
        <f t="shared" si="64"/>
        <v>149.31</v>
      </c>
      <c r="I60" s="89">
        <f t="shared" si="64"/>
        <v>149.31</v>
      </c>
      <c r="J60" s="89">
        <f t="shared" si="64"/>
        <v>149.31</v>
      </c>
      <c r="K60" s="89">
        <f t="shared" si="64"/>
        <v>149.31</v>
      </c>
      <c r="L60" s="22"/>
      <c r="M60" s="39"/>
      <c r="N60" s="39"/>
      <c r="O60" s="39"/>
      <c r="P60" s="39"/>
      <c r="Q60" s="39"/>
    </row>
    <row r="61" spans="1:17" x14ac:dyDescent="0.25">
      <c r="A61" s="125" t="s">
        <v>64</v>
      </c>
      <c r="B61" s="88">
        <v>43</v>
      </c>
      <c r="C61" s="89">
        <v>43</v>
      </c>
      <c r="D61" s="88">
        <v>43</v>
      </c>
      <c r="E61" s="89">
        <v>43</v>
      </c>
      <c r="F61" s="88">
        <v>43</v>
      </c>
      <c r="G61" s="89">
        <v>43</v>
      </c>
      <c r="H61" s="88">
        <v>43</v>
      </c>
      <c r="I61" s="89">
        <v>43</v>
      </c>
      <c r="J61" s="88">
        <v>43</v>
      </c>
      <c r="K61" s="89">
        <v>43</v>
      </c>
      <c r="L61" s="22"/>
      <c r="M61" s="39"/>
      <c r="N61" s="39"/>
      <c r="O61" s="39"/>
      <c r="P61" s="39"/>
      <c r="Q61" s="39"/>
    </row>
    <row r="62" spans="1:17" s="17" customFormat="1" x14ac:dyDescent="0.25">
      <c r="A62" s="128" t="s">
        <v>74</v>
      </c>
      <c r="B62" s="88">
        <v>0</v>
      </c>
      <c r="C62" s="89">
        <f>C48/C60</f>
        <v>27.341772151898738</v>
      </c>
      <c r="D62" s="88">
        <f t="shared" ref="D62:K62" si="65">D48/D60</f>
        <v>42</v>
      </c>
      <c r="E62" s="89">
        <f>E48/E60</f>
        <v>51.037974683544306</v>
      </c>
      <c r="F62" s="88">
        <f t="shared" si="65"/>
        <v>50.12658227848101</v>
      </c>
      <c r="G62" s="89">
        <f t="shared" si="65"/>
        <v>71.088607594936704</v>
      </c>
      <c r="H62" s="88">
        <f t="shared" si="65"/>
        <v>87.493670886075947</v>
      </c>
      <c r="I62" s="89">
        <f t="shared" si="65"/>
        <v>86.886075949367083</v>
      </c>
      <c r="J62" s="88">
        <f t="shared" si="65"/>
        <v>116.65822784810125</v>
      </c>
      <c r="K62" s="89">
        <f t="shared" si="65"/>
        <v>174.98734177215189</v>
      </c>
      <c r="L62" s="109"/>
      <c r="M62" s="110"/>
      <c r="N62" s="110"/>
      <c r="O62" s="110"/>
      <c r="P62" s="110"/>
      <c r="Q62" s="110"/>
    </row>
    <row r="63" spans="1:17" s="152" customFormat="1" x14ac:dyDescent="0.25">
      <c r="A63" s="128" t="s">
        <v>105</v>
      </c>
      <c r="B63" s="88">
        <v>0</v>
      </c>
      <c r="C63" s="89">
        <f>(C45/C59)*0.88</f>
        <v>48.121518987341773</v>
      </c>
      <c r="D63" s="88">
        <f t="shared" ref="D63:J63" si="66">(D45/D59)*0.88</f>
        <v>44.111392405063292</v>
      </c>
      <c r="E63" s="89">
        <f t="shared" si="66"/>
        <v>89.826835443037979</v>
      </c>
      <c r="F63" s="88">
        <f t="shared" si="66"/>
        <v>88.222784810126583</v>
      </c>
      <c r="G63" s="89">
        <f t="shared" si="66"/>
        <v>125.1159493670886</v>
      </c>
      <c r="H63" s="88">
        <f t="shared" si="66"/>
        <v>153.98886075949366</v>
      </c>
      <c r="I63" s="89">
        <f t="shared" si="66"/>
        <v>152.91949367088606</v>
      </c>
      <c r="J63" s="88">
        <f t="shared" si="66"/>
        <v>205.31848101265822</v>
      </c>
      <c r="K63" s="89">
        <f>(K45/K59)*0.88</f>
        <v>307.97772151898732</v>
      </c>
      <c r="L63" s="150"/>
      <c r="M63" s="151"/>
      <c r="N63" s="151"/>
      <c r="O63" s="151"/>
      <c r="P63" s="151"/>
      <c r="Q63" s="151"/>
    </row>
    <row r="64" spans="1:17" s="15" customFormat="1" x14ac:dyDescent="0.25">
      <c r="A64" s="132" t="s">
        <v>117</v>
      </c>
      <c r="B64" s="114">
        <v>0</v>
      </c>
      <c r="C64" s="115">
        <f>(C45/C59)*0.95</f>
        <v>51.949367088607595</v>
      </c>
      <c r="D64" s="114">
        <f t="shared" ref="D64:J64" si="67">(D45/D59)*0.95</f>
        <v>47.620253164556956</v>
      </c>
      <c r="E64" s="115">
        <f t="shared" si="67"/>
        <v>96.972151898734182</v>
      </c>
      <c r="F64" s="114">
        <f t="shared" si="67"/>
        <v>95.240506329113913</v>
      </c>
      <c r="G64" s="115">
        <f t="shared" si="67"/>
        <v>135.06835443037974</v>
      </c>
      <c r="H64" s="114">
        <f t="shared" si="67"/>
        <v>166.23797468354428</v>
      </c>
      <c r="I64" s="115">
        <f t="shared" si="67"/>
        <v>165.08354430379745</v>
      </c>
      <c r="J64" s="114">
        <f t="shared" si="67"/>
        <v>221.65063291139239</v>
      </c>
      <c r="K64" s="115">
        <f>(K45/K59)*0.95</f>
        <v>332.47594936708856</v>
      </c>
      <c r="L64" s="116"/>
      <c r="M64" s="65"/>
      <c r="N64" s="65"/>
      <c r="O64" s="65"/>
      <c r="P64" s="65"/>
      <c r="Q64" s="65"/>
    </row>
    <row r="65" spans="1:17" s="16" customFormat="1" x14ac:dyDescent="0.25">
      <c r="A65" s="133" t="s">
        <v>107</v>
      </c>
      <c r="B65" s="117">
        <v>0</v>
      </c>
      <c r="C65" s="118">
        <f>C45/C59</f>
        <v>54.683544303797468</v>
      </c>
      <c r="D65" s="117">
        <f t="shared" ref="D65:J65" si="68">D45/D59</f>
        <v>50.12658227848101</v>
      </c>
      <c r="E65" s="118">
        <f t="shared" si="68"/>
        <v>102.07594936708861</v>
      </c>
      <c r="F65" s="117">
        <f t="shared" si="68"/>
        <v>100.25316455696202</v>
      </c>
      <c r="G65" s="118">
        <f t="shared" si="68"/>
        <v>142.17721518987341</v>
      </c>
      <c r="H65" s="117">
        <f t="shared" si="68"/>
        <v>174.98734177215189</v>
      </c>
      <c r="I65" s="118">
        <f t="shared" si="68"/>
        <v>173.77215189873417</v>
      </c>
      <c r="J65" s="117">
        <f t="shared" si="68"/>
        <v>233.31645569620252</v>
      </c>
      <c r="K65" s="118">
        <f>K45/K59</f>
        <v>349.97468354430379</v>
      </c>
      <c r="L65" s="23"/>
      <c r="M65" s="86"/>
      <c r="N65" s="86"/>
      <c r="O65" s="86"/>
      <c r="P65" s="86"/>
      <c r="Q65" s="86"/>
    </row>
    <row r="66" spans="1:17" s="17" customFormat="1" x14ac:dyDescent="0.25">
      <c r="A66" s="128" t="s">
        <v>106</v>
      </c>
      <c r="B66" s="88">
        <v>0</v>
      </c>
      <c r="C66" s="89">
        <f>0.12*(C45/C61)</f>
        <v>36.167441860465118</v>
      </c>
      <c r="D66" s="88">
        <f>(0.12*D45/D61)</f>
        <v>33.153488372093022</v>
      </c>
      <c r="E66" s="89">
        <f t="shared" ref="E66:K66" si="69">(0.12*E45/E61)</f>
        <v>67.512558139534889</v>
      </c>
      <c r="F66" s="88">
        <f t="shared" si="69"/>
        <v>66.306976744186045</v>
      </c>
      <c r="G66" s="89">
        <f t="shared" si="69"/>
        <v>94.035348837209298</v>
      </c>
      <c r="H66" s="88">
        <f t="shared" si="69"/>
        <v>115.73581395348836</v>
      </c>
      <c r="I66" s="89">
        <f t="shared" si="69"/>
        <v>114.93209302325582</v>
      </c>
      <c r="J66" s="88">
        <f t="shared" si="69"/>
        <v>154.31441860465114</v>
      </c>
      <c r="K66" s="89">
        <f t="shared" si="69"/>
        <v>231.47162790697672</v>
      </c>
      <c r="L66" s="109"/>
      <c r="M66" s="110"/>
      <c r="N66" s="110"/>
      <c r="O66" s="110"/>
      <c r="P66" s="110"/>
      <c r="Q66" s="110"/>
    </row>
    <row r="67" spans="1:17" s="15" customFormat="1" x14ac:dyDescent="0.25">
      <c r="A67" s="132" t="s">
        <v>118</v>
      </c>
      <c r="B67" s="114">
        <v>0</v>
      </c>
      <c r="C67" s="115">
        <f>0.05*(C45/C61)</f>
        <v>15.069767441860467</v>
      </c>
      <c r="D67" s="114">
        <f t="shared" ref="D67:K67" si="70">0.05*(D45/D61)</f>
        <v>13.813953488372093</v>
      </c>
      <c r="E67" s="115">
        <f t="shared" si="70"/>
        <v>28.130232558139536</v>
      </c>
      <c r="F67" s="114">
        <f t="shared" si="70"/>
        <v>27.627906976744185</v>
      </c>
      <c r="G67" s="115">
        <f t="shared" si="70"/>
        <v>39.181395348837214</v>
      </c>
      <c r="H67" s="114">
        <f t="shared" si="70"/>
        <v>48.223255813953493</v>
      </c>
      <c r="I67" s="115">
        <f t="shared" si="70"/>
        <v>47.888372093023264</v>
      </c>
      <c r="J67" s="114">
        <f t="shared" si="70"/>
        <v>64.297674418604657</v>
      </c>
      <c r="K67" s="115">
        <f t="shared" si="70"/>
        <v>96.446511627906986</v>
      </c>
      <c r="L67" s="116"/>
      <c r="M67" s="65"/>
      <c r="N67" s="65"/>
      <c r="O67" s="65"/>
      <c r="P67" s="65"/>
      <c r="Q67" s="65"/>
    </row>
    <row r="68" spans="1:17" x14ac:dyDescent="0.25">
      <c r="A68" s="125" t="s">
        <v>75</v>
      </c>
      <c r="B68" s="88">
        <f>B50/B61</f>
        <v>127.25581395348837</v>
      </c>
      <c r="C68" s="89">
        <f t="shared" ref="C68:K68" si="71">C50/C61</f>
        <v>167.44186046511629</v>
      </c>
      <c r="D68" s="88">
        <f t="shared" si="71"/>
        <v>167.44186046511629</v>
      </c>
      <c r="E68" s="89">
        <f t="shared" si="71"/>
        <v>209.30232558139534</v>
      </c>
      <c r="F68" s="88">
        <f t="shared" si="71"/>
        <v>209.30232558139534</v>
      </c>
      <c r="G68" s="89">
        <f t="shared" si="71"/>
        <v>372.09302325581393</v>
      </c>
      <c r="H68" s="88">
        <f t="shared" si="71"/>
        <v>372.09302325581393</v>
      </c>
      <c r="I68" s="89">
        <f t="shared" si="71"/>
        <v>372.09302325581393</v>
      </c>
      <c r="J68" s="88">
        <f t="shared" si="71"/>
        <v>511.62790697674421</v>
      </c>
      <c r="K68" s="89">
        <f t="shared" si="71"/>
        <v>651.16279069767438</v>
      </c>
      <c r="L68" s="22"/>
      <c r="M68" s="39"/>
      <c r="N68" s="39"/>
      <c r="O68" s="39"/>
      <c r="P68" s="39"/>
      <c r="Q68" s="39"/>
    </row>
    <row r="69" spans="1:17" s="17" customFormat="1" x14ac:dyDescent="0.25">
      <c r="A69" s="128" t="s">
        <v>142</v>
      </c>
      <c r="B69" s="88">
        <v>0</v>
      </c>
      <c r="C69" s="89">
        <f>C63+C66</f>
        <v>84.288960847806891</v>
      </c>
      <c r="D69" s="88">
        <f t="shared" ref="D69:J69" si="72">D63+D66</f>
        <v>77.264880777156321</v>
      </c>
      <c r="E69" s="89">
        <f t="shared" si="72"/>
        <v>157.33939358257288</v>
      </c>
      <c r="F69" s="88">
        <f t="shared" si="72"/>
        <v>154.52976155431264</v>
      </c>
      <c r="G69" s="89">
        <f t="shared" si="72"/>
        <v>219.15129820429792</v>
      </c>
      <c r="H69" s="88">
        <f t="shared" si="72"/>
        <v>269.72467471298205</v>
      </c>
      <c r="I69" s="89">
        <f t="shared" si="72"/>
        <v>267.85158669414187</v>
      </c>
      <c r="J69" s="88">
        <f t="shared" si="72"/>
        <v>359.63289961730936</v>
      </c>
      <c r="K69" s="89">
        <f>K63+K66+K62</f>
        <v>714.43669119811602</v>
      </c>
      <c r="L69" s="109"/>
      <c r="M69" s="110"/>
      <c r="N69" s="110"/>
      <c r="O69" s="110"/>
      <c r="P69" s="110"/>
      <c r="Q69" s="110"/>
    </row>
    <row r="70" spans="1:17" s="15" customFormat="1" x14ac:dyDescent="0.25">
      <c r="A70" s="132" t="s">
        <v>119</v>
      </c>
      <c r="B70" s="114">
        <v>0</v>
      </c>
      <c r="C70" s="115">
        <f>C64+C67+C62</f>
        <v>94.360906682366803</v>
      </c>
      <c r="D70" s="114">
        <f t="shared" ref="D70:K70" si="73">D64+D67+D62</f>
        <v>103.43420665292905</v>
      </c>
      <c r="E70" s="115">
        <f t="shared" si="73"/>
        <v>176.14035914041801</v>
      </c>
      <c r="F70" s="114">
        <f t="shared" si="73"/>
        <v>172.99499558433911</v>
      </c>
      <c r="G70" s="115">
        <f t="shared" si="73"/>
        <v>245.33835737415365</v>
      </c>
      <c r="H70" s="114">
        <f t="shared" si="73"/>
        <v>301.95490138357371</v>
      </c>
      <c r="I70" s="115">
        <f t="shared" si="73"/>
        <v>299.85799234618781</v>
      </c>
      <c r="J70" s="114">
        <f t="shared" si="73"/>
        <v>402.60653517809834</v>
      </c>
      <c r="K70" s="115">
        <f t="shared" si="73"/>
        <v>603.90980276714743</v>
      </c>
      <c r="L70" s="116"/>
      <c r="M70" s="65"/>
      <c r="N70" s="65"/>
      <c r="O70" s="65"/>
      <c r="P70" s="65"/>
      <c r="Q70" s="65"/>
    </row>
    <row r="71" spans="1:17" s="16" customFormat="1" x14ac:dyDescent="0.25">
      <c r="A71" s="133" t="s">
        <v>120</v>
      </c>
      <c r="B71" s="117">
        <v>0</v>
      </c>
      <c r="C71" s="118">
        <f>C65+C62</f>
        <v>82.025316455696213</v>
      </c>
      <c r="D71" s="117">
        <f t="shared" ref="D71:K71" si="74">D65+D62</f>
        <v>92.12658227848101</v>
      </c>
      <c r="E71" s="118">
        <f t="shared" si="74"/>
        <v>153.11392405063293</v>
      </c>
      <c r="F71" s="117">
        <f t="shared" si="74"/>
        <v>150.37974683544303</v>
      </c>
      <c r="G71" s="118">
        <f t="shared" si="74"/>
        <v>213.2658227848101</v>
      </c>
      <c r="H71" s="117">
        <f t="shared" si="74"/>
        <v>262.48101265822783</v>
      </c>
      <c r="I71" s="118">
        <f t="shared" si="74"/>
        <v>260.65822784810126</v>
      </c>
      <c r="J71" s="117">
        <f t="shared" si="74"/>
        <v>349.97468354430379</v>
      </c>
      <c r="K71" s="118">
        <f t="shared" si="74"/>
        <v>524.96202531645565</v>
      </c>
      <c r="L71" s="23"/>
      <c r="M71" s="86"/>
      <c r="N71" s="86"/>
      <c r="O71" s="86"/>
      <c r="P71" s="86"/>
      <c r="Q71" s="86"/>
    </row>
    <row r="72" spans="1:17" s="17" customFormat="1" ht="25.5" x14ac:dyDescent="0.25">
      <c r="A72" s="128" t="s">
        <v>135</v>
      </c>
      <c r="B72" s="88">
        <v>0</v>
      </c>
      <c r="C72" s="89">
        <f>C63/6</f>
        <v>8.0202531645569621</v>
      </c>
      <c r="D72" s="88">
        <f t="shared" ref="D72:J72" si="75">D63/6</f>
        <v>7.3518987341772153</v>
      </c>
      <c r="E72" s="89">
        <f t="shared" si="75"/>
        <v>14.97113924050633</v>
      </c>
      <c r="F72" s="88">
        <f t="shared" si="75"/>
        <v>14.703797468354431</v>
      </c>
      <c r="G72" s="89">
        <f t="shared" si="75"/>
        <v>20.852658227848099</v>
      </c>
      <c r="H72" s="88">
        <f t="shared" si="75"/>
        <v>25.664810126582278</v>
      </c>
      <c r="I72" s="89">
        <f t="shared" si="75"/>
        <v>25.486582278481009</v>
      </c>
      <c r="J72" s="88">
        <f t="shared" si="75"/>
        <v>34.21974683544304</v>
      </c>
      <c r="K72" s="89">
        <f>K63/6</f>
        <v>51.329620253164556</v>
      </c>
      <c r="L72" s="109"/>
      <c r="M72" s="110"/>
      <c r="N72" s="110"/>
      <c r="O72" s="110"/>
      <c r="P72" s="110"/>
      <c r="Q72" s="110"/>
    </row>
    <row r="73" spans="1:17" s="15" customFormat="1" ht="25.5" x14ac:dyDescent="0.25">
      <c r="A73" s="132" t="s">
        <v>134</v>
      </c>
      <c r="B73" s="114">
        <v>0</v>
      </c>
      <c r="C73" s="115">
        <f>C64/6</f>
        <v>8.6582278481012658</v>
      </c>
      <c r="D73" s="114">
        <f t="shared" ref="D73:K73" si="76">D64/6</f>
        <v>7.9367088607594924</v>
      </c>
      <c r="E73" s="115">
        <f t="shared" si="76"/>
        <v>16.162025316455697</v>
      </c>
      <c r="F73" s="114">
        <f t="shared" si="76"/>
        <v>15.873417721518985</v>
      </c>
      <c r="G73" s="115">
        <f t="shared" si="76"/>
        <v>22.51139240506329</v>
      </c>
      <c r="H73" s="114">
        <f t="shared" si="76"/>
        <v>27.706329113924046</v>
      </c>
      <c r="I73" s="115">
        <f t="shared" si="76"/>
        <v>27.513924050632909</v>
      </c>
      <c r="J73" s="114">
        <f t="shared" si="76"/>
        <v>36.941772151898732</v>
      </c>
      <c r="K73" s="115">
        <f t="shared" si="76"/>
        <v>55.412658227848091</v>
      </c>
      <c r="L73" s="116"/>
      <c r="M73" s="65"/>
      <c r="N73" s="65"/>
      <c r="O73" s="65"/>
      <c r="P73" s="65"/>
      <c r="Q73" s="65"/>
    </row>
    <row r="74" spans="1:17" s="16" customFormat="1" ht="25.5" x14ac:dyDescent="0.25">
      <c r="A74" s="133" t="s">
        <v>136</v>
      </c>
      <c r="B74" s="117">
        <v>0</v>
      </c>
      <c r="C74" s="118">
        <f>C65/6</f>
        <v>9.113924050632912</v>
      </c>
      <c r="D74" s="117">
        <v>14</v>
      </c>
      <c r="E74" s="118">
        <f t="shared" ref="E74:K74" si="77">E65/6</f>
        <v>17.012658227848103</v>
      </c>
      <c r="F74" s="117">
        <f t="shared" si="77"/>
        <v>16.708860759493671</v>
      </c>
      <c r="G74" s="118">
        <f t="shared" si="77"/>
        <v>23.696202531645568</v>
      </c>
      <c r="H74" s="117">
        <f t="shared" si="77"/>
        <v>29.164556962025316</v>
      </c>
      <c r="I74" s="118">
        <f>I65/6</f>
        <v>28.962025316455694</v>
      </c>
      <c r="J74" s="117">
        <f t="shared" si="77"/>
        <v>38.88607594936709</v>
      </c>
      <c r="K74" s="118">
        <f t="shared" si="77"/>
        <v>58.329113924050631</v>
      </c>
      <c r="L74" s="23"/>
      <c r="M74" s="86"/>
      <c r="N74" s="86"/>
      <c r="O74" s="86"/>
      <c r="P74" s="86"/>
      <c r="Q74" s="86"/>
    </row>
    <row r="75" spans="1:17" s="17" customFormat="1" x14ac:dyDescent="0.25">
      <c r="A75" s="128" t="s">
        <v>121</v>
      </c>
      <c r="B75" s="88">
        <v>0</v>
      </c>
      <c r="C75" s="89">
        <v>1</v>
      </c>
      <c r="D75" s="88">
        <v>1</v>
      </c>
      <c r="E75" s="89">
        <v>1</v>
      </c>
      <c r="F75" s="88">
        <v>1</v>
      </c>
      <c r="G75" s="89">
        <v>1</v>
      </c>
      <c r="H75" s="88">
        <v>1</v>
      </c>
      <c r="I75" s="89">
        <v>2</v>
      </c>
      <c r="J75" s="88">
        <v>2</v>
      </c>
      <c r="K75" s="89">
        <v>2</v>
      </c>
      <c r="L75" s="109"/>
      <c r="M75" s="110"/>
      <c r="N75" s="110"/>
      <c r="O75" s="110"/>
      <c r="P75" s="110"/>
      <c r="Q75" s="110"/>
    </row>
    <row r="76" spans="1:17" s="15" customFormat="1" x14ac:dyDescent="0.25">
      <c r="A76" s="132" t="s">
        <v>122</v>
      </c>
      <c r="B76" s="114">
        <v>0</v>
      </c>
      <c r="C76" s="115">
        <v>1</v>
      </c>
      <c r="D76" s="114">
        <v>1</v>
      </c>
      <c r="E76" s="115">
        <v>1</v>
      </c>
      <c r="F76" s="114">
        <v>1</v>
      </c>
      <c r="G76" s="115">
        <v>1</v>
      </c>
      <c r="H76" s="114">
        <v>2</v>
      </c>
      <c r="I76" s="115">
        <v>2</v>
      </c>
      <c r="J76" s="114">
        <v>2</v>
      </c>
      <c r="K76" s="115">
        <v>2</v>
      </c>
      <c r="L76" s="116"/>
      <c r="M76" s="65"/>
      <c r="N76" s="65"/>
      <c r="O76" s="65"/>
      <c r="P76" s="65"/>
      <c r="Q76" s="65"/>
    </row>
    <row r="77" spans="1:17" s="16" customFormat="1" x14ac:dyDescent="0.25">
      <c r="A77" s="133" t="s">
        <v>123</v>
      </c>
      <c r="B77" s="117">
        <v>0</v>
      </c>
      <c r="C77" s="118">
        <v>1</v>
      </c>
      <c r="D77" s="117">
        <v>1</v>
      </c>
      <c r="E77" s="118">
        <v>1</v>
      </c>
      <c r="F77" s="117">
        <v>1</v>
      </c>
      <c r="G77" s="118">
        <v>1</v>
      </c>
      <c r="H77" s="117">
        <v>2</v>
      </c>
      <c r="I77" s="118">
        <v>2</v>
      </c>
      <c r="J77" s="117">
        <v>2</v>
      </c>
      <c r="K77" s="118">
        <v>2</v>
      </c>
      <c r="L77" s="23"/>
      <c r="M77" s="86"/>
      <c r="N77" s="86"/>
      <c r="O77" s="86"/>
      <c r="P77" s="86"/>
      <c r="Q77" s="86"/>
    </row>
    <row r="78" spans="1:17" s="17" customFormat="1" x14ac:dyDescent="0.25">
      <c r="A78" s="128" t="s">
        <v>137</v>
      </c>
      <c r="B78" s="88">
        <v>0</v>
      </c>
      <c r="C78" s="89">
        <f>C72/C75</f>
        <v>8.0202531645569621</v>
      </c>
      <c r="D78" s="88">
        <f t="shared" ref="D78:K78" si="78">D72/D75</f>
        <v>7.3518987341772153</v>
      </c>
      <c r="E78" s="89">
        <f t="shared" si="78"/>
        <v>14.97113924050633</v>
      </c>
      <c r="F78" s="88">
        <f t="shared" si="78"/>
        <v>14.703797468354431</v>
      </c>
      <c r="G78" s="89">
        <f t="shared" si="78"/>
        <v>20.852658227848099</v>
      </c>
      <c r="H78" s="88">
        <f t="shared" si="78"/>
        <v>25.664810126582278</v>
      </c>
      <c r="I78" s="89">
        <f t="shared" si="78"/>
        <v>12.743291139240505</v>
      </c>
      <c r="J78" s="88">
        <f t="shared" si="78"/>
        <v>17.10987341772152</v>
      </c>
      <c r="K78" s="89">
        <f t="shared" si="78"/>
        <v>25.664810126582278</v>
      </c>
      <c r="L78" s="109"/>
      <c r="M78" s="110"/>
      <c r="N78" s="110"/>
      <c r="O78" s="110"/>
      <c r="P78" s="110"/>
      <c r="Q78" s="110"/>
    </row>
    <row r="79" spans="1:17" s="16" customFormat="1" x14ac:dyDescent="0.25">
      <c r="A79" s="133" t="s">
        <v>138</v>
      </c>
      <c r="B79" s="117">
        <v>0</v>
      </c>
      <c r="C79" s="118">
        <f>C74/C77</f>
        <v>9.113924050632912</v>
      </c>
      <c r="D79" s="117">
        <f t="shared" ref="D79:J79" si="79">D74/D77</f>
        <v>14</v>
      </c>
      <c r="E79" s="118">
        <f t="shared" si="79"/>
        <v>17.012658227848103</v>
      </c>
      <c r="F79" s="117">
        <f t="shared" si="79"/>
        <v>16.708860759493671</v>
      </c>
      <c r="G79" s="118">
        <f t="shared" si="79"/>
        <v>23.696202531645568</v>
      </c>
      <c r="H79" s="117">
        <f t="shared" si="79"/>
        <v>14.582278481012658</v>
      </c>
      <c r="I79" s="118">
        <f t="shared" si="79"/>
        <v>14.481012658227847</v>
      </c>
      <c r="J79" s="117">
        <f t="shared" si="79"/>
        <v>19.443037974683545</v>
      </c>
      <c r="K79" s="118">
        <f>K74/K77</f>
        <v>29.164556962025316</v>
      </c>
      <c r="L79" s="23"/>
      <c r="M79" s="86"/>
      <c r="N79" s="86"/>
      <c r="O79" s="86"/>
      <c r="P79" s="86"/>
      <c r="Q79" s="86"/>
    </row>
    <row r="80" spans="1:17" s="17" customFormat="1" hidden="1" x14ac:dyDescent="0.25">
      <c r="A80" s="128" t="s">
        <v>124</v>
      </c>
      <c r="B80" s="88">
        <v>0</v>
      </c>
      <c r="C80" s="89">
        <v>20</v>
      </c>
      <c r="D80" s="88">
        <v>20</v>
      </c>
      <c r="E80" s="89">
        <v>20</v>
      </c>
      <c r="F80" s="88">
        <v>20</v>
      </c>
      <c r="G80" s="89">
        <v>20</v>
      </c>
      <c r="H80" s="88">
        <v>20</v>
      </c>
      <c r="I80" s="89">
        <v>20</v>
      </c>
      <c r="J80" s="88"/>
      <c r="K80" s="89"/>
      <c r="L80" s="109"/>
      <c r="M80" s="110"/>
      <c r="N80" s="110"/>
      <c r="O80" s="110"/>
      <c r="P80" s="110"/>
      <c r="Q80" s="110"/>
    </row>
    <row r="81" spans="1:17" s="15" customFormat="1" hidden="1" x14ac:dyDescent="0.25">
      <c r="A81" s="132" t="s">
        <v>125</v>
      </c>
      <c r="B81" s="114">
        <v>0</v>
      </c>
      <c r="C81" s="115"/>
      <c r="D81" s="114"/>
      <c r="E81" s="115"/>
      <c r="F81" s="114"/>
      <c r="G81" s="115"/>
      <c r="H81" s="114"/>
      <c r="I81" s="115"/>
      <c r="J81" s="114"/>
      <c r="K81" s="115"/>
      <c r="L81" s="116"/>
      <c r="M81" s="65"/>
      <c r="N81" s="65"/>
      <c r="O81" s="65"/>
      <c r="P81" s="65"/>
      <c r="Q81" s="65"/>
    </row>
    <row r="82" spans="1:17" s="16" customFormat="1" hidden="1" x14ac:dyDescent="0.25">
      <c r="A82" s="133" t="s">
        <v>126</v>
      </c>
      <c r="B82" s="117">
        <v>0</v>
      </c>
      <c r="C82" s="118">
        <v>20</v>
      </c>
      <c r="D82" s="117">
        <v>20</v>
      </c>
      <c r="E82" s="118">
        <v>20</v>
      </c>
      <c r="F82" s="117">
        <v>20</v>
      </c>
      <c r="G82" s="118">
        <v>20</v>
      </c>
      <c r="H82" s="117">
        <v>20</v>
      </c>
      <c r="I82" s="118">
        <v>20</v>
      </c>
      <c r="J82" s="117"/>
      <c r="K82" s="118"/>
      <c r="L82" s="23"/>
      <c r="M82" s="86"/>
      <c r="N82" s="86"/>
      <c r="O82" s="86"/>
      <c r="P82" s="86"/>
      <c r="Q82" s="86"/>
    </row>
    <row r="83" spans="1:17" x14ac:dyDescent="0.25">
      <c r="A83" s="125" t="s">
        <v>174</v>
      </c>
      <c r="B83" s="88">
        <v>0</v>
      </c>
      <c r="C83" s="89">
        <f>(C72*6)*C59</f>
        <v>11404.8</v>
      </c>
      <c r="D83" s="88">
        <f>(D72*6)*D59</f>
        <v>10454.4</v>
      </c>
      <c r="E83" s="89">
        <f t="shared" ref="E83:J83" si="80">(E72*6)*E59</f>
        <v>21288.960000000003</v>
      </c>
      <c r="F83" s="88">
        <f t="shared" si="80"/>
        <v>20908.8</v>
      </c>
      <c r="G83" s="89">
        <f t="shared" si="80"/>
        <v>29652.48</v>
      </c>
      <c r="H83" s="88">
        <f t="shared" si="80"/>
        <v>36495.360000000001</v>
      </c>
      <c r="I83" s="89">
        <f t="shared" si="80"/>
        <v>36241.919999999998</v>
      </c>
      <c r="J83" s="88">
        <f t="shared" si="80"/>
        <v>48660.480000000003</v>
      </c>
      <c r="K83" s="89">
        <f>(K72*6)*K59</f>
        <v>72990.720000000001</v>
      </c>
      <c r="L83" s="22"/>
      <c r="M83" s="39"/>
      <c r="N83" s="39"/>
      <c r="O83" s="39"/>
      <c r="P83" s="39"/>
      <c r="Q83" s="39"/>
    </row>
    <row r="84" spans="1:17" s="17" customFormat="1" x14ac:dyDescent="0.25">
      <c r="A84" s="128" t="s">
        <v>162</v>
      </c>
      <c r="B84" s="88">
        <v>32</v>
      </c>
      <c r="C84" s="89">
        <f>C66/3</f>
        <v>12.055813953488373</v>
      </c>
      <c r="D84" s="88">
        <f>D66/3</f>
        <v>11.051162790697674</v>
      </c>
      <c r="E84" s="89">
        <f t="shared" ref="E84:K84" si="81">E66/3</f>
        <v>22.504186046511631</v>
      </c>
      <c r="F84" s="88">
        <f t="shared" si="81"/>
        <v>22.102325581395348</v>
      </c>
      <c r="G84" s="89">
        <f t="shared" si="81"/>
        <v>31.345116279069767</v>
      </c>
      <c r="H84" s="88">
        <f t="shared" si="81"/>
        <v>38.578604651162784</v>
      </c>
      <c r="I84" s="89">
        <f t="shared" si="81"/>
        <v>38.310697674418606</v>
      </c>
      <c r="J84" s="88">
        <f t="shared" si="81"/>
        <v>51.43813953488371</v>
      </c>
      <c r="K84" s="89">
        <f t="shared" si="81"/>
        <v>77.157209302325569</v>
      </c>
      <c r="L84" s="109"/>
      <c r="M84" s="110"/>
      <c r="N84" s="110"/>
      <c r="O84" s="110"/>
      <c r="P84" s="110"/>
      <c r="Q84" s="110"/>
    </row>
    <row r="85" spans="1:17" s="15" customFormat="1" x14ac:dyDescent="0.25">
      <c r="A85" s="132" t="s">
        <v>163</v>
      </c>
      <c r="B85" s="114"/>
      <c r="C85" s="115">
        <f>C39/(11*30)</f>
        <v>15.021212121212121</v>
      </c>
      <c r="D85" s="114">
        <f>D39/(11*30)</f>
        <v>19.509090909090908</v>
      </c>
      <c r="E85" s="115">
        <f t="shared" ref="E85:K85" si="82">E39/(11*30)</f>
        <v>35.299999999999997</v>
      </c>
      <c r="F85" s="114">
        <f t="shared" si="82"/>
        <v>28.315151515151516</v>
      </c>
      <c r="G85" s="115">
        <f t="shared" si="82"/>
        <v>47.669696969696972</v>
      </c>
      <c r="H85" s="114">
        <f t="shared" si="82"/>
        <v>60.115151515151517</v>
      </c>
      <c r="I85" s="115">
        <f t="shared" si="82"/>
        <v>62.187878787878788</v>
      </c>
      <c r="J85" s="114">
        <f t="shared" si="82"/>
        <v>88.11515151515151</v>
      </c>
      <c r="K85" s="115">
        <f t="shared" si="82"/>
        <v>86.545454545454547</v>
      </c>
      <c r="L85" s="116"/>
      <c r="M85" s="65"/>
      <c r="N85" s="65"/>
      <c r="O85" s="65"/>
      <c r="P85" s="65"/>
      <c r="Q85" s="65"/>
    </row>
    <row r="86" spans="1:17" s="17" customFormat="1" x14ac:dyDescent="0.25">
      <c r="A86" s="128" t="s">
        <v>143</v>
      </c>
      <c r="B86" s="88">
        <v>0</v>
      </c>
      <c r="C86" s="89">
        <f t="shared" ref="C86:K86" si="83">C93*C59</f>
        <v>17884.8</v>
      </c>
      <c r="D86" s="88">
        <f t="shared" si="83"/>
        <v>20408.400000000001</v>
      </c>
      <c r="E86" s="89">
        <f t="shared" si="83"/>
        <v>33384.959999999999</v>
      </c>
      <c r="F86" s="88">
        <f t="shared" si="83"/>
        <v>32788.800000000003</v>
      </c>
      <c r="G86" s="89">
        <f t="shared" si="83"/>
        <v>46500.480000000003</v>
      </c>
      <c r="H86" s="88">
        <f t="shared" si="83"/>
        <v>57231.360000000001</v>
      </c>
      <c r="I86" s="89">
        <f t="shared" si="83"/>
        <v>56833.919999999998</v>
      </c>
      <c r="J86" s="88">
        <f t="shared" si="83"/>
        <v>76308.479999999996</v>
      </c>
      <c r="K86" s="89">
        <f t="shared" si="83"/>
        <v>114462.72</v>
      </c>
      <c r="L86" s="109"/>
      <c r="M86" s="110"/>
      <c r="N86" s="110"/>
      <c r="O86" s="110"/>
      <c r="P86" s="110"/>
      <c r="Q86" s="110"/>
    </row>
    <row r="87" spans="1:17" s="15" customFormat="1" x14ac:dyDescent="0.25">
      <c r="A87" s="132" t="s">
        <v>144</v>
      </c>
      <c r="B87" s="114">
        <v>0</v>
      </c>
      <c r="C87" s="115">
        <f t="shared" ref="C87:K87" si="84">C95*C59</f>
        <v>18792.000000000004</v>
      </c>
      <c r="D87" s="114">
        <f t="shared" si="84"/>
        <v>21240</v>
      </c>
      <c r="E87" s="115">
        <f t="shared" si="84"/>
        <v>35078.400000000001</v>
      </c>
      <c r="F87" s="114">
        <f t="shared" si="84"/>
        <v>34452</v>
      </c>
      <c r="G87" s="115">
        <f t="shared" si="84"/>
        <v>48859.199999999997</v>
      </c>
      <c r="H87" s="114">
        <f t="shared" si="84"/>
        <v>60134.399999999994</v>
      </c>
      <c r="I87" s="115">
        <f t="shared" si="84"/>
        <v>59716.799999999988</v>
      </c>
      <c r="J87" s="114">
        <f t="shared" si="84"/>
        <v>80179.199999999997</v>
      </c>
      <c r="K87" s="115">
        <f t="shared" si="84"/>
        <v>120268.79999999999</v>
      </c>
      <c r="L87" s="116"/>
      <c r="M87" s="65"/>
      <c r="N87" s="65"/>
      <c r="O87" s="65"/>
      <c r="P87" s="65"/>
      <c r="Q87" s="65"/>
    </row>
    <row r="88" spans="1:17" s="36" customFormat="1" ht="15.75" thickBot="1" x14ac:dyDescent="0.3">
      <c r="A88" s="134" t="s">
        <v>145</v>
      </c>
      <c r="B88" s="120">
        <v>0</v>
      </c>
      <c r="C88" s="121">
        <f t="shared" ref="C88:K88" si="85">C97*C59</f>
        <v>19440.000000000004</v>
      </c>
      <c r="D88" s="120">
        <f t="shared" si="85"/>
        <v>21834</v>
      </c>
      <c r="E88" s="121">
        <f t="shared" si="85"/>
        <v>36288.000000000007</v>
      </c>
      <c r="F88" s="120">
        <f t="shared" si="85"/>
        <v>35640</v>
      </c>
      <c r="G88" s="121">
        <f t="shared" si="85"/>
        <v>50543.999999999993</v>
      </c>
      <c r="H88" s="120">
        <f t="shared" si="85"/>
        <v>62207.999999999993</v>
      </c>
      <c r="I88" s="121">
        <f t="shared" si="85"/>
        <v>61776</v>
      </c>
      <c r="J88" s="120">
        <f t="shared" si="85"/>
        <v>82944</v>
      </c>
      <c r="K88" s="121">
        <f t="shared" si="85"/>
        <v>124415.99999999999</v>
      </c>
      <c r="L88" s="38"/>
      <c r="M88" s="76"/>
      <c r="N88" s="76"/>
      <c r="O88" s="76"/>
      <c r="P88" s="76"/>
      <c r="Q88" s="76"/>
    </row>
    <row r="89" spans="1:17" s="34" customFormat="1" ht="25.5" x14ac:dyDescent="0.25">
      <c r="A89" s="130" t="s">
        <v>19</v>
      </c>
      <c r="B89" s="105">
        <v>40</v>
      </c>
      <c r="C89" s="106">
        <v>125</v>
      </c>
      <c r="D89" s="105">
        <v>125</v>
      </c>
      <c r="E89" s="106">
        <v>165</v>
      </c>
      <c r="F89" s="105">
        <v>118</v>
      </c>
      <c r="G89" s="106">
        <v>196</v>
      </c>
      <c r="H89" s="105">
        <v>216</v>
      </c>
      <c r="I89" s="106">
        <v>216</v>
      </c>
      <c r="J89" s="105">
        <v>261</v>
      </c>
      <c r="K89" s="106">
        <v>305</v>
      </c>
      <c r="L89" s="94"/>
      <c r="M89" s="81"/>
      <c r="N89" s="81"/>
      <c r="O89" s="81"/>
      <c r="P89" s="81"/>
      <c r="Q89" s="81"/>
    </row>
    <row r="90" spans="1:17" s="18" customFormat="1" x14ac:dyDescent="0.25">
      <c r="A90" s="136" t="s">
        <v>139</v>
      </c>
      <c r="B90" s="119">
        <v>0</v>
      </c>
      <c r="C90" s="122">
        <f t="shared" ref="C90:K90" si="86">(2*C72)</f>
        <v>16.040506329113924</v>
      </c>
      <c r="D90" s="119">
        <f t="shared" si="86"/>
        <v>14.703797468354431</v>
      </c>
      <c r="E90" s="122">
        <f t="shared" si="86"/>
        <v>29.942278481012661</v>
      </c>
      <c r="F90" s="119">
        <f t="shared" si="86"/>
        <v>29.407594936708861</v>
      </c>
      <c r="G90" s="122">
        <f t="shared" si="86"/>
        <v>41.705316455696199</v>
      </c>
      <c r="H90" s="119">
        <f t="shared" si="86"/>
        <v>51.329620253164556</v>
      </c>
      <c r="I90" s="122">
        <f t="shared" si="86"/>
        <v>50.973164556962018</v>
      </c>
      <c r="J90" s="119">
        <f t="shared" si="86"/>
        <v>68.43949367088608</v>
      </c>
      <c r="K90" s="122">
        <f t="shared" si="86"/>
        <v>102.65924050632911</v>
      </c>
      <c r="L90" s="123"/>
      <c r="M90" s="124"/>
      <c r="N90" s="124"/>
      <c r="O90" s="124"/>
      <c r="P90" s="124"/>
      <c r="Q90" s="124"/>
    </row>
    <row r="91" spans="1:17" s="18" customFormat="1" x14ac:dyDescent="0.25">
      <c r="A91" s="136" t="s">
        <v>140</v>
      </c>
      <c r="B91" s="119">
        <v>0</v>
      </c>
      <c r="C91" s="122">
        <f t="shared" ref="C91:K91" si="87">C63</f>
        <v>48.121518987341773</v>
      </c>
      <c r="D91" s="119">
        <f t="shared" si="87"/>
        <v>44.111392405063292</v>
      </c>
      <c r="E91" s="122">
        <f t="shared" si="87"/>
        <v>89.826835443037979</v>
      </c>
      <c r="F91" s="119">
        <f t="shared" si="87"/>
        <v>88.222784810126583</v>
      </c>
      <c r="G91" s="122">
        <f t="shared" si="87"/>
        <v>125.1159493670886</v>
      </c>
      <c r="H91" s="119">
        <f t="shared" si="87"/>
        <v>153.98886075949366</v>
      </c>
      <c r="I91" s="122">
        <f t="shared" si="87"/>
        <v>152.91949367088606</v>
      </c>
      <c r="J91" s="119">
        <f t="shared" si="87"/>
        <v>205.31848101265822</v>
      </c>
      <c r="K91" s="122">
        <f t="shared" si="87"/>
        <v>307.97772151898732</v>
      </c>
      <c r="L91" s="123"/>
      <c r="M91" s="124"/>
      <c r="N91" s="124"/>
      <c r="O91" s="124"/>
      <c r="P91" s="124"/>
      <c r="Q91" s="124"/>
    </row>
    <row r="92" spans="1:17" s="14" customFormat="1" ht="25.5" x14ac:dyDescent="0.25">
      <c r="A92" s="131" t="s">
        <v>176</v>
      </c>
      <c r="B92" s="111">
        <v>0</v>
      </c>
      <c r="C92" s="112">
        <f t="shared" ref="C92:K92" si="88">(2*C72)</f>
        <v>16.040506329113924</v>
      </c>
      <c r="D92" s="111">
        <f t="shared" si="88"/>
        <v>14.703797468354431</v>
      </c>
      <c r="E92" s="112">
        <f t="shared" si="88"/>
        <v>29.942278481012661</v>
      </c>
      <c r="F92" s="111">
        <f t="shared" si="88"/>
        <v>29.407594936708861</v>
      </c>
      <c r="G92" s="112">
        <f t="shared" si="88"/>
        <v>41.705316455696199</v>
      </c>
      <c r="H92" s="111">
        <f t="shared" si="88"/>
        <v>51.329620253164556</v>
      </c>
      <c r="I92" s="112">
        <f t="shared" si="88"/>
        <v>50.973164556962018</v>
      </c>
      <c r="J92" s="111">
        <f t="shared" si="88"/>
        <v>68.43949367088608</v>
      </c>
      <c r="K92" s="112">
        <f t="shared" si="88"/>
        <v>102.65924050632911</v>
      </c>
      <c r="L92" s="113"/>
      <c r="M92" s="71"/>
      <c r="N92" s="71"/>
      <c r="O92" s="71"/>
      <c r="P92" s="71"/>
      <c r="Q92" s="71"/>
    </row>
    <row r="93" spans="1:17" s="14" customFormat="1" x14ac:dyDescent="0.25">
      <c r="A93" s="131" t="s">
        <v>128</v>
      </c>
      <c r="B93" s="111">
        <v>0</v>
      </c>
      <c r="C93" s="112">
        <f t="shared" ref="C93:K93" si="89">C63+C62</f>
        <v>75.463291139240511</v>
      </c>
      <c r="D93" s="111">
        <f t="shared" si="89"/>
        <v>86.111392405063299</v>
      </c>
      <c r="E93" s="112">
        <f t="shared" si="89"/>
        <v>140.86481012658228</v>
      </c>
      <c r="F93" s="111">
        <f t="shared" si="89"/>
        <v>138.34936708860761</v>
      </c>
      <c r="G93" s="112">
        <f t="shared" si="89"/>
        <v>196.20455696202532</v>
      </c>
      <c r="H93" s="111">
        <f t="shared" si="89"/>
        <v>241.48253164556962</v>
      </c>
      <c r="I93" s="112">
        <f t="shared" si="89"/>
        <v>239.80556962025315</v>
      </c>
      <c r="J93" s="111">
        <f t="shared" si="89"/>
        <v>321.97670886075946</v>
      </c>
      <c r="K93" s="112">
        <f t="shared" si="89"/>
        <v>482.96506329113924</v>
      </c>
      <c r="L93" s="113"/>
      <c r="M93" s="71"/>
      <c r="N93" s="71"/>
      <c r="O93" s="71"/>
      <c r="P93" s="71"/>
      <c r="Q93" s="71"/>
    </row>
    <row r="94" spans="1:17" s="15" customFormat="1" x14ac:dyDescent="0.25">
      <c r="A94" s="132" t="s">
        <v>127</v>
      </c>
      <c r="B94" s="114">
        <v>0</v>
      </c>
      <c r="C94" s="115">
        <f t="shared" ref="C94:K94" si="90">2*C73</f>
        <v>17.316455696202532</v>
      </c>
      <c r="D94" s="114">
        <f t="shared" si="90"/>
        <v>15.873417721518985</v>
      </c>
      <c r="E94" s="115">
        <f t="shared" si="90"/>
        <v>32.324050632911394</v>
      </c>
      <c r="F94" s="114">
        <f t="shared" si="90"/>
        <v>31.74683544303797</v>
      </c>
      <c r="G94" s="115">
        <f t="shared" si="90"/>
        <v>45.022784810126581</v>
      </c>
      <c r="H94" s="114">
        <f t="shared" si="90"/>
        <v>55.412658227848091</v>
      </c>
      <c r="I94" s="115">
        <f t="shared" si="90"/>
        <v>55.027848101265818</v>
      </c>
      <c r="J94" s="114">
        <f t="shared" si="90"/>
        <v>73.883544303797464</v>
      </c>
      <c r="K94" s="115">
        <f t="shared" si="90"/>
        <v>110.82531645569618</v>
      </c>
      <c r="L94" s="116"/>
      <c r="M94" s="65"/>
      <c r="N94" s="65"/>
      <c r="O94" s="65"/>
      <c r="P94" s="65"/>
      <c r="Q94" s="65"/>
    </row>
    <row r="95" spans="1:17" s="15" customFormat="1" x14ac:dyDescent="0.25">
      <c r="A95" s="132" t="s">
        <v>128</v>
      </c>
      <c r="B95" s="114">
        <v>0</v>
      </c>
      <c r="C95" s="115">
        <f t="shared" ref="C95:K95" si="91">C64+C62</f>
        <v>79.29113924050634</v>
      </c>
      <c r="D95" s="114">
        <f t="shared" si="91"/>
        <v>89.620253164556956</v>
      </c>
      <c r="E95" s="115">
        <f t="shared" si="91"/>
        <v>148.01012658227847</v>
      </c>
      <c r="F95" s="114">
        <f t="shared" si="91"/>
        <v>145.36708860759492</v>
      </c>
      <c r="G95" s="115">
        <f t="shared" si="91"/>
        <v>206.15696202531643</v>
      </c>
      <c r="H95" s="114">
        <f t="shared" si="91"/>
        <v>253.73164556962024</v>
      </c>
      <c r="I95" s="115">
        <f t="shared" si="91"/>
        <v>251.96962025316452</v>
      </c>
      <c r="J95" s="114">
        <f t="shared" si="91"/>
        <v>338.30886075949365</v>
      </c>
      <c r="K95" s="115">
        <f t="shared" si="91"/>
        <v>507.46329113924048</v>
      </c>
      <c r="L95" s="116"/>
      <c r="M95" s="65"/>
      <c r="N95" s="65"/>
      <c r="O95" s="65"/>
      <c r="P95" s="65"/>
      <c r="Q95" s="65"/>
    </row>
    <row r="96" spans="1:17" s="16" customFormat="1" ht="25.5" x14ac:dyDescent="0.25">
      <c r="A96" s="133" t="s">
        <v>177</v>
      </c>
      <c r="B96" s="117">
        <v>0</v>
      </c>
      <c r="C96" s="118">
        <f t="shared" ref="C96:K96" si="92">2*C74</f>
        <v>18.227848101265824</v>
      </c>
      <c r="D96" s="117">
        <f t="shared" si="92"/>
        <v>28</v>
      </c>
      <c r="E96" s="118">
        <f t="shared" si="92"/>
        <v>34.025316455696206</v>
      </c>
      <c r="F96" s="117">
        <f t="shared" si="92"/>
        <v>33.417721518987342</v>
      </c>
      <c r="G96" s="118">
        <f t="shared" si="92"/>
        <v>47.392405063291136</v>
      </c>
      <c r="H96" s="117">
        <f t="shared" si="92"/>
        <v>58.329113924050631</v>
      </c>
      <c r="I96" s="118">
        <f t="shared" si="92"/>
        <v>57.924050632911388</v>
      </c>
      <c r="J96" s="117">
        <f t="shared" si="92"/>
        <v>77.77215189873418</v>
      </c>
      <c r="K96" s="118">
        <f t="shared" si="92"/>
        <v>116.65822784810126</v>
      </c>
      <c r="L96" s="23"/>
      <c r="M96" s="86"/>
      <c r="N96" s="86"/>
      <c r="O96" s="86"/>
      <c r="P96" s="86"/>
      <c r="Q96" s="86"/>
    </row>
    <row r="97" spans="1:17" s="16" customFormat="1" x14ac:dyDescent="0.25">
      <c r="A97" s="133" t="s">
        <v>129</v>
      </c>
      <c r="B97" s="117">
        <v>0</v>
      </c>
      <c r="C97" s="118">
        <f t="shared" ref="C97:K97" si="93">C65+C62</f>
        <v>82.025316455696213</v>
      </c>
      <c r="D97" s="117">
        <f t="shared" si="93"/>
        <v>92.12658227848101</v>
      </c>
      <c r="E97" s="118">
        <f t="shared" si="93"/>
        <v>153.11392405063293</v>
      </c>
      <c r="F97" s="117">
        <f t="shared" si="93"/>
        <v>150.37974683544303</v>
      </c>
      <c r="G97" s="118">
        <f t="shared" si="93"/>
        <v>213.2658227848101</v>
      </c>
      <c r="H97" s="117">
        <f t="shared" si="93"/>
        <v>262.48101265822783</v>
      </c>
      <c r="I97" s="118">
        <f t="shared" si="93"/>
        <v>260.65822784810126</v>
      </c>
      <c r="J97" s="117">
        <f t="shared" si="93"/>
        <v>349.97468354430379</v>
      </c>
      <c r="K97" s="118">
        <f t="shared" si="93"/>
        <v>524.96202531645565</v>
      </c>
      <c r="L97" s="23"/>
      <c r="M97" s="86"/>
      <c r="N97" s="86"/>
      <c r="O97" s="86"/>
      <c r="P97" s="86"/>
      <c r="Q97" s="86"/>
    </row>
    <row r="98" spans="1:17" s="35" customFormat="1" ht="26.25" thickBot="1" x14ac:dyDescent="0.3">
      <c r="A98" s="129" t="s">
        <v>20</v>
      </c>
      <c r="B98" s="107">
        <v>0</v>
      </c>
      <c r="C98" s="108">
        <v>0</v>
      </c>
      <c r="D98" s="107">
        <v>0</v>
      </c>
      <c r="E98" s="108">
        <v>0</v>
      </c>
      <c r="F98" s="107">
        <v>0</v>
      </c>
      <c r="G98" s="108">
        <v>0</v>
      </c>
      <c r="H98" s="107">
        <v>0</v>
      </c>
      <c r="I98" s="108">
        <v>0</v>
      </c>
      <c r="J98" s="107">
        <v>0</v>
      </c>
      <c r="K98" s="108">
        <v>0</v>
      </c>
      <c r="L98" s="46"/>
      <c r="M98" s="47"/>
      <c r="N98" s="47"/>
      <c r="O98" s="47"/>
      <c r="P98" s="47"/>
      <c r="Q98" s="47"/>
    </row>
    <row r="99" spans="1:17" s="34" customFormat="1" x14ac:dyDescent="0.25">
      <c r="A99" s="130" t="s">
        <v>21</v>
      </c>
      <c r="B99" s="92">
        <v>32</v>
      </c>
      <c r="C99" s="93">
        <v>70</v>
      </c>
      <c r="D99" s="92">
        <v>70</v>
      </c>
      <c r="E99" s="93">
        <v>83</v>
      </c>
      <c r="F99" s="92">
        <v>83</v>
      </c>
      <c r="G99" s="93">
        <v>129</v>
      </c>
      <c r="H99" s="92">
        <v>138</v>
      </c>
      <c r="I99" s="93">
        <v>138</v>
      </c>
      <c r="J99" s="92">
        <v>169</v>
      </c>
      <c r="K99" s="93">
        <v>213</v>
      </c>
      <c r="L99" s="94"/>
      <c r="M99" s="81"/>
      <c r="N99" s="81"/>
      <c r="O99" s="81"/>
      <c r="P99" s="81"/>
      <c r="Q99" s="81"/>
    </row>
    <row r="100" spans="1:17" x14ac:dyDescent="0.25">
      <c r="A100" s="125" t="s">
        <v>65</v>
      </c>
      <c r="B100" s="97">
        <v>16</v>
      </c>
      <c r="C100" s="98">
        <v>36</v>
      </c>
      <c r="D100" s="97">
        <v>36</v>
      </c>
      <c r="E100" s="98">
        <v>44</v>
      </c>
      <c r="F100" s="97">
        <v>44</v>
      </c>
      <c r="G100" s="98">
        <v>68</v>
      </c>
      <c r="H100" s="97">
        <v>72</v>
      </c>
      <c r="I100" s="98">
        <v>72</v>
      </c>
      <c r="J100" s="97">
        <v>88</v>
      </c>
      <c r="K100" s="98">
        <v>108</v>
      </c>
      <c r="L100" s="22"/>
      <c r="M100" s="39"/>
      <c r="N100" s="39"/>
      <c r="O100" s="39"/>
      <c r="P100" s="39"/>
      <c r="Q100" s="39"/>
    </row>
    <row r="101" spans="1:17" x14ac:dyDescent="0.25">
      <c r="A101" s="125" t="s">
        <v>22</v>
      </c>
      <c r="B101" s="97">
        <v>0</v>
      </c>
      <c r="C101" s="98">
        <v>0</v>
      </c>
      <c r="D101" s="97">
        <v>0</v>
      </c>
      <c r="E101" s="98">
        <v>0</v>
      </c>
      <c r="F101" s="97">
        <v>0</v>
      </c>
      <c r="G101" s="98">
        <v>0</v>
      </c>
      <c r="H101" s="97">
        <v>0</v>
      </c>
      <c r="I101" s="98">
        <v>0</v>
      </c>
      <c r="J101" s="97">
        <v>0</v>
      </c>
      <c r="K101" s="98">
        <v>0</v>
      </c>
      <c r="L101" s="22"/>
      <c r="M101" s="39"/>
      <c r="N101" s="39"/>
      <c r="O101" s="39"/>
      <c r="P101" s="39"/>
      <c r="Q101" s="39"/>
    </row>
    <row r="102" spans="1:17" x14ac:dyDescent="0.25">
      <c r="A102" s="125" t="s">
        <v>23</v>
      </c>
      <c r="B102" s="97">
        <v>0</v>
      </c>
      <c r="C102" s="98">
        <v>0</v>
      </c>
      <c r="D102" s="97">
        <v>0</v>
      </c>
      <c r="E102" s="98">
        <v>20</v>
      </c>
      <c r="F102" s="97">
        <v>20</v>
      </c>
      <c r="G102" s="98">
        <v>30</v>
      </c>
      <c r="H102" s="97">
        <v>24</v>
      </c>
      <c r="I102" s="98">
        <v>24</v>
      </c>
      <c r="J102" s="97">
        <v>24</v>
      </c>
      <c r="K102" s="98">
        <v>24</v>
      </c>
      <c r="L102" s="22"/>
      <c r="M102" s="39"/>
      <c r="N102" s="39"/>
      <c r="O102" s="39"/>
      <c r="P102" s="39"/>
      <c r="Q102" s="39"/>
    </row>
    <row r="103" spans="1:17" x14ac:dyDescent="0.25">
      <c r="A103" s="125" t="s">
        <v>24</v>
      </c>
      <c r="B103" s="97">
        <v>0</v>
      </c>
      <c r="C103" s="98">
        <v>1</v>
      </c>
      <c r="D103" s="97">
        <v>1</v>
      </c>
      <c r="E103" s="98">
        <v>1</v>
      </c>
      <c r="F103" s="97">
        <v>1</v>
      </c>
      <c r="G103" s="98">
        <v>1</v>
      </c>
      <c r="H103" s="97">
        <v>1</v>
      </c>
      <c r="I103" s="98">
        <v>1</v>
      </c>
      <c r="J103" s="97">
        <v>1</v>
      </c>
      <c r="K103" s="98">
        <v>1</v>
      </c>
      <c r="L103" s="22"/>
      <c r="M103" s="39"/>
      <c r="N103" s="39"/>
      <c r="O103" s="39"/>
      <c r="P103" s="39"/>
      <c r="Q103" s="39"/>
    </row>
    <row r="104" spans="1:17" x14ac:dyDescent="0.25">
      <c r="A104" s="125" t="s">
        <v>25</v>
      </c>
      <c r="B104" s="97">
        <v>0</v>
      </c>
      <c r="C104" s="98">
        <v>0</v>
      </c>
      <c r="D104" s="97">
        <v>0</v>
      </c>
      <c r="E104" s="98">
        <v>0</v>
      </c>
      <c r="F104" s="97">
        <v>0</v>
      </c>
      <c r="G104" s="98">
        <v>0</v>
      </c>
      <c r="H104" s="97">
        <v>0</v>
      </c>
      <c r="I104" s="98">
        <v>0</v>
      </c>
      <c r="J104" s="97">
        <v>0</v>
      </c>
      <c r="K104" s="98">
        <v>0</v>
      </c>
      <c r="L104" s="22"/>
      <c r="M104" s="39"/>
      <c r="N104" s="39"/>
      <c r="O104" s="39"/>
      <c r="P104" s="39"/>
      <c r="Q104" s="39"/>
    </row>
    <row r="105" spans="1:17" x14ac:dyDescent="0.25">
      <c r="A105" s="125" t="s">
        <v>26</v>
      </c>
      <c r="B105" s="97">
        <v>1</v>
      </c>
      <c r="C105" s="98">
        <v>1</v>
      </c>
      <c r="D105" s="97">
        <v>1</v>
      </c>
      <c r="E105" s="98">
        <v>1</v>
      </c>
      <c r="F105" s="97">
        <v>1</v>
      </c>
      <c r="G105" s="98">
        <v>1</v>
      </c>
      <c r="H105" s="97">
        <v>1</v>
      </c>
      <c r="I105" s="98">
        <v>1</v>
      </c>
      <c r="J105" s="97">
        <v>1</v>
      </c>
      <c r="K105" s="98">
        <v>1</v>
      </c>
      <c r="L105" s="22"/>
      <c r="M105" s="39"/>
      <c r="N105" s="39"/>
      <c r="O105" s="39"/>
      <c r="P105" s="39"/>
      <c r="Q105" s="39"/>
    </row>
    <row r="106" spans="1:17" x14ac:dyDescent="0.25">
      <c r="A106" s="125" t="s">
        <v>27</v>
      </c>
      <c r="B106" s="97">
        <v>0</v>
      </c>
      <c r="C106" s="98">
        <v>1</v>
      </c>
      <c r="D106" s="97">
        <v>1</v>
      </c>
      <c r="E106" s="98">
        <v>1</v>
      </c>
      <c r="F106" s="97">
        <v>1</v>
      </c>
      <c r="G106" s="98">
        <v>1</v>
      </c>
      <c r="H106" s="97">
        <v>1</v>
      </c>
      <c r="I106" s="98">
        <v>1</v>
      </c>
      <c r="J106" s="97">
        <v>1</v>
      </c>
      <c r="K106" s="98">
        <v>1</v>
      </c>
      <c r="L106" s="22"/>
      <c r="M106" s="39"/>
      <c r="N106" s="39"/>
      <c r="O106" s="39"/>
      <c r="P106" s="39"/>
      <c r="Q106" s="39"/>
    </row>
    <row r="107" spans="1:17" s="35" customFormat="1" ht="15.75" thickBot="1" x14ac:dyDescent="0.3">
      <c r="A107" s="129" t="s">
        <v>28</v>
      </c>
      <c r="B107" s="144">
        <v>0</v>
      </c>
      <c r="C107" s="145">
        <v>0</v>
      </c>
      <c r="D107" s="144">
        <v>0</v>
      </c>
      <c r="E107" s="145">
        <v>0</v>
      </c>
      <c r="F107" s="144">
        <v>0</v>
      </c>
      <c r="G107" s="145">
        <v>0</v>
      </c>
      <c r="H107" s="144">
        <v>0</v>
      </c>
      <c r="I107" s="145">
        <v>0</v>
      </c>
      <c r="J107" s="144">
        <v>0</v>
      </c>
      <c r="K107" s="145">
        <v>0</v>
      </c>
      <c r="L107" s="46"/>
      <c r="M107" s="47"/>
      <c r="N107" s="47"/>
      <c r="O107" s="47"/>
      <c r="P107" s="47"/>
      <c r="Q107" s="47"/>
    </row>
    <row r="108" spans="1:17" s="34" customFormat="1" x14ac:dyDescent="0.25">
      <c r="A108" s="142" t="s">
        <v>150</v>
      </c>
      <c r="B108" s="143">
        <v>1952</v>
      </c>
      <c r="C108" s="158">
        <v>3817</v>
      </c>
      <c r="D108" s="143">
        <v>3734</v>
      </c>
      <c r="E108" s="158">
        <v>3901</v>
      </c>
      <c r="F108" s="143">
        <v>2561</v>
      </c>
      <c r="G108" s="158">
        <v>6218</v>
      </c>
      <c r="H108" s="143">
        <v>8238</v>
      </c>
      <c r="I108" s="158">
        <v>5058</v>
      </c>
      <c r="J108" s="143">
        <v>9556</v>
      </c>
      <c r="K108" s="158">
        <v>8703</v>
      </c>
      <c r="L108" s="94"/>
      <c r="M108" s="81"/>
      <c r="N108" s="81"/>
      <c r="O108" s="81"/>
      <c r="P108" s="81"/>
      <c r="Q108" s="81"/>
    </row>
    <row r="109" spans="1:17" x14ac:dyDescent="0.25">
      <c r="A109" s="138" t="s">
        <v>146</v>
      </c>
      <c r="B109" s="126">
        <v>4666</v>
      </c>
      <c r="C109" s="159">
        <v>7503</v>
      </c>
      <c r="D109" s="126">
        <v>7288</v>
      </c>
      <c r="E109" s="159">
        <v>12652</v>
      </c>
      <c r="F109" s="126">
        <v>14832</v>
      </c>
      <c r="G109" s="159">
        <v>19483</v>
      </c>
      <c r="H109" s="126">
        <v>22683</v>
      </c>
      <c r="I109" s="159">
        <v>25405</v>
      </c>
      <c r="J109" s="126">
        <v>35186</v>
      </c>
      <c r="K109" s="159">
        <v>42144</v>
      </c>
      <c r="L109" s="22"/>
      <c r="M109" s="39"/>
      <c r="N109" s="39"/>
      <c r="O109" s="39"/>
      <c r="P109" s="39"/>
      <c r="Q109" s="39"/>
    </row>
    <row r="110" spans="1:17" x14ac:dyDescent="0.25">
      <c r="A110" s="137" t="s">
        <v>147</v>
      </c>
      <c r="B110" s="126">
        <v>471</v>
      </c>
      <c r="C110" s="159">
        <v>6270</v>
      </c>
      <c r="D110" s="126">
        <v>5672</v>
      </c>
      <c r="E110" s="159">
        <v>8780</v>
      </c>
      <c r="F110" s="126">
        <v>8240</v>
      </c>
      <c r="G110" s="159">
        <v>12381</v>
      </c>
      <c r="H110" s="126">
        <v>13959</v>
      </c>
      <c r="I110" s="159">
        <v>15405</v>
      </c>
      <c r="J110" s="126">
        <v>19787</v>
      </c>
      <c r="K110" s="159">
        <v>21459</v>
      </c>
      <c r="L110" s="22"/>
      <c r="M110" s="39"/>
      <c r="N110" s="39"/>
      <c r="O110" s="39"/>
      <c r="P110" s="39"/>
      <c r="Q110" s="39"/>
    </row>
    <row r="111" spans="1:17" x14ac:dyDescent="0.25">
      <c r="A111" s="139" t="s">
        <v>148</v>
      </c>
      <c r="B111" s="126">
        <v>0</v>
      </c>
      <c r="C111" s="159">
        <v>1152</v>
      </c>
      <c r="D111" s="126">
        <v>1249</v>
      </c>
      <c r="E111" s="159">
        <v>1776</v>
      </c>
      <c r="F111" s="126">
        <v>1330</v>
      </c>
      <c r="G111" s="159">
        <v>2640</v>
      </c>
      <c r="H111" s="126">
        <v>1225</v>
      </c>
      <c r="I111" s="159">
        <v>1703</v>
      </c>
      <c r="J111" s="126">
        <v>4522</v>
      </c>
      <c r="K111" s="159">
        <v>1703</v>
      </c>
      <c r="L111" s="22"/>
      <c r="M111" s="39"/>
      <c r="N111" s="39"/>
      <c r="O111" s="39"/>
      <c r="P111" s="39"/>
      <c r="Q111" s="39"/>
    </row>
    <row r="112" spans="1:17" x14ac:dyDescent="0.25">
      <c r="A112" s="139" t="s">
        <v>149</v>
      </c>
      <c r="B112" s="126">
        <f>B38-B35-B108-B109-B110</f>
        <v>2955</v>
      </c>
      <c r="C112" s="159">
        <f>C38-C35-C108-C109-C110-C111-C113-C115-C116</f>
        <v>8543</v>
      </c>
      <c r="D112" s="126">
        <f>D38-D35-D108-D109-D110-D111-D113-D115-D116</f>
        <v>7165</v>
      </c>
      <c r="E112" s="159">
        <f>E38-E35-E108-E109-E110-E111-E113-E34</f>
        <v>10740</v>
      </c>
      <c r="F112" s="126">
        <f>F38-F35-F108-F109-F110-F111-F113-F34-F114-F115-F116-F117</f>
        <v>11057</v>
      </c>
      <c r="G112" s="159">
        <f>G38-G35-G108-G109-G110-G111-G113-G34</f>
        <v>11122</v>
      </c>
      <c r="H112" s="126">
        <f>H38-H35-H108-H109-H110-H111-H113-H34</f>
        <v>13336</v>
      </c>
      <c r="I112" s="159">
        <f>I38-I35-I108-I109-I110-I111-I113-I34-I114-I115-I116-I117</f>
        <v>12678</v>
      </c>
      <c r="J112" s="126">
        <f>J38-J35-J108-J109-J110-J111-J113-J34</f>
        <v>15921</v>
      </c>
      <c r="K112" s="159">
        <f>K38-K35-K108-K109-K110-K111-K113-K34</f>
        <v>23873</v>
      </c>
      <c r="L112" s="22"/>
      <c r="M112" s="39"/>
      <c r="N112" s="39"/>
      <c r="O112" s="39"/>
      <c r="P112" s="39"/>
      <c r="Q112" s="39"/>
    </row>
    <row r="113" spans="1:17" x14ac:dyDescent="0.25">
      <c r="A113" s="139" t="s">
        <v>151</v>
      </c>
      <c r="B113" s="126">
        <v>0</v>
      </c>
      <c r="C113" s="159">
        <v>1053</v>
      </c>
      <c r="D113" s="126">
        <v>1511</v>
      </c>
      <c r="E113" s="159">
        <v>1965</v>
      </c>
      <c r="F113" s="126">
        <v>2096</v>
      </c>
      <c r="G113" s="159">
        <v>1642</v>
      </c>
      <c r="H113" s="126">
        <v>1878</v>
      </c>
      <c r="I113" s="159">
        <v>2030</v>
      </c>
      <c r="J113" s="126">
        <v>3342</v>
      </c>
      <c r="K113" s="159">
        <v>3763</v>
      </c>
      <c r="L113" s="22"/>
      <c r="M113" s="39"/>
      <c r="N113" s="39"/>
      <c r="O113" s="39"/>
      <c r="P113" s="39"/>
      <c r="Q113" s="39"/>
    </row>
    <row r="114" spans="1:17" x14ac:dyDescent="0.25">
      <c r="A114" s="140" t="s">
        <v>157</v>
      </c>
      <c r="B114" s="155">
        <v>0</v>
      </c>
      <c r="C114" s="160">
        <v>0</v>
      </c>
      <c r="D114" s="155">
        <v>0</v>
      </c>
      <c r="E114" s="160">
        <v>0</v>
      </c>
      <c r="F114" s="155">
        <v>3219</v>
      </c>
      <c r="G114" s="160">
        <v>0</v>
      </c>
      <c r="H114" s="155">
        <v>0</v>
      </c>
      <c r="I114" s="160">
        <v>4095</v>
      </c>
      <c r="J114" s="155">
        <v>0</v>
      </c>
      <c r="K114" s="160">
        <v>0</v>
      </c>
      <c r="L114" s="22"/>
      <c r="M114" s="39"/>
      <c r="N114" s="39"/>
      <c r="O114" s="39"/>
      <c r="P114" s="39"/>
      <c r="Q114" s="39"/>
    </row>
    <row r="115" spans="1:17" x14ac:dyDescent="0.25">
      <c r="A115" s="140" t="s">
        <v>158</v>
      </c>
      <c r="B115" s="155">
        <v>0</v>
      </c>
      <c r="C115" s="160">
        <v>0</v>
      </c>
      <c r="D115" s="155">
        <v>428</v>
      </c>
      <c r="E115" s="160">
        <v>0</v>
      </c>
      <c r="F115" s="155">
        <v>765</v>
      </c>
      <c r="G115" s="160">
        <v>0</v>
      </c>
      <c r="H115" s="155">
        <v>0</v>
      </c>
      <c r="I115" s="160">
        <v>1966</v>
      </c>
      <c r="J115" s="155">
        <v>0</v>
      </c>
      <c r="K115" s="160">
        <v>0</v>
      </c>
      <c r="L115" s="22"/>
      <c r="M115" s="39"/>
      <c r="N115" s="39"/>
      <c r="O115" s="39"/>
      <c r="P115" s="39"/>
      <c r="Q115" s="39"/>
    </row>
    <row r="116" spans="1:17" x14ac:dyDescent="0.25">
      <c r="A116" s="140" t="s">
        <v>159</v>
      </c>
      <c r="B116" s="155">
        <v>0</v>
      </c>
      <c r="C116" s="161">
        <v>0</v>
      </c>
      <c r="D116" s="164">
        <v>595</v>
      </c>
      <c r="E116" s="160">
        <v>0</v>
      </c>
      <c r="F116" s="155">
        <v>907</v>
      </c>
      <c r="G116" s="160">
        <v>0</v>
      </c>
      <c r="H116" s="155">
        <v>0</v>
      </c>
      <c r="I116" s="160">
        <v>2056</v>
      </c>
      <c r="J116" s="155">
        <v>0</v>
      </c>
      <c r="K116" s="160">
        <v>0</v>
      </c>
      <c r="L116" s="22"/>
      <c r="M116" s="39"/>
      <c r="N116" s="39"/>
      <c r="O116" s="39"/>
      <c r="P116" s="39"/>
      <c r="Q116" s="39"/>
    </row>
    <row r="117" spans="1:17" s="35" customFormat="1" ht="15.75" thickBot="1" x14ac:dyDescent="0.3">
      <c r="A117" s="149" t="s">
        <v>161</v>
      </c>
      <c r="B117" s="156">
        <v>0</v>
      </c>
      <c r="C117" s="162">
        <v>0</v>
      </c>
      <c r="D117" s="156">
        <v>196</v>
      </c>
      <c r="E117" s="162">
        <v>0</v>
      </c>
      <c r="F117" s="156">
        <v>392</v>
      </c>
      <c r="G117" s="162">
        <v>0</v>
      </c>
      <c r="H117" s="156">
        <v>0</v>
      </c>
      <c r="I117" s="162">
        <v>672</v>
      </c>
      <c r="J117" s="156">
        <v>0</v>
      </c>
      <c r="K117" s="162">
        <v>0</v>
      </c>
      <c r="L117" s="46"/>
      <c r="M117" s="47"/>
      <c r="N117" s="47"/>
      <c r="O117" s="47"/>
      <c r="P117" s="47"/>
      <c r="Q117" s="47"/>
    </row>
    <row r="118" spans="1:17" s="34" customFormat="1" x14ac:dyDescent="0.25">
      <c r="A118" s="147"/>
      <c r="B118" s="148"/>
      <c r="C118" s="148"/>
      <c r="D118" s="148"/>
      <c r="E118" s="148"/>
      <c r="F118" s="148"/>
      <c r="G118" s="148"/>
      <c r="H118" s="148"/>
      <c r="I118" s="148"/>
      <c r="J118" s="148"/>
      <c r="K118" s="148"/>
      <c r="L118" s="37"/>
    </row>
    <row r="119" spans="1:17" x14ac:dyDescent="0.25">
      <c r="B119" s="146"/>
      <c r="C119" s="146"/>
      <c r="D119" s="146"/>
      <c r="E119" s="146"/>
      <c r="F119" s="146"/>
      <c r="G119" s="146"/>
      <c r="H119" s="146"/>
      <c r="I119" s="146"/>
      <c r="J119" s="146"/>
      <c r="K119" s="146"/>
    </row>
  </sheetData>
  <mergeCells count="6">
    <mergeCell ref="L11:N15"/>
    <mergeCell ref="A1:K1"/>
    <mergeCell ref="L10:Q10"/>
    <mergeCell ref="L3:M3"/>
    <mergeCell ref="L4:M4"/>
    <mergeCell ref="L5:M5"/>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882E4-50C5-4D36-9AD7-8FAD9BAA6EF4}">
  <dimension ref="A1:L7"/>
  <sheetViews>
    <sheetView topLeftCell="B1" workbookViewId="0">
      <selection activeCell="C7" sqref="C7"/>
    </sheetView>
  </sheetViews>
  <sheetFormatPr defaultRowHeight="15" x14ac:dyDescent="0.25"/>
  <cols>
    <col min="1" max="1" width="18.28515625" bestFit="1" customWidth="1"/>
    <col min="2" max="12" width="10.28515625" customWidth="1"/>
  </cols>
  <sheetData>
    <row r="1" spans="1:12" x14ac:dyDescent="0.25">
      <c r="A1" s="31" t="s">
        <v>78</v>
      </c>
      <c r="B1" s="24" t="s">
        <v>77</v>
      </c>
      <c r="C1" s="24" t="s">
        <v>79</v>
      </c>
      <c r="D1" s="24" t="s">
        <v>79</v>
      </c>
      <c r="E1" s="24" t="s">
        <v>61</v>
      </c>
      <c r="F1" s="24" t="s">
        <v>165</v>
      </c>
      <c r="G1" s="24" t="s">
        <v>68</v>
      </c>
      <c r="H1" s="24" t="s">
        <v>62</v>
      </c>
      <c r="I1" s="24" t="s">
        <v>156</v>
      </c>
      <c r="J1" s="24" t="s">
        <v>71</v>
      </c>
      <c r="K1" s="24" t="s">
        <v>101</v>
      </c>
      <c r="L1" s="20" t="s">
        <v>55</v>
      </c>
    </row>
    <row r="2" spans="1:12" x14ac:dyDescent="0.25">
      <c r="A2" s="25" t="s">
        <v>105</v>
      </c>
      <c r="B2" s="12">
        <v>0</v>
      </c>
      <c r="C2" s="27">
        <v>48.121518987341773</v>
      </c>
      <c r="D2" s="27">
        <v>44.111392405063292</v>
      </c>
      <c r="E2" s="27">
        <v>89.826835443037979</v>
      </c>
      <c r="F2" s="27">
        <v>88.222784810126583</v>
      </c>
      <c r="G2" s="27">
        <v>125.1159493670886</v>
      </c>
      <c r="H2" s="27">
        <v>153.98886075949366</v>
      </c>
      <c r="I2" s="27">
        <v>152.91949367088606</v>
      </c>
      <c r="J2" s="27">
        <v>155.46479233226836</v>
      </c>
      <c r="K2" s="27">
        <v>187.04357827476039</v>
      </c>
    </row>
    <row r="3" spans="1:12" x14ac:dyDescent="0.25">
      <c r="A3" s="26" t="s">
        <v>107</v>
      </c>
      <c r="B3" s="11">
        <v>0</v>
      </c>
      <c r="C3" s="28">
        <v>54.683544303797468</v>
      </c>
      <c r="D3" s="28">
        <v>50.12658227848101</v>
      </c>
      <c r="E3" s="28">
        <v>102.07594936708861</v>
      </c>
      <c r="F3" s="28">
        <v>100.25316455696202</v>
      </c>
      <c r="G3" s="28">
        <v>142.17721518987341</v>
      </c>
      <c r="H3" s="28">
        <v>174.98734177215189</v>
      </c>
      <c r="I3" s="28">
        <v>173.77215189873417</v>
      </c>
      <c r="J3" s="28">
        <v>176.66453674121405</v>
      </c>
      <c r="K3" s="28">
        <v>212.54952076677316</v>
      </c>
    </row>
    <row r="4" spans="1:12" x14ac:dyDescent="0.25">
      <c r="C4" s="32">
        <f>C3-C2</f>
        <v>6.5620253164556956</v>
      </c>
      <c r="D4" s="32">
        <f t="shared" ref="D4:K4" si="0">D3-D2</f>
        <v>6.015189873417718</v>
      </c>
      <c r="E4" s="32">
        <f t="shared" si="0"/>
        <v>12.249113924050633</v>
      </c>
      <c r="F4" s="32">
        <f t="shared" si="0"/>
        <v>12.030379746835436</v>
      </c>
      <c r="G4" s="32">
        <f t="shared" si="0"/>
        <v>17.061265822784804</v>
      </c>
      <c r="H4" s="32">
        <f t="shared" si="0"/>
        <v>20.998481012658232</v>
      </c>
      <c r="I4" s="32">
        <f t="shared" si="0"/>
        <v>20.85265822784811</v>
      </c>
      <c r="J4" s="32">
        <f t="shared" si="0"/>
        <v>21.199744408945691</v>
      </c>
      <c r="K4" s="32">
        <f t="shared" si="0"/>
        <v>25.505942492012764</v>
      </c>
    </row>
    <row r="5" spans="1:12" x14ac:dyDescent="0.25">
      <c r="C5" s="33">
        <f>((C2)*(11*40))*(1.06)*(1.12)/43560</f>
        <v>0.57706936708860768</v>
      </c>
      <c r="D5" s="33">
        <f t="shared" ref="D5:K5" si="1">((D2)*(11*40))*(1.06)*(1.12)/43560</f>
        <v>0.5289802531645571</v>
      </c>
      <c r="E5" s="33">
        <f t="shared" si="1"/>
        <v>1.0771961518987345</v>
      </c>
      <c r="F5" s="33">
        <f t="shared" si="1"/>
        <v>1.0579605063291142</v>
      </c>
      <c r="G5" s="33">
        <f t="shared" si="1"/>
        <v>1.50038035443038</v>
      </c>
      <c r="H5" s="33">
        <f t="shared" si="1"/>
        <v>1.8466219746835446</v>
      </c>
      <c r="I5" s="33">
        <f t="shared" si="1"/>
        <v>1.8337982109704642</v>
      </c>
      <c r="J5" s="33">
        <f t="shared" si="1"/>
        <v>1.8643212268370608</v>
      </c>
      <c r="K5" s="33">
        <f t="shared" si="1"/>
        <v>2.2430114760383391</v>
      </c>
    </row>
    <row r="6" spans="1:12" x14ac:dyDescent="0.25">
      <c r="C6" s="33">
        <f>((C3)*(11*40))*(1.06)*(1.12)/43560</f>
        <v>0.65576064441887238</v>
      </c>
      <c r="D6" s="33">
        <f t="shared" ref="D6:K6" si="2">((D3)*(11*40))*(1.06)*(1.12)/43560</f>
        <v>0.60111392405063302</v>
      </c>
      <c r="E6" s="33">
        <f t="shared" si="2"/>
        <v>1.2240865362485618</v>
      </c>
      <c r="F6" s="33">
        <f>((F3)*(11*40))*(1.06)*(1.12)/43560</f>
        <v>1.202227848101266</v>
      </c>
      <c r="G6" s="33">
        <f t="shared" si="2"/>
        <v>1.7049776754890682</v>
      </c>
      <c r="H6" s="33">
        <f t="shared" si="2"/>
        <v>2.0984340621403912</v>
      </c>
      <c r="I6" s="33">
        <f t="shared" si="2"/>
        <v>2.0838616033755275</v>
      </c>
      <c r="J6" s="33">
        <f t="shared" si="2"/>
        <v>2.1185468486784784</v>
      </c>
      <c r="K6" s="33">
        <f t="shared" si="2"/>
        <v>2.5488766773162941</v>
      </c>
    </row>
    <row r="7" spans="1:12" x14ac:dyDescent="0.25">
      <c r="C7" s="33">
        <f>C5-C6</f>
        <v>-7.8691277330264708E-2</v>
      </c>
      <c r="D7" s="33">
        <f t="shared" ref="D7:K7" si="3">D5-D6</f>
        <v>-7.2133670886075918E-2</v>
      </c>
      <c r="E7" s="33">
        <f t="shared" si="3"/>
        <v>-0.14689038434982726</v>
      </c>
      <c r="F7" s="33">
        <f t="shared" si="3"/>
        <v>-0.14426734177215184</v>
      </c>
      <c r="G7" s="33">
        <f t="shared" si="3"/>
        <v>-0.20459732105868822</v>
      </c>
      <c r="H7" s="33">
        <f t="shared" si="3"/>
        <v>-0.25181208745684658</v>
      </c>
      <c r="I7" s="33">
        <f t="shared" si="3"/>
        <v>-0.25006339240506326</v>
      </c>
      <c r="J7" s="33">
        <f t="shared" si="3"/>
        <v>-0.25422562184141761</v>
      </c>
      <c r="K7" s="33">
        <f t="shared" si="3"/>
        <v>-0.30586520127795502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Cost and Area Metrics</vt:lpstr>
      <vt:lpstr>RSR Blueprint Attributes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Yoshida, Kelsie</dc:creator>
  <cp:lastModifiedBy>Davey, Ryan</cp:lastModifiedBy>
  <dcterms:created xsi:type="dcterms:W3CDTF">2015-06-05T18:17:20Z</dcterms:created>
  <dcterms:modified xsi:type="dcterms:W3CDTF">2026-01-22T22:01:06Z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2025-05-15T21:21:50Z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48ac3207-176a-4379-a5b9-ce04c445dd16</vt:lpwstr>
  </property>
  <property fmtid="{D5CDD505-2E9C-101B-9397-08002B2CF9AE}" pid="8" name="MSIP_Label_929eed6f-34eb-4453-9f97-09510b9b219f_ContentBits">
    <vt:lpwstr>0</vt:lpwstr>
  </property>
  <property fmtid="{D5CDD505-2E9C-101B-9397-08002B2CF9AE}" pid="9" name="MSIP_Label_929eed6f-34eb-4453-9f97-09510b9b219f_Tag">
    <vt:lpwstr>10, 3, 0, 1</vt:lpwstr>
  </property>
</Properties>
</file>