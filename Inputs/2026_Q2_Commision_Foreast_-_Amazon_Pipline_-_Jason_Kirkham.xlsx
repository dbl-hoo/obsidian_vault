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kaela\Downloads\2026_Q2_Commission_Forecast_Broker_Splits v2\"/>
    </mc:Choice>
  </mc:AlternateContent>
  <xr:revisionPtr revIDLastSave="0" documentId="8_{5C87D2E5-1AB6-45D4-88F2-27F70DEC2340}" xr6:coauthVersionLast="47" xr6:coauthVersionMax="47" xr10:uidLastSave="{00000000-0000-0000-0000-000000000000}"/>
  <bookViews>
    <workbookView xWindow="33720" yWindow="-120" windowWidth="38640" windowHeight="21120" xr2:uid="{00000000-000D-0000-FFFF-FFFF00000000}"/>
  </bookViews>
  <sheets>
    <sheet name="Template" sheetId="1" r:id="rId1"/>
    <sheet name="List" sheetId="2" r:id="rId2"/>
  </sheets>
  <definedNames>
    <definedName name="_xlnm._FilterDatabase" localSheetId="0" hidden="1">Template!$C$6:$BW$43</definedName>
    <definedName name="Closing_Probability">List!$F$3:$F$10</definedName>
    <definedName name="If_OutsideBroker">List!$B$3:$B$4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3" i="1" l="1"/>
  <c r="BF43" i="1" s="1"/>
  <c r="BM43" i="1" s="1"/>
  <c r="BB43" i="1"/>
  <c r="BA43" i="1"/>
  <c r="BC43" i="1" s="1"/>
  <c r="BM42" i="1"/>
  <c r="BL42" i="1"/>
  <c r="BF42" i="1"/>
  <c r="BE42" i="1"/>
  <c r="BG42" i="1" s="1"/>
  <c r="BC42" i="1"/>
  <c r="BB42" i="1"/>
  <c r="BA42" i="1"/>
  <c r="BE41" i="1"/>
  <c r="BL41" i="1" s="1"/>
  <c r="BC41" i="1"/>
  <c r="BB41" i="1"/>
  <c r="BA41" i="1"/>
  <c r="BE40" i="1"/>
  <c r="BG40" i="1" s="1"/>
  <c r="BC40" i="1"/>
  <c r="BB40" i="1"/>
  <c r="BA40" i="1"/>
  <c r="BN39" i="1"/>
  <c r="BM39" i="1"/>
  <c r="BL39" i="1"/>
  <c r="BG39" i="1"/>
  <c r="BJ39" i="1" s="1"/>
  <c r="BQ39" i="1" s="1"/>
  <c r="BF39" i="1"/>
  <c r="BE39" i="1"/>
  <c r="BC39" i="1"/>
  <c r="BB39" i="1"/>
  <c r="BA39" i="1"/>
  <c r="BE38" i="1"/>
  <c r="BG38" i="1" s="1"/>
  <c r="BC38" i="1"/>
  <c r="BB38" i="1"/>
  <c r="BA38" i="1"/>
  <c r="BG37" i="1"/>
  <c r="BF37" i="1"/>
  <c r="BM37" i="1" s="1"/>
  <c r="BE37" i="1"/>
  <c r="BL37" i="1" s="1"/>
  <c r="BC37" i="1"/>
  <c r="BB37" i="1"/>
  <c r="BA37" i="1"/>
  <c r="BN36" i="1"/>
  <c r="BM36" i="1"/>
  <c r="BL36" i="1"/>
  <c r="BG36" i="1"/>
  <c r="BI36" i="1" s="1"/>
  <c r="BP36" i="1" s="1"/>
  <c r="BF36" i="1"/>
  <c r="BE36" i="1"/>
  <c r="BC36" i="1"/>
  <c r="BJ36" i="1" s="1"/>
  <c r="BQ36" i="1" s="1"/>
  <c r="BB36" i="1"/>
  <c r="BA36" i="1"/>
  <c r="BH36" i="1" s="1"/>
  <c r="BO36" i="1" s="1"/>
  <c r="BE35" i="1"/>
  <c r="BL35" i="1" s="1"/>
  <c r="BC35" i="1"/>
  <c r="BB35" i="1"/>
  <c r="BA35" i="1"/>
  <c r="BE34" i="1"/>
  <c r="BC34" i="1"/>
  <c r="BB34" i="1"/>
  <c r="BA34" i="1"/>
  <c r="BE33" i="1"/>
  <c r="BL33" i="1" s="1"/>
  <c r="BC33" i="1"/>
  <c r="BB33" i="1"/>
  <c r="BA33" i="1"/>
  <c r="BM32" i="1"/>
  <c r="BL32" i="1"/>
  <c r="BG32" i="1"/>
  <c r="BN32" i="1" s="1"/>
  <c r="BF32" i="1"/>
  <c r="BE32" i="1"/>
  <c r="BC32" i="1"/>
  <c r="BB32" i="1"/>
  <c r="BA32" i="1"/>
  <c r="BE31" i="1"/>
  <c r="BC31" i="1"/>
  <c r="BB31" i="1"/>
  <c r="BA31" i="1"/>
  <c r="BF30" i="1"/>
  <c r="BM30" i="1" s="1"/>
  <c r="BE30" i="1"/>
  <c r="BL30" i="1" s="1"/>
  <c r="BC30" i="1"/>
  <c r="BB30" i="1"/>
  <c r="BA30" i="1"/>
  <c r="BL29" i="1"/>
  <c r="BG29" i="1"/>
  <c r="BN29" i="1" s="1"/>
  <c r="BE29" i="1"/>
  <c r="BF29" i="1" s="1"/>
  <c r="BM29" i="1" s="1"/>
  <c r="BC29" i="1"/>
  <c r="BB29" i="1"/>
  <c r="BA29" i="1"/>
  <c r="BE28" i="1"/>
  <c r="BL28" i="1" s="1"/>
  <c r="BC28" i="1"/>
  <c r="BB28" i="1"/>
  <c r="BA28" i="1"/>
  <c r="BE27" i="1"/>
  <c r="BL27" i="1" s="1"/>
  <c r="BC27" i="1"/>
  <c r="BB27" i="1"/>
  <c r="BA27" i="1"/>
  <c r="BM26" i="1"/>
  <c r="BL26" i="1"/>
  <c r="BF26" i="1"/>
  <c r="BE26" i="1"/>
  <c r="BG26" i="1" s="1"/>
  <c r="BI26" i="1" s="1"/>
  <c r="BP26" i="1" s="1"/>
  <c r="BC26" i="1"/>
  <c r="BA26" i="1"/>
  <c r="BB26" i="1" s="1"/>
  <c r="BE25" i="1"/>
  <c r="BL25" i="1" s="1"/>
  <c r="BB25" i="1"/>
  <c r="BA25" i="1"/>
  <c r="BC25" i="1" s="1"/>
  <c r="BE24" i="1"/>
  <c r="BL24" i="1" s="1"/>
  <c r="BC24" i="1"/>
  <c r="BA24" i="1"/>
  <c r="BB24" i="1" s="1"/>
  <c r="BL23" i="1"/>
  <c r="BE23" i="1"/>
  <c r="BG23" i="1" s="1"/>
  <c r="BH23" i="1" s="1"/>
  <c r="BO23" i="1" s="1"/>
  <c r="BC23" i="1"/>
  <c r="BB23" i="1"/>
  <c r="BA23" i="1"/>
  <c r="BG22" i="1"/>
  <c r="BF22" i="1"/>
  <c r="BM22" i="1" s="1"/>
  <c r="BE22" i="1"/>
  <c r="BL22" i="1" s="1"/>
  <c r="BC22" i="1"/>
  <c r="BB22" i="1"/>
  <c r="BA22" i="1"/>
  <c r="BE21" i="1"/>
  <c r="BL21" i="1" s="1"/>
  <c r="BC21" i="1"/>
  <c r="BB21" i="1"/>
  <c r="BA21" i="1"/>
  <c r="BL20" i="1"/>
  <c r="BE20" i="1"/>
  <c r="BF20" i="1" s="1"/>
  <c r="BM20" i="1" s="1"/>
  <c r="BC20" i="1"/>
  <c r="BB20" i="1"/>
  <c r="BA20" i="1"/>
  <c r="BI19" i="1"/>
  <c r="BP19" i="1" s="1"/>
  <c r="BH19" i="1"/>
  <c r="BO19" i="1" s="1"/>
  <c r="BG19" i="1"/>
  <c r="BN19" i="1" s="1"/>
  <c r="BF19" i="1"/>
  <c r="BM19" i="1" s="1"/>
  <c r="BE19" i="1"/>
  <c r="BL19" i="1" s="1"/>
  <c r="BC19" i="1"/>
  <c r="BB19" i="1"/>
  <c r="BA19" i="1"/>
  <c r="BE18" i="1"/>
  <c r="BG18" i="1" s="1"/>
  <c r="BC18" i="1"/>
  <c r="BB18" i="1"/>
  <c r="BA18" i="1"/>
  <c r="BL17" i="1"/>
  <c r="BE17" i="1"/>
  <c r="BG17" i="1" s="1"/>
  <c r="BC17" i="1"/>
  <c r="BB17" i="1"/>
  <c r="BA17" i="1"/>
  <c r="BL16" i="1"/>
  <c r="BJ16" i="1"/>
  <c r="BQ16" i="1" s="1"/>
  <c r="BI16" i="1"/>
  <c r="BP16" i="1" s="1"/>
  <c r="BH16" i="1"/>
  <c r="BO16" i="1" s="1"/>
  <c r="BG16" i="1"/>
  <c r="BN16" i="1" s="1"/>
  <c r="BE16" i="1"/>
  <c r="BF16" i="1" s="1"/>
  <c r="BM16" i="1" s="1"/>
  <c r="BC16" i="1"/>
  <c r="BB16" i="1"/>
  <c r="BA16" i="1"/>
  <c r="BE15" i="1"/>
  <c r="BG15" i="1" s="1"/>
  <c r="BC15" i="1"/>
  <c r="BB15" i="1"/>
  <c r="BA15" i="1"/>
  <c r="BN14" i="1"/>
  <c r="BM14" i="1"/>
  <c r="BL14" i="1"/>
  <c r="BG14" i="1"/>
  <c r="BJ14" i="1" s="1"/>
  <c r="BQ14" i="1" s="1"/>
  <c r="BF14" i="1"/>
  <c r="BE14" i="1"/>
  <c r="BB14" i="1"/>
  <c r="BA14" i="1"/>
  <c r="BC14" i="1" s="1"/>
  <c r="BE13" i="1"/>
  <c r="BL13" i="1" s="1"/>
  <c r="BB13" i="1"/>
  <c r="BA13" i="1"/>
  <c r="BC13" i="1" s="1"/>
  <c r="BE12" i="1"/>
  <c r="BC12" i="1"/>
  <c r="BB12" i="1"/>
  <c r="BA12" i="1"/>
  <c r="BQ11" i="1"/>
  <c r="BN11" i="1"/>
  <c r="BG11" i="1"/>
  <c r="BJ11" i="1" s="1"/>
  <c r="BE11" i="1"/>
  <c r="BL11" i="1" s="1"/>
  <c r="BC11" i="1"/>
  <c r="BB11" i="1"/>
  <c r="BA11" i="1"/>
  <c r="BL10" i="1"/>
  <c r="BG10" i="1"/>
  <c r="BN10" i="1" s="1"/>
  <c r="BF10" i="1"/>
  <c r="BM10" i="1" s="1"/>
  <c r="BE10" i="1"/>
  <c r="BC10" i="1"/>
  <c r="BB10" i="1"/>
  <c r="BA10" i="1"/>
  <c r="BE9" i="1"/>
  <c r="BF9" i="1" s="1"/>
  <c r="BC9" i="1"/>
  <c r="BB9" i="1"/>
  <c r="BA9" i="1"/>
  <c r="BL8" i="1"/>
  <c r="BF8" i="1"/>
  <c r="BM8" i="1" s="1"/>
  <c r="BE8" i="1"/>
  <c r="BG8" i="1" s="1"/>
  <c r="BB8" i="1"/>
  <c r="BA8" i="1"/>
  <c r="BC8" i="1" s="1"/>
  <c r="BL7" i="1"/>
  <c r="BG7" i="1"/>
  <c r="BN7" i="1" s="1"/>
  <c r="BE7" i="1"/>
  <c r="BF7" i="1" s="1"/>
  <c r="BM7" i="1" s="1"/>
  <c r="BB7" i="1"/>
  <c r="BA7" i="1"/>
  <c r="BC7" i="1" s="1"/>
  <c r="BE1" i="1"/>
  <c r="AV1" i="1"/>
  <c r="AU1" i="1"/>
  <c r="F1" i="1"/>
  <c r="BN38" i="1" l="1"/>
  <c r="BI38" i="1"/>
  <c r="BP38" i="1" s="1"/>
  <c r="BH38" i="1"/>
  <c r="BO38" i="1" s="1"/>
  <c r="BJ38" i="1"/>
  <c r="BQ38" i="1" s="1"/>
  <c r="BM9" i="1"/>
  <c r="BN40" i="1"/>
  <c r="BJ40" i="1"/>
  <c r="BQ40" i="1" s="1"/>
  <c r="BI40" i="1"/>
  <c r="BP40" i="1" s="1"/>
  <c r="BH40" i="1"/>
  <c r="BO40" i="1" s="1"/>
  <c r="BN22" i="1"/>
  <c r="BJ22" i="1"/>
  <c r="BQ22" i="1" s="1"/>
  <c r="BI22" i="1"/>
  <c r="BP22" i="1" s="1"/>
  <c r="BG25" i="1"/>
  <c r="BJ17" i="1"/>
  <c r="BQ17" i="1" s="1"/>
  <c r="BI17" i="1"/>
  <c r="BP17" i="1" s="1"/>
  <c r="BH17" i="1"/>
  <c r="BO17" i="1" s="1"/>
  <c r="BF28" i="1"/>
  <c r="BM28" i="1" s="1"/>
  <c r="BL38" i="1"/>
  <c r="BG41" i="1"/>
  <c r="BL31" i="1"/>
  <c r="BG31" i="1"/>
  <c r="BH26" i="1"/>
  <c r="BO26" i="1" s="1"/>
  <c r="BF31" i="1"/>
  <c r="BM31" i="1" s="1"/>
  <c r="BG12" i="1"/>
  <c r="BF12" i="1"/>
  <c r="BM12" i="1" s="1"/>
  <c r="BL12" i="1"/>
  <c r="BJ26" i="1"/>
  <c r="BQ26" i="1" s="1"/>
  <c r="BH29" i="1"/>
  <c r="BO29" i="1" s="1"/>
  <c r="BN26" i="1"/>
  <c r="BJ29" i="1"/>
  <c r="BQ29" i="1" s="1"/>
  <c r="BF41" i="1"/>
  <c r="BM41" i="1" s="1"/>
  <c r="BG9" i="1"/>
  <c r="BL9" i="1"/>
  <c r="BL1" i="1" s="1"/>
  <c r="BG28" i="1"/>
  <c r="BN17" i="1"/>
  <c r="BI23" i="1"/>
  <c r="BP23" i="1" s="1"/>
  <c r="BJ23" i="1"/>
  <c r="BQ23" i="1" s="1"/>
  <c r="BH7" i="1"/>
  <c r="BI7" i="1"/>
  <c r="BG34" i="1"/>
  <c r="BL34" i="1"/>
  <c r="BF34" i="1"/>
  <c r="BM34" i="1" s="1"/>
  <c r="BJ7" i="1"/>
  <c r="BN23" i="1"/>
  <c r="BN15" i="1"/>
  <c r="BH15" i="1"/>
  <c r="BO15" i="1" s="1"/>
  <c r="BJ15" i="1"/>
  <c r="BQ15" i="1" s="1"/>
  <c r="BI15" i="1"/>
  <c r="BP15" i="1" s="1"/>
  <c r="BI29" i="1"/>
  <c r="BP29" i="1" s="1"/>
  <c r="BI42" i="1"/>
  <c r="BP42" i="1" s="1"/>
  <c r="BH42" i="1"/>
  <c r="BO42" i="1" s="1"/>
  <c r="BH10" i="1"/>
  <c r="BO10" i="1" s="1"/>
  <c r="BF13" i="1"/>
  <c r="BM13" i="1" s="1"/>
  <c r="BI10" i="1"/>
  <c r="BP10" i="1" s="1"/>
  <c r="BG13" i="1"/>
  <c r="BN18" i="1"/>
  <c r="BJ18" i="1"/>
  <c r="BQ18" i="1" s="1"/>
  <c r="BI18" i="1"/>
  <c r="BP18" i="1" s="1"/>
  <c r="BH18" i="1"/>
  <c r="BO18" i="1" s="1"/>
  <c r="BJ42" i="1"/>
  <c r="BQ42" i="1" s="1"/>
  <c r="BJ10" i="1"/>
  <c r="BQ10" i="1" s="1"/>
  <c r="BH32" i="1"/>
  <c r="BO32" i="1" s="1"/>
  <c r="BF35" i="1"/>
  <c r="BM35" i="1" s="1"/>
  <c r="BI32" i="1"/>
  <c r="BP32" i="1" s="1"/>
  <c r="BG35" i="1"/>
  <c r="BJ32" i="1"/>
  <c r="BQ32" i="1" s="1"/>
  <c r="BH37" i="1"/>
  <c r="BO37" i="1" s="1"/>
  <c r="BN42" i="1"/>
  <c r="BN8" i="1"/>
  <c r="BJ8" i="1"/>
  <c r="BQ8" i="1" s="1"/>
  <c r="BI8" i="1"/>
  <c r="BP8" i="1" s="1"/>
  <c r="BH8" i="1"/>
  <c r="BO8" i="1" s="1"/>
  <c r="BF38" i="1"/>
  <c r="BM38" i="1" s="1"/>
  <c r="BJ19" i="1"/>
  <c r="BQ19" i="1" s="1"/>
  <c r="BH22" i="1"/>
  <c r="BO22" i="1" s="1"/>
  <c r="BF25" i="1"/>
  <c r="BM25" i="1" s="1"/>
  <c r="BG21" i="1"/>
  <c r="BF24" i="1"/>
  <c r="BM24" i="1" s="1"/>
  <c r="BI37" i="1"/>
  <c r="BP37" i="1" s="1"/>
  <c r="BG43" i="1"/>
  <c r="BG24" i="1"/>
  <c r="BF27" i="1"/>
  <c r="BM27" i="1" s="1"/>
  <c r="BJ37" i="1"/>
  <c r="BQ37" i="1" s="1"/>
  <c r="BF15" i="1"/>
  <c r="BM15" i="1" s="1"/>
  <c r="BF18" i="1"/>
  <c r="BM18" i="1" s="1"/>
  <c r="BF40" i="1"/>
  <c r="BM40" i="1" s="1"/>
  <c r="BL15" i="1"/>
  <c r="BG27" i="1"/>
  <c r="BF11" i="1"/>
  <c r="BM11" i="1" s="1"/>
  <c r="BM1" i="1" s="1"/>
  <c r="BL18" i="1"/>
  <c r="BG30" i="1"/>
  <c r="BF33" i="1"/>
  <c r="BM33" i="1" s="1"/>
  <c r="BL40" i="1"/>
  <c r="BG33" i="1"/>
  <c r="BN37" i="1"/>
  <c r="BL43" i="1"/>
  <c r="BF21" i="1"/>
  <c r="BM21" i="1" s="1"/>
  <c r="BI14" i="1"/>
  <c r="BP14" i="1" s="1"/>
  <c r="BG20" i="1"/>
  <c r="BF23" i="1"/>
  <c r="BM23" i="1" s="1"/>
  <c r="BH39" i="1"/>
  <c r="BO39" i="1" s="1"/>
  <c r="BI39" i="1"/>
  <c r="BP39" i="1" s="1"/>
  <c r="BH11" i="1"/>
  <c r="BO11" i="1" s="1"/>
  <c r="BF17" i="1"/>
  <c r="BM17" i="1" s="1"/>
  <c r="BI11" i="1"/>
  <c r="BP11" i="1" s="1"/>
  <c r="BH14" i="1"/>
  <c r="BO14" i="1" s="1"/>
  <c r="BI34" i="1" l="1"/>
  <c r="BP34" i="1" s="1"/>
  <c r="BN34" i="1"/>
  <c r="BH34" i="1"/>
  <c r="BO34" i="1" s="1"/>
  <c r="BJ34" i="1"/>
  <c r="BQ34" i="1" s="1"/>
  <c r="BN24" i="1"/>
  <c r="BJ24" i="1"/>
  <c r="BQ24" i="1" s="1"/>
  <c r="BI24" i="1"/>
  <c r="BP24" i="1" s="1"/>
  <c r="BH24" i="1"/>
  <c r="BO24" i="1" s="1"/>
  <c r="BO7" i="1"/>
  <c r="BN25" i="1"/>
  <c r="BJ25" i="1"/>
  <c r="BQ25" i="1" s="1"/>
  <c r="BI25" i="1"/>
  <c r="BP25" i="1" s="1"/>
  <c r="BH25" i="1"/>
  <c r="BO25" i="1" s="1"/>
  <c r="BJ28" i="1"/>
  <c r="BQ28" i="1" s="1"/>
  <c r="BI28" i="1"/>
  <c r="BP28" i="1" s="1"/>
  <c r="BN28" i="1"/>
  <c r="BH28" i="1"/>
  <c r="BO28" i="1" s="1"/>
  <c r="BI33" i="1"/>
  <c r="BP33" i="1" s="1"/>
  <c r="BJ33" i="1"/>
  <c r="BQ33" i="1" s="1"/>
  <c r="BH33" i="1"/>
  <c r="BO33" i="1" s="1"/>
  <c r="BN33" i="1"/>
  <c r="BN43" i="1"/>
  <c r="BJ43" i="1"/>
  <c r="BQ43" i="1" s="1"/>
  <c r="BI43" i="1"/>
  <c r="BP43" i="1" s="1"/>
  <c r="BH43" i="1"/>
  <c r="BO43" i="1" s="1"/>
  <c r="BI20" i="1"/>
  <c r="BP20" i="1" s="1"/>
  <c r="BH20" i="1"/>
  <c r="BO20" i="1" s="1"/>
  <c r="BN20" i="1"/>
  <c r="BJ20" i="1"/>
  <c r="BQ20" i="1" s="1"/>
  <c r="BN13" i="1"/>
  <c r="BJ13" i="1"/>
  <c r="BQ13" i="1" s="1"/>
  <c r="BI13" i="1"/>
  <c r="BP13" i="1" s="1"/>
  <c r="BH13" i="1"/>
  <c r="BO13" i="1" s="1"/>
  <c r="BI9" i="1"/>
  <c r="BP9" i="1" s="1"/>
  <c r="BN9" i="1"/>
  <c r="BN1" i="1" s="1"/>
  <c r="BH9" i="1"/>
  <c r="BO9" i="1" s="1"/>
  <c r="BJ9" i="1"/>
  <c r="BQ9" i="1" s="1"/>
  <c r="BG1" i="1"/>
  <c r="BF1" i="1"/>
  <c r="BN30" i="1"/>
  <c r="BJ30" i="1"/>
  <c r="BQ30" i="1" s="1"/>
  <c r="BI30" i="1"/>
  <c r="BP30" i="1" s="1"/>
  <c r="BH30" i="1"/>
  <c r="BO30" i="1" s="1"/>
  <c r="BN41" i="1"/>
  <c r="BJ41" i="1"/>
  <c r="BQ41" i="1" s="1"/>
  <c r="BI41" i="1"/>
  <c r="BP41" i="1" s="1"/>
  <c r="BH41" i="1"/>
  <c r="BO41" i="1" s="1"/>
  <c r="BP7" i="1"/>
  <c r="BN21" i="1"/>
  <c r="BJ21" i="1"/>
  <c r="BQ21" i="1" s="1"/>
  <c r="BI21" i="1"/>
  <c r="BP21" i="1" s="1"/>
  <c r="BH21" i="1"/>
  <c r="BO21" i="1" s="1"/>
  <c r="BH12" i="1"/>
  <c r="BO12" i="1" s="1"/>
  <c r="BI12" i="1"/>
  <c r="BP12" i="1" s="1"/>
  <c r="BN12" i="1"/>
  <c r="BJ12" i="1"/>
  <c r="BQ12" i="1" s="1"/>
  <c r="BN27" i="1"/>
  <c r="BJ27" i="1"/>
  <c r="BQ27" i="1" s="1"/>
  <c r="BI27" i="1"/>
  <c r="BP27" i="1" s="1"/>
  <c r="BH27" i="1"/>
  <c r="BO27" i="1" s="1"/>
  <c r="BN35" i="1"/>
  <c r="BJ35" i="1"/>
  <c r="BQ35" i="1" s="1"/>
  <c r="BI35" i="1"/>
  <c r="BP35" i="1" s="1"/>
  <c r="BH35" i="1"/>
  <c r="BO35" i="1" s="1"/>
  <c r="BQ7" i="1"/>
  <c r="BH31" i="1"/>
  <c r="BO31" i="1" s="1"/>
  <c r="BN31" i="1"/>
  <c r="BJ31" i="1"/>
  <c r="BQ31" i="1" s="1"/>
  <c r="BI31" i="1"/>
  <c r="BP31" i="1" s="1"/>
  <c r="BO1" i="1" l="1"/>
  <c r="BH1" i="1"/>
  <c r="BP1" i="1"/>
  <c r="BI1" i="1"/>
  <c r="BJ1" i="1"/>
  <c r="BQ1" i="1"/>
</calcChain>
</file>

<file path=xl/sharedStrings.xml><?xml version="1.0" encoding="utf-8"?>
<sst xmlns="http://schemas.openxmlformats.org/spreadsheetml/2006/main" count="874" uniqueCount="344">
  <si>
    <t>Is there an Outside Broker</t>
  </si>
  <si>
    <t>KBC Advisor's Split</t>
  </si>
  <si>
    <t>Notes</t>
  </si>
  <si>
    <t>Closing Probability</t>
  </si>
  <si>
    <t>YES</t>
  </si>
  <si>
    <t>Outside Broker</t>
  </si>
  <si>
    <t>NO</t>
  </si>
  <si>
    <t>No Outside Broker</t>
  </si>
  <si>
    <t>Input</t>
  </si>
  <si>
    <t>Drop Down</t>
  </si>
  <si>
    <t>Copy &amp; Paste</t>
  </si>
  <si>
    <t>Finance Input</t>
  </si>
  <si>
    <t>Required: Review &amp; Update</t>
  </si>
  <si>
    <t>Formula</t>
  </si>
  <si>
    <t>Formula w/ Prob</t>
  </si>
  <si>
    <t>Index</t>
  </si>
  <si>
    <t xml:space="preserve"> Project Name</t>
  </si>
  <si>
    <t>Lead Broker</t>
  </si>
  <si>
    <t>Project Coordinator</t>
  </si>
  <si>
    <t>Site Code</t>
  </si>
  <si>
    <t>Launch Year</t>
  </si>
  <si>
    <t>Record Type</t>
  </si>
  <si>
    <t>Stage</t>
  </si>
  <si>
    <t>Status</t>
  </si>
  <si>
    <t>Requestor Org</t>
  </si>
  <si>
    <t>Facility Type</t>
  </si>
  <si>
    <t>Transaction Type</t>
  </si>
  <si>
    <t>Building Type</t>
  </si>
  <si>
    <t xml:space="preserve"> Property Name</t>
  </si>
  <si>
    <t>Property Market</t>
  </si>
  <si>
    <t xml:space="preserve"> Address</t>
  </si>
  <si>
    <t xml:space="preserve"> City</t>
  </si>
  <si>
    <t xml:space="preserve"> State</t>
  </si>
  <si>
    <t xml:space="preserve"> Postal/Zip Code</t>
  </si>
  <si>
    <t>Property Country</t>
  </si>
  <si>
    <t xml:space="preserve"> Location (Latitude)</t>
  </si>
  <si>
    <t xml:space="preserve"> Location (Longitude)</t>
  </si>
  <si>
    <t>Leased SF</t>
  </si>
  <si>
    <t>Land Size (Acres)</t>
  </si>
  <si>
    <t>Market Surveyed</t>
  </si>
  <si>
    <t>Site Selected</t>
  </si>
  <si>
    <t>LOI Concluded</t>
  </si>
  <si>
    <t>CAR Approved</t>
  </si>
  <si>
    <t>Mutual Acceptance/PSA Execution</t>
  </si>
  <si>
    <t>Lease Execution Forecast (Shield)</t>
  </si>
  <si>
    <t>Date of Close Forecast (Shield)</t>
  </si>
  <si>
    <t>Requirement: Off POR</t>
  </si>
  <si>
    <t>KBC Case Safe ID</t>
  </si>
  <si>
    <t>Client Case Safe ID</t>
  </si>
  <si>
    <t>x</t>
  </si>
  <si>
    <t>NEW vs. EXISTING</t>
  </si>
  <si>
    <t>Direction</t>
  </si>
  <si>
    <t>1st Payment Date</t>
  </si>
  <si>
    <t>1st Payment Date %</t>
  </si>
  <si>
    <t>2nd Payment Date</t>
  </si>
  <si>
    <t>2nd Payment Date %</t>
  </si>
  <si>
    <t>xxxx</t>
  </si>
  <si>
    <t>Updated: Execution Date</t>
  </si>
  <si>
    <t>Updated: Launch Forecast</t>
  </si>
  <si>
    <t>Est. Consulting Fee</t>
  </si>
  <si>
    <t>Est. Total Commission</t>
  </si>
  <si>
    <t>Broker Notes</t>
  </si>
  <si>
    <t>xxx</t>
  </si>
  <si>
    <t>KBC Advisors LLC Split</t>
  </si>
  <si>
    <t>KBC Local Market Split</t>
  </si>
  <si>
    <t>Outside Broker Split</t>
  </si>
  <si>
    <t>xxxxx</t>
  </si>
  <si>
    <t>Est. Amazon Rebate</t>
  </si>
  <si>
    <t>Est. Commission</t>
  </si>
  <si>
    <t>Commission - KBC Advisors LLC</t>
  </si>
  <si>
    <t>Commission - KBC Local Market</t>
  </si>
  <si>
    <t>Commission - Outside Broker</t>
  </si>
  <si>
    <t>xxxxxx</t>
  </si>
  <si>
    <t>CVG47-Purchase</t>
  </si>
  <si>
    <t>Jason Kirkham</t>
  </si>
  <si>
    <t>Nicole Rasmussen</t>
  </si>
  <si>
    <t>CVG47</t>
  </si>
  <si>
    <t>Project</t>
  </si>
  <si>
    <t>PSA Execution</t>
  </si>
  <si>
    <t>Active</t>
  </si>
  <si>
    <t>ATS</t>
  </si>
  <si>
    <t>CNG Fill Station</t>
  </si>
  <si>
    <t>Purchase</t>
  </si>
  <si>
    <t>Build to Suit</t>
  </si>
  <si>
    <t>Litton Lane Hebron KY</t>
  </si>
  <si>
    <t>Cincinnati</t>
  </si>
  <si>
    <t>Litton Lane</t>
  </si>
  <si>
    <t>Hebron</t>
  </si>
  <si>
    <t>KY</t>
  </si>
  <si>
    <t>United States</t>
  </si>
  <si>
    <t>a0ERc00000E5gl2MAB</t>
  </si>
  <si>
    <t>a003t00001JRvImAAL</t>
  </si>
  <si>
    <t>Existing</t>
  </si>
  <si>
    <t>DII9-Purchase</t>
  </si>
  <si>
    <t>Kinsley West</t>
  </si>
  <si>
    <t>DII9</t>
  </si>
  <si>
    <t>Escrow/Due Diligence</t>
  </si>
  <si>
    <t>R2L</t>
  </si>
  <si>
    <t>RSR - DS</t>
  </si>
  <si>
    <t>408 Alexander Avenue Fraziers Bottom WV</t>
  </si>
  <si>
    <t>Charleston (WV)</t>
  </si>
  <si>
    <t>408 Alexander Avenue</t>
  </si>
  <si>
    <t>Fraziers Bottom</t>
  </si>
  <si>
    <t>WV</t>
  </si>
  <si>
    <t>a0ERc000000CHczMAG</t>
  </si>
  <si>
    <t>a003t00001AgiT4AAJ</t>
  </si>
  <si>
    <t>ZIN3-New Lease</t>
  </si>
  <si>
    <t>Jacob Sleight</t>
  </si>
  <si>
    <t>ZIN3_QC</t>
  </si>
  <si>
    <t>Quick Commerce</t>
  </si>
  <si>
    <t>New Lease</t>
  </si>
  <si>
    <t>Carmel Tech Center Building 2 12208 Hancock Street Carmel IN</t>
  </si>
  <si>
    <t>12208 Hancock Street</t>
  </si>
  <si>
    <t>Carmel</t>
  </si>
  <si>
    <t>IN</t>
  </si>
  <si>
    <t>a0ERc00000SNBSZMA5</t>
  </si>
  <si>
    <t>a00at00000LdA1qAAF</t>
  </si>
  <si>
    <t>New</t>
  </si>
  <si>
    <t>ZIN1-New Lease</t>
  </si>
  <si>
    <t>ZIN1_QC</t>
  </si>
  <si>
    <t>Milky Way Complex 4191 Millersville Road Indianapolis IN</t>
  </si>
  <si>
    <t>4191 Millersville Road</t>
  </si>
  <si>
    <t>Indianapolis</t>
  </si>
  <si>
    <t>a0ERc00000S8ae5MAB</t>
  </si>
  <si>
    <t>a00at00000LdABWAA3</t>
  </si>
  <si>
    <t>ZCL2-New Lease</t>
  </si>
  <si>
    <t>ZCL2</t>
  </si>
  <si>
    <t>4335-4365 Cranwood Parkway Cleveland OH</t>
  </si>
  <si>
    <t>4335-4365 Cranwood Parkway</t>
  </si>
  <si>
    <t>Cleveland</t>
  </si>
  <si>
    <t>OH</t>
  </si>
  <si>
    <t>a0ERc00000TInJMMA1</t>
  </si>
  <si>
    <t>a00at00000PZqQPAA1</t>
  </si>
  <si>
    <t>ZDT6-New Lease</t>
  </si>
  <si>
    <t>ZDT6_QC</t>
  </si>
  <si>
    <t>Building C 313 East Hudson Avenue Royal Oak MI</t>
  </si>
  <si>
    <t>Detroit</t>
  </si>
  <si>
    <t>313 East Hudson Avenue</t>
  </si>
  <si>
    <t>Royal Oak</t>
  </si>
  <si>
    <t>MI</t>
  </si>
  <si>
    <t>a0ERc00000TkqpPMAR</t>
  </si>
  <si>
    <t>a00at00000PzVobAAF</t>
  </si>
  <si>
    <t>DKE3-1-Purchase</t>
  </si>
  <si>
    <t>Mackenzie Floyd</t>
  </si>
  <si>
    <t>DKE3-1</t>
  </si>
  <si>
    <t>AMZL</t>
  </si>
  <si>
    <t>Delivery Station</t>
  </si>
  <si>
    <t>Hickory Lane and Linde Lane Deforest WI</t>
  </si>
  <si>
    <t>Milwaukee/Madison</t>
  </si>
  <si>
    <t>Hickory Lane and Linde Lane</t>
  </si>
  <si>
    <t>DeForest</t>
  </si>
  <si>
    <t>WI</t>
  </si>
  <si>
    <t>a0ERc00000LN6tRMAT</t>
  </si>
  <si>
    <t>a00at00000DWZ3GAAX</t>
  </si>
  <si>
    <t>DSB2-Purchase</t>
  </si>
  <si>
    <t>DSB2</t>
  </si>
  <si>
    <t>South Pointe Enterprise Campus Sheboygan WI</t>
  </si>
  <si>
    <t>Green Bay</t>
  </si>
  <si>
    <t>South Pointe Enterprise Campus</t>
  </si>
  <si>
    <t>Sheboygan</t>
  </si>
  <si>
    <t>a0ERc00000KsvtpMAB</t>
  </si>
  <si>
    <t>a003t00001JXDP6AAP</t>
  </si>
  <si>
    <t>ZLI1-New Lease</t>
  </si>
  <si>
    <t>ZLI1_QC</t>
  </si>
  <si>
    <t>2335 South Hanley Road Brentwood MO</t>
  </si>
  <si>
    <t>2335 South Hanley Road</t>
  </si>
  <si>
    <t>Brentwood</t>
  </si>
  <si>
    <t>MO</t>
  </si>
  <si>
    <t>a0ERc00000SoniDMAR</t>
  </si>
  <si>
    <t>a00at00000JmA8fAAF</t>
  </si>
  <si>
    <t>ZMP1-New Lease</t>
  </si>
  <si>
    <t>ZMP1</t>
  </si>
  <si>
    <t>Golden Valley II 8337 10th Avenue North Golden Valley MN</t>
  </si>
  <si>
    <t>8337 10th Avenue North</t>
  </si>
  <si>
    <t>Golden Valley</t>
  </si>
  <si>
    <t>MN</t>
  </si>
  <si>
    <t>a0ERc00000Trsg0MAB</t>
  </si>
  <si>
    <t>a00at00000PNuj6AAD</t>
  </si>
  <si>
    <t>OPA8-New Lease</t>
  </si>
  <si>
    <t>OPA8</t>
  </si>
  <si>
    <t>Client Approved</t>
  </si>
  <si>
    <t>CF</t>
  </si>
  <si>
    <t>1-DC</t>
  </si>
  <si>
    <t>Spec</t>
  </si>
  <si>
    <t>Manchester Commerce Center Building 2 Manchester PA</t>
  </si>
  <si>
    <t>I-78 / I-81 Corridor</t>
  </si>
  <si>
    <t>North Susquehanna Trail</t>
  </si>
  <si>
    <t>Manchester</t>
  </si>
  <si>
    <t>PA</t>
  </si>
  <si>
    <t>a0ERc00000Qrct2MAB</t>
  </si>
  <si>
    <t>a00at00000G9HIOAA3</t>
  </si>
  <si>
    <t>SOU3-New Lease</t>
  </si>
  <si>
    <t>Dominic Nicholas</t>
  </si>
  <si>
    <t>SOU3</t>
  </si>
  <si>
    <t>Sub Same Day FC</t>
  </si>
  <si>
    <t>8001 Air Commerce Drive Louisville KY</t>
  </si>
  <si>
    <t>Louisville</t>
  </si>
  <si>
    <t>8001 Air Commerce Drive</t>
  </si>
  <si>
    <t>a0ERc00000Qvqm6MAB</t>
  </si>
  <si>
    <t>a00at00000HqH1NAAV</t>
  </si>
  <si>
    <t>27_RSR DS_NA_US_Middlesboro_DTS4-1</t>
  </si>
  <si>
    <t>Lauren Bays</t>
  </si>
  <si>
    <t>Requirement</t>
  </si>
  <si>
    <t>New Project</t>
  </si>
  <si>
    <t>Middlesboro</t>
  </si>
  <si>
    <t>No</t>
  </si>
  <si>
    <t>a2PRc000001ehiRMAQ</t>
  </si>
  <si>
    <t>a00at00000NWm2fAAD</t>
  </si>
  <si>
    <t>26_QC_NA_US_Minneapolis_Summit Hills</t>
  </si>
  <si>
    <t>Minneapolis/St. Paul</t>
  </si>
  <si>
    <t>Minneapolis</t>
  </si>
  <si>
    <t>a2PRc000001n2GDMAY</t>
  </si>
  <si>
    <t>a00at00000POVKSAA5</t>
  </si>
  <si>
    <t>26_QC_NA_US_St Louis_DT St Louis</t>
  </si>
  <si>
    <t>St. Louis</t>
  </si>
  <si>
    <t>St Louis</t>
  </si>
  <si>
    <t>a2PRc000001rKrIMAU</t>
  </si>
  <si>
    <t>a00at00000U8E4XAAV</t>
  </si>
  <si>
    <t>26_QC_NA_US_Kansas City_DT Kansas City</t>
  </si>
  <si>
    <t>Kansas City</t>
  </si>
  <si>
    <t>a2PRc000001toI9MAI</t>
  </si>
  <si>
    <t>a00at00000QcfJRAAZ</t>
  </si>
  <si>
    <t>26_QC_NA_US_Minneapolis_Uptown Minneapolis</t>
  </si>
  <si>
    <t>a2PRc000001toIBMAY</t>
  </si>
  <si>
    <t>a00at00000VJPc1AAH</t>
  </si>
  <si>
    <t>ACY4-Purchase</t>
  </si>
  <si>
    <t>ACY4</t>
  </si>
  <si>
    <t>AR Sortable</t>
  </si>
  <si>
    <t>Atlantic City Racecourse 4501 East Black Horse Pike Mays Landing NJ</t>
  </si>
  <si>
    <t>Northern New Jersey</t>
  </si>
  <si>
    <t>4501 East Black Horse Pike</t>
  </si>
  <si>
    <t>Mays Landing</t>
  </si>
  <si>
    <t>NJ</t>
  </si>
  <si>
    <t>a0ERc000009LLU7MAO</t>
  </si>
  <si>
    <t>a003t00001JUQN7AAP</t>
  </si>
  <si>
    <t>DFR5 (FKA WKM2)-Purchase</t>
  </si>
  <si>
    <t>DFR5</t>
  </si>
  <si>
    <t>Richmond County Commerce Park History Land Highway Warsaw VA</t>
  </si>
  <si>
    <t>History Land Highway</t>
  </si>
  <si>
    <t>Warsaw</t>
  </si>
  <si>
    <t>VA</t>
  </si>
  <si>
    <t>a0ERc00000R1hD6MAJ</t>
  </si>
  <si>
    <t>a003t00001JVpmhAAD</t>
  </si>
  <si>
    <t>CMH8-Purchase</t>
  </si>
  <si>
    <t>CMH8</t>
  </si>
  <si>
    <t>LOI/Offers</t>
  </si>
  <si>
    <t>Other</t>
  </si>
  <si>
    <t>C5 Gateway Logistics Center Bldg 1 West Jefferson OH</t>
  </si>
  <si>
    <t>Columbus</t>
  </si>
  <si>
    <t>1025 Enterprise Parkway South</t>
  </si>
  <si>
    <t>West Jefferson</t>
  </si>
  <si>
    <t>a0ERc00000I1YF7MAN</t>
  </si>
  <si>
    <t>a00at000003mYFQAA2</t>
  </si>
  <si>
    <t>28_Flex_Shell_NA_US_MidWest_28_Flex_Shell_9</t>
  </si>
  <si>
    <t>TBD</t>
  </si>
  <si>
    <t>a2PRc000001Sdp9MAC</t>
  </si>
  <si>
    <t>a00at00000GBpVxAAL</t>
  </si>
  <si>
    <t>28_SSD FC_NA_US_Cleveland_SOHC</t>
  </si>
  <si>
    <t>a2PRc000001V0jCMAS</t>
  </si>
  <si>
    <t>a00at00000Hqha9AAB</t>
  </si>
  <si>
    <t>28_Flex_Shell_NA_US_GreatLakes_28_Flex_Shell_1</t>
  </si>
  <si>
    <t>Flex Shell</t>
  </si>
  <si>
    <t>Mid-Missouri</t>
  </si>
  <si>
    <t>a2PRc000001SdnUMAS</t>
  </si>
  <si>
    <t>a00at00000GBfcvAAD</t>
  </si>
  <si>
    <t>DOH3-1-Purchase</t>
  </si>
  <si>
    <t>DOH3-1</t>
  </si>
  <si>
    <t>Heritage Business Park I-75 &amp; SR73 Franklin OH</t>
  </si>
  <si>
    <t>I-75 &amp; SR73</t>
  </si>
  <si>
    <t>Franklin</t>
  </si>
  <si>
    <t>a0ERc00000SdoXuMAJ</t>
  </si>
  <si>
    <t>a00at00000F0pmfAAB</t>
  </si>
  <si>
    <t>DOH2-1-Purchase</t>
  </si>
  <si>
    <t>DOH2-1</t>
  </si>
  <si>
    <t>4400 Half-Acre Road Batavia OH</t>
  </si>
  <si>
    <t>4400 Half-Acre Road</t>
  </si>
  <si>
    <t>Batavia</t>
  </si>
  <si>
    <t>a0ERc00000UKmwrMAD</t>
  </si>
  <si>
    <t>a00at00000F0fdiAAB</t>
  </si>
  <si>
    <t>28_RSR DS_NA_US_Charleston_DVW3-1</t>
  </si>
  <si>
    <t>Charleston</t>
  </si>
  <si>
    <t>a2PRc000001WSQRMA4</t>
  </si>
  <si>
    <t>a00at00000IOzxeAAD</t>
  </si>
  <si>
    <t>28_RSR DS_NA_US_Seaford_DDL7-1</t>
  </si>
  <si>
    <t>Salisbury</t>
  </si>
  <si>
    <t>Seaford</t>
  </si>
  <si>
    <t>DE</t>
  </si>
  <si>
    <t>a2PRc000001WSSAMA4</t>
  </si>
  <si>
    <t>a00at00000IOjjGAAT</t>
  </si>
  <si>
    <t>28_AMZL_NA_US_Lexington_DLE5-1</t>
  </si>
  <si>
    <t>Lexington</t>
  </si>
  <si>
    <t>a2PRc000001ld3rMAA</t>
  </si>
  <si>
    <t>a00at00000SJfDyAAL</t>
  </si>
  <si>
    <t>28_AMZL_NA_US_Louisville_DLK4-1</t>
  </si>
  <si>
    <t>a2PRc000001ld3sMAA</t>
  </si>
  <si>
    <t>a00at00000SK1WFAA1</t>
  </si>
  <si>
    <t>HIA2-Purchase</t>
  </si>
  <si>
    <t>HIA2</t>
  </si>
  <si>
    <t>3055 Black Gap Road Chambersburg PA</t>
  </si>
  <si>
    <t>3055 Black Gap Road</t>
  </si>
  <si>
    <t>Chambersburg</t>
  </si>
  <si>
    <t>a0ERc00000TcpVVMAZ</t>
  </si>
  <si>
    <t>a00at00000LvxtmAAB</t>
  </si>
  <si>
    <t>29_Oth_NA_US_Shippensburg_Mid-Atlantic_Pipeline_3</t>
  </si>
  <si>
    <t>On-Hold</t>
  </si>
  <si>
    <t>Shippensburg</t>
  </si>
  <si>
    <t>Yes</t>
  </si>
  <si>
    <t>a2PRc000001hOxpMAE</t>
  </si>
  <si>
    <t>a00at00000QII7gAAH</t>
  </si>
  <si>
    <t>28_RSR DS_NA_US_Ashland_DOH5-1</t>
  </si>
  <si>
    <t>Ashland</t>
  </si>
  <si>
    <t>a2PRc000001ld5WMAQ</t>
  </si>
  <si>
    <t>a00at00000SN4AtAAL</t>
  </si>
  <si>
    <t>28_RSR DS_NA_US_Findlay_DFI3-1</t>
  </si>
  <si>
    <t>Toledo</t>
  </si>
  <si>
    <t>Findlay</t>
  </si>
  <si>
    <t>a2PRc000001ld73MAA</t>
  </si>
  <si>
    <t>a00at00000SNAmXAAX</t>
  </si>
  <si>
    <t>28_RSR DS_NA_US_London_DOL2-1</t>
  </si>
  <si>
    <t>London</t>
  </si>
  <si>
    <t>a2PRc000001ld8bMAA</t>
  </si>
  <si>
    <t>a00at00000SK8UOAA1</t>
  </si>
  <si>
    <t>29_ARS_631-Purchase</t>
  </si>
  <si>
    <t>Alexandra Seifert</t>
  </si>
  <si>
    <t>29_ARS_631</t>
  </si>
  <si>
    <t>Lot G and H Gateway Commerce Center Drive East Edwardsville IL</t>
  </si>
  <si>
    <t>Gateway Commerce Center Drive East</t>
  </si>
  <si>
    <t>Edwardsville</t>
  </si>
  <si>
    <t>IL</t>
  </si>
  <si>
    <t>a0ERc00000VWnqEMAT</t>
  </si>
  <si>
    <t>a00at000008K3eoAAC</t>
  </si>
  <si>
    <t>TOL2-Purchase</t>
  </si>
  <si>
    <t>TOL2</t>
  </si>
  <si>
    <t>RELO</t>
  </si>
  <si>
    <t>Deshler Road North Baltimore OH</t>
  </si>
  <si>
    <t>Deshler Road</t>
  </si>
  <si>
    <t>North Baltimore</t>
  </si>
  <si>
    <t>a0ERc00000Vl8I4MAJ</t>
  </si>
  <si>
    <t>a00at00000IvaagAAB</t>
  </si>
  <si>
    <t>26_SSD DC_NA_US_Cincinnati_HOHX</t>
  </si>
  <si>
    <t>Unassigned Contact</t>
  </si>
  <si>
    <t>Sub Same Day DC</t>
  </si>
  <si>
    <t>a2PRc000000xjabMAA</t>
  </si>
  <si>
    <t>a00at000003KZJFAA4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</si>
</sst>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b/>
      <sz val="10"/>
      <color theme="0"/>
      <name val="Verdana"/>
      <family val="2"/>
      <scheme val="minor"/>
    </font>
    <font>
      <b/>
      <sz val="10"/>
      <color theme="1"/>
      <name val="Verdana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43" fontId="2" fillId="0" borderId="0"/>
  </cellStyleXfs>
  <cellXfs count="69">
    <xf numFmtId="0" fontId="0" fillId="0" borderId="0" xfId="0"/>
    <xf numFmtId="0" fontId="3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2" fillId="0" borderId="3" xfId="2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3" fontId="6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3" fontId="6" fillId="0" borderId="0" xfId="1" applyFont="1" applyAlignment="1">
      <alignment vertical="center"/>
    </xf>
    <xf numFmtId="9" fontId="6" fillId="0" borderId="0" xfId="2" applyFont="1" applyAlignment="1">
      <alignment horizontal="center" vertical="center"/>
    </xf>
    <xf numFmtId="0" fontId="6" fillId="0" borderId="0" xfId="0" applyFont="1"/>
    <xf numFmtId="164" fontId="6" fillId="0" borderId="0" xfId="1" applyNumberFormat="1" applyFont="1"/>
    <xf numFmtId="9" fontId="6" fillId="2" borderId="0" xfId="2" applyFont="1" applyFill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43" fontId="9" fillId="0" borderId="0" xfId="1" applyFont="1" applyAlignment="1">
      <alignment horizontal="center" vertical="center"/>
    </xf>
    <xf numFmtId="9" fontId="9" fillId="0" borderId="0" xfId="2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0" xfId="3" applyNumberFormat="1" applyFont="1" applyAlignment="1">
      <alignment horizontal="center" vertical="center"/>
    </xf>
    <xf numFmtId="164" fontId="6" fillId="0" borderId="0" xfId="3" applyNumberFormat="1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43" fontId="7" fillId="3" borderId="1" xfId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7" fillId="4" borderId="1" xfId="2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14" fontId="7" fillId="5" borderId="1" xfId="1" applyNumberFormat="1" applyFont="1" applyFill="1" applyBorder="1" applyAlignment="1">
      <alignment horizontal="center" vertical="center" wrapText="1"/>
    </xf>
    <xf numFmtId="43" fontId="7" fillId="5" borderId="1" xfId="1" applyFont="1" applyFill="1" applyBorder="1" applyAlignment="1">
      <alignment horizontal="center" vertical="center" wrapText="1"/>
    </xf>
    <xf numFmtId="9" fontId="7" fillId="5" borderId="1" xfId="2" applyFont="1" applyFill="1" applyBorder="1" applyAlignment="1">
      <alignment horizontal="center" vertical="center" wrapText="1"/>
    </xf>
    <xf numFmtId="0" fontId="10" fillId="0" borderId="7" xfId="0" applyFont="1" applyBorder="1"/>
    <xf numFmtId="0" fontId="7" fillId="6" borderId="1" xfId="0" applyFont="1" applyFill="1" applyBorder="1" applyAlignment="1">
      <alignment horizontal="center" vertical="center" wrapText="1"/>
    </xf>
    <xf numFmtId="0" fontId="10" fillId="0" borderId="6" xfId="0" applyFont="1" applyBorder="1"/>
    <xf numFmtId="164" fontId="8" fillId="7" borderId="1" xfId="3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8" fillId="8" borderId="1" xfId="3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9" fontId="6" fillId="0" borderId="1" xfId="2" applyFont="1" applyBorder="1" applyAlignment="1">
      <alignment vertical="center"/>
    </xf>
    <xf numFmtId="0" fontId="6" fillId="0" borderId="2" xfId="0" applyFont="1" applyBorder="1" applyAlignment="1">
      <alignment vertical="center"/>
    </xf>
    <xf numFmtId="43" fontId="6" fillId="0" borderId="1" xfId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6" fillId="0" borderId="7" xfId="0" applyFont="1" applyBorder="1"/>
    <xf numFmtId="9" fontId="6" fillId="0" borderId="1" xfId="2" applyFont="1" applyBorder="1" applyAlignment="1">
      <alignment horizontal="center" vertical="center"/>
    </xf>
    <xf numFmtId="164" fontId="6" fillId="0" borderId="1" xfId="3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4" fontId="8" fillId="5" borderId="8" xfId="1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</cellXfs>
  <cellStyles count="4">
    <cellStyle name="Comma" xfId="1" builtinId="3"/>
    <cellStyle name="Comma 2" xfId="3" xr:uid="{00000000-0005-0000-0000-00002C000000}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BC Theme 2023">
  <a:themeElements>
    <a:clrScheme name="KBC Template 202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1BD95"/>
      </a:accent1>
      <a:accent2>
        <a:srgbClr val="BB5E67"/>
      </a:accent2>
      <a:accent3>
        <a:srgbClr val="52737A"/>
      </a:accent3>
      <a:accent4>
        <a:srgbClr val="707372"/>
      </a:accent4>
      <a:accent5>
        <a:srgbClr val="EFECEA"/>
      </a:accent5>
      <a:accent6>
        <a:srgbClr val="2B3E42"/>
      </a:accent6>
      <a:hlink>
        <a:srgbClr val="52737A"/>
      </a:hlink>
      <a:folHlink>
        <a:srgbClr val="BB5E67"/>
      </a:folHlink>
    </a:clrScheme>
    <a:fontScheme name="KBC">
      <a:majorFont>
        <a:latin typeface="Verdana Pro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C1:BR43"/>
  <sheetViews>
    <sheetView tabSelected="1" zoomScaleNormal="100" workbookViewId="0">
      <pane xSplit="4" ySplit="6" topLeftCell="E7" activePane="bottomRight" state="frozen"/>
      <selection activeCell="G42" sqref="G42"/>
      <selection pane="topRight" activeCell="G42" sqref="G42"/>
      <selection pane="bottomLeft" activeCell="G42" sqref="G42"/>
      <selection pane="bottomRight" activeCell="G42" sqref="G42"/>
    </sheetView>
  </sheetViews>
  <sheetFormatPr defaultColWidth="8.85546875" defaultRowHeight="13" outlineLevelCol="2" x14ac:dyDescent="0.3"/>
  <cols>
    <col min="1" max="1" width="1.78515625" style="16" customWidth="1"/>
    <col min="2" max="2" width="1.42578125" style="16" customWidth="1"/>
    <col min="3" max="3" width="7.85546875" style="9" customWidth="1"/>
    <col min="4" max="4" width="36.28515625" style="9" customWidth="1" outlineLevel="1"/>
    <col min="5" max="5" width="19.7109375" style="9" customWidth="1"/>
    <col min="6" max="6" width="10.5703125" style="8" bestFit="1" customWidth="1"/>
    <col min="7" max="7" width="8.140625" style="8" bestFit="1" customWidth="1"/>
    <col min="8" max="8" width="15.5" style="8" customWidth="1"/>
    <col min="9" max="9" width="15.5" style="8" hidden="1" customWidth="1" outlineLevel="1"/>
    <col min="10" max="10" width="9.78515625" style="8" customWidth="1" collapsed="1"/>
    <col min="11" max="11" width="11.78515625" style="8" customWidth="1"/>
    <col min="12" max="12" width="10.5703125" style="9" customWidth="1"/>
    <col min="13" max="13" width="39.140625" style="8" bestFit="1" customWidth="1"/>
    <col min="14" max="14" width="10.5703125" style="8" customWidth="1"/>
    <col min="15" max="15" width="10.5703125" style="10" bestFit="1" customWidth="1"/>
    <col min="16" max="16" width="21.42578125" style="10" hidden="1" customWidth="1" outlineLevel="1"/>
    <col min="17" max="17" width="19.78515625" style="10" hidden="1" customWidth="1" outlineLevel="1"/>
    <col min="18" max="18" width="19.42578125" style="11" hidden="1" customWidth="1" outlineLevel="1" collapsed="1"/>
    <col min="19" max="19" width="13.640625" style="8" bestFit="1" customWidth="1" collapsed="1"/>
    <col min="20" max="20" width="7.85546875" style="8" bestFit="1" customWidth="1"/>
    <col min="21" max="21" width="9.42578125" style="8" bestFit="1" customWidth="1"/>
    <col min="22" max="22" width="7.5703125" style="8" bestFit="1" customWidth="1"/>
    <col min="23" max="23" width="8.85546875" style="8" hidden="1" customWidth="1" outlineLevel="1"/>
    <col min="24" max="24" width="9.140625" style="12" hidden="1" customWidth="1" outlineLevel="1"/>
    <col min="25" max="25" width="10.35546875" style="12" hidden="1" customWidth="1" outlineLevel="1"/>
    <col min="26" max="31" width="11.42578125" style="8" hidden="1" customWidth="1" outlineLevel="1"/>
    <col min="32" max="32" width="11.42578125" style="8" customWidth="1" collapsed="1"/>
    <col min="33" max="33" width="11.42578125" style="8" customWidth="1"/>
    <col min="34" max="34" width="11.78515625" style="8" customWidth="1"/>
    <col min="35" max="36" width="11.78515625" style="8" hidden="1" customWidth="1" outlineLevel="1"/>
    <col min="37" max="37" width="1.140625" style="9" customWidth="1" collapsed="1"/>
    <col min="38" max="38" width="14" style="8" hidden="1" customWidth="1" outlineLevel="1"/>
    <col min="39" max="39" width="13.140625" style="9" hidden="1" customWidth="1" outlineLevel="2"/>
    <col min="40" max="41" width="15.140625" style="9" hidden="1" customWidth="1" outlineLevel="2"/>
    <col min="42" max="43" width="15.5703125" style="9" hidden="1" customWidth="1" outlineLevel="2"/>
    <col min="44" max="44" width="1.78515625" style="9" customWidth="1" collapsed="1"/>
    <col min="45" max="45" width="18" style="13" bestFit="1" customWidth="1"/>
    <col min="46" max="46" width="18.5" style="13" bestFit="1" customWidth="1"/>
    <col min="47" max="47" width="18.140625" style="14" bestFit="1" customWidth="1"/>
    <col min="48" max="48" width="16.5" style="14" bestFit="1" customWidth="1"/>
    <col min="49" max="49" width="14.42578125" style="15" bestFit="1" customWidth="1"/>
    <col min="50" max="50" width="17.5703125" style="8" bestFit="1" customWidth="1"/>
    <col min="51" max="51" width="36.0703125" style="8" customWidth="1"/>
    <col min="52" max="52" width="1.42578125" style="16" customWidth="1"/>
    <col min="53" max="53" width="16.78515625" style="16" hidden="1" customWidth="1" outlineLevel="1"/>
    <col min="54" max="54" width="15.140625" style="16" hidden="1" customWidth="1" outlineLevel="1"/>
    <col min="55" max="55" width="17.5703125" style="16" hidden="1" customWidth="1" outlineLevel="1"/>
    <col min="56" max="56" width="1.42578125" style="16" hidden="1" customWidth="1" outlineLevel="1"/>
    <col min="57" max="57" width="15.5" style="16" hidden="1" customWidth="1" outlineLevel="1"/>
    <col min="58" max="58" width="15.85546875" style="16" hidden="1" customWidth="1" outlineLevel="1"/>
    <col min="59" max="59" width="15.5" style="16" hidden="1" customWidth="1" outlineLevel="1"/>
    <col min="60" max="60" width="20.42578125" style="16" hidden="1" customWidth="1" outlineLevel="1"/>
    <col min="61" max="61" width="19.85546875" style="16" hidden="1" customWidth="1" outlineLevel="1"/>
    <col min="62" max="62" width="17.5703125" style="16" hidden="1" customWidth="1" outlineLevel="1"/>
    <col min="63" max="63" width="1.42578125" style="16" hidden="1" customWidth="1" outlineLevel="1"/>
    <col min="64" max="64" width="15.5" style="16" hidden="1" customWidth="1" outlineLevel="1"/>
    <col min="65" max="65" width="15.85546875" style="16" hidden="1" customWidth="1" outlineLevel="1"/>
    <col min="66" max="66" width="15.5" style="16" hidden="1" customWidth="1" outlineLevel="1"/>
    <col min="67" max="67" width="20.42578125" style="16" hidden="1" customWidth="1" outlineLevel="1"/>
    <col min="68" max="68" width="19.85546875" style="16" hidden="1" customWidth="1" outlineLevel="1"/>
    <col min="69" max="69" width="17.5703125" style="16" hidden="1" customWidth="1" outlineLevel="1"/>
    <col min="70" max="70" width="1.42578125" style="16" customWidth="1" collapsed="1"/>
    <col min="71" max="71" width="8.85546875" style="16" customWidth="1"/>
    <col min="72" max="16384" width="8.85546875" style="16"/>
  </cols>
  <sheetData>
    <row r="1" spans="3:69" x14ac:dyDescent="0.3">
      <c r="E1" s="7"/>
      <c r="F1" s="7" t="str">
        <f>"# of Projects:  " &amp; SUBTOTAL(3,D7:D1048576)</f>
        <v># of Projects:  37</v>
      </c>
      <c r="AU1" s="14">
        <f>SUBTOTAL(9,AU7:AU1048576)</f>
        <v>2800000</v>
      </c>
      <c r="AV1" s="14">
        <f>SUBTOTAL(9,AV7:AV1048576)</f>
        <v>2780500</v>
      </c>
      <c r="BE1" s="17">
        <f t="shared" ref="BE1:BJ1" si="0">SUBTOTAL(9,BE7:BE1048576)</f>
        <v>2780500</v>
      </c>
      <c r="BF1" s="17">
        <f t="shared" si="0"/>
        <v>1390250</v>
      </c>
      <c r="BG1" s="17">
        <f t="shared" si="0"/>
        <v>1390250</v>
      </c>
      <c r="BH1" s="17">
        <f t="shared" si="0"/>
        <v>656150</v>
      </c>
      <c r="BI1" s="17">
        <f t="shared" si="0"/>
        <v>356000</v>
      </c>
      <c r="BJ1" s="17">
        <f t="shared" si="0"/>
        <v>378100</v>
      </c>
      <c r="BL1" s="17">
        <f t="shared" ref="BL1:BQ1" si="1">SUBTOTAL(9,BL7:BL1048576)</f>
        <v>570375</v>
      </c>
      <c r="BM1" s="17">
        <f t="shared" si="1"/>
        <v>285187.5</v>
      </c>
      <c r="BN1" s="17">
        <f t="shared" si="1"/>
        <v>285187.5</v>
      </c>
      <c r="BO1" s="17">
        <f t="shared" si="1"/>
        <v>111112.5</v>
      </c>
      <c r="BP1" s="17">
        <f t="shared" si="1"/>
        <v>120000</v>
      </c>
      <c r="BQ1" s="17">
        <f t="shared" si="1"/>
        <v>54075</v>
      </c>
    </row>
    <row r="2" spans="3:69" x14ac:dyDescent="0.3">
      <c r="AY2" s="16"/>
    </row>
    <row r="3" spans="3:69" ht="13.25" customHeight="1" thickBot="1" x14ac:dyDescent="0.35">
      <c r="AS3" s="59" t="s">
        <v>8</v>
      </c>
      <c r="AT3" s="59" t="s">
        <v>8</v>
      </c>
      <c r="AU3" s="59" t="s">
        <v>8</v>
      </c>
      <c r="AV3" s="59" t="s">
        <v>8</v>
      </c>
      <c r="AW3" s="18" t="s">
        <v>9</v>
      </c>
      <c r="AX3" s="18" t="s">
        <v>9</v>
      </c>
      <c r="AY3" s="59" t="s">
        <v>8</v>
      </c>
    </row>
    <row r="4" spans="3:69" ht="15" customHeight="1" thickBot="1" x14ac:dyDescent="0.35">
      <c r="C4" s="16"/>
      <c r="D4" s="66" t="s">
        <v>10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8"/>
      <c r="AI4" s="60"/>
      <c r="AJ4" s="60"/>
      <c r="AL4" s="62" t="s">
        <v>11</v>
      </c>
      <c r="AM4" s="63"/>
      <c r="AN4" s="63"/>
      <c r="AO4" s="63"/>
      <c r="AP4" s="63"/>
      <c r="AQ4" s="64"/>
      <c r="AS4" s="65" t="s">
        <v>12</v>
      </c>
      <c r="AT4" s="63"/>
      <c r="AU4" s="63"/>
      <c r="AV4" s="63"/>
      <c r="AW4" s="63"/>
      <c r="AX4" s="63"/>
      <c r="AY4" s="64"/>
      <c r="BA4" s="19" t="s">
        <v>13</v>
      </c>
      <c r="BB4" s="19" t="s">
        <v>13</v>
      </c>
      <c r="BC4" s="19" t="s">
        <v>13</v>
      </c>
      <c r="BE4" s="20" t="s">
        <v>13</v>
      </c>
      <c r="BF4" s="20" t="s">
        <v>13</v>
      </c>
      <c r="BG4" s="20" t="s">
        <v>13</v>
      </c>
      <c r="BH4" s="20" t="s">
        <v>13</v>
      </c>
      <c r="BI4" s="20" t="s">
        <v>13</v>
      </c>
      <c r="BJ4" s="20" t="s">
        <v>13</v>
      </c>
      <c r="BL4" s="20" t="s">
        <v>14</v>
      </c>
      <c r="BM4" s="20" t="s">
        <v>14</v>
      </c>
      <c r="BN4" s="20" t="s">
        <v>14</v>
      </c>
      <c r="BO4" s="20" t="s">
        <v>14</v>
      </c>
      <c r="BP4" s="20" t="s">
        <v>14</v>
      </c>
      <c r="BQ4" s="20" t="s">
        <v>14</v>
      </c>
    </row>
    <row r="5" spans="3:69" x14ac:dyDescent="0.3">
      <c r="AS5" s="21"/>
      <c r="AT5" s="21"/>
      <c r="AU5" s="22"/>
      <c r="AV5" s="22"/>
      <c r="AW5" s="23"/>
      <c r="AX5" s="24"/>
      <c r="AY5" s="24"/>
      <c r="BA5" s="25"/>
      <c r="BB5" s="25"/>
      <c r="BC5" s="25"/>
      <c r="BE5" s="26"/>
      <c r="BF5" s="26"/>
      <c r="BG5" s="26"/>
      <c r="BH5" s="26"/>
      <c r="BI5" s="26"/>
      <c r="BJ5" s="26"/>
      <c r="BL5" s="26"/>
      <c r="BM5" s="26"/>
      <c r="BN5" s="26"/>
      <c r="BO5" s="26"/>
      <c r="BP5" s="26"/>
      <c r="BQ5" s="26"/>
    </row>
    <row r="6" spans="3:69" ht="38.65" customHeight="1" x14ac:dyDescent="0.3">
      <c r="C6" s="27" t="s">
        <v>15</v>
      </c>
      <c r="D6" s="27" t="s">
        <v>16</v>
      </c>
      <c r="E6" s="27" t="s">
        <v>17</v>
      </c>
      <c r="F6" s="27" t="s">
        <v>18</v>
      </c>
      <c r="G6" s="27" t="s">
        <v>19</v>
      </c>
      <c r="H6" s="27" t="s">
        <v>20</v>
      </c>
      <c r="I6" s="27" t="s">
        <v>21</v>
      </c>
      <c r="J6" s="27" t="s">
        <v>22</v>
      </c>
      <c r="K6" s="27" t="s">
        <v>23</v>
      </c>
      <c r="L6" s="27" t="s">
        <v>24</v>
      </c>
      <c r="M6" s="27" t="s">
        <v>25</v>
      </c>
      <c r="N6" s="27" t="s">
        <v>26</v>
      </c>
      <c r="O6" s="27" t="s">
        <v>27</v>
      </c>
      <c r="P6" s="28" t="s">
        <v>28</v>
      </c>
      <c r="Q6" s="28" t="s">
        <v>29</v>
      </c>
      <c r="R6" s="28" t="s">
        <v>30</v>
      </c>
      <c r="S6" s="27" t="s">
        <v>31</v>
      </c>
      <c r="T6" s="27" t="s">
        <v>32</v>
      </c>
      <c r="U6" s="27" t="s">
        <v>33</v>
      </c>
      <c r="V6" s="27" t="s">
        <v>34</v>
      </c>
      <c r="W6" s="27" t="s">
        <v>35</v>
      </c>
      <c r="X6" s="29" t="s">
        <v>36</v>
      </c>
      <c r="Y6" s="29" t="s">
        <v>37</v>
      </c>
      <c r="Z6" s="27" t="s">
        <v>38</v>
      </c>
      <c r="AA6" s="27" t="s">
        <v>39</v>
      </c>
      <c r="AB6" s="27" t="s">
        <v>40</v>
      </c>
      <c r="AC6" s="27" t="s">
        <v>41</v>
      </c>
      <c r="AD6" s="27" t="s">
        <v>42</v>
      </c>
      <c r="AE6" s="27" t="s">
        <v>43</v>
      </c>
      <c r="AF6" s="27" t="s">
        <v>44</v>
      </c>
      <c r="AG6" s="27" t="s">
        <v>45</v>
      </c>
      <c r="AH6" s="27" t="s">
        <v>46</v>
      </c>
      <c r="AI6" s="61" t="s">
        <v>47</v>
      </c>
      <c r="AJ6" s="61" t="s">
        <v>48</v>
      </c>
      <c r="AK6" s="30" t="s">
        <v>49</v>
      </c>
      <c r="AL6" s="31" t="s">
        <v>50</v>
      </c>
      <c r="AM6" s="32" t="s">
        <v>51</v>
      </c>
      <c r="AN6" s="31" t="s">
        <v>52</v>
      </c>
      <c r="AO6" s="33" t="s">
        <v>53</v>
      </c>
      <c r="AP6" s="31" t="s">
        <v>54</v>
      </c>
      <c r="AQ6" s="33" t="s">
        <v>55</v>
      </c>
      <c r="AR6" s="34" t="s">
        <v>56</v>
      </c>
      <c r="AS6" s="35" t="s">
        <v>57</v>
      </c>
      <c r="AT6" s="35" t="s">
        <v>58</v>
      </c>
      <c r="AU6" s="36" t="s">
        <v>59</v>
      </c>
      <c r="AV6" s="36" t="s">
        <v>60</v>
      </c>
      <c r="AW6" s="37" t="s">
        <v>3</v>
      </c>
      <c r="AX6" s="36" t="s">
        <v>0</v>
      </c>
      <c r="AY6" s="36" t="s">
        <v>61</v>
      </c>
      <c r="AZ6" s="38" t="s">
        <v>62</v>
      </c>
      <c r="BA6" s="39" t="s">
        <v>63</v>
      </c>
      <c r="BB6" s="39" t="s">
        <v>64</v>
      </c>
      <c r="BC6" s="39" t="s">
        <v>65</v>
      </c>
      <c r="BD6" s="40" t="s">
        <v>66</v>
      </c>
      <c r="BE6" s="41" t="s">
        <v>60</v>
      </c>
      <c r="BF6" s="41" t="s">
        <v>67</v>
      </c>
      <c r="BG6" s="41" t="s">
        <v>68</v>
      </c>
      <c r="BH6" s="42" t="s">
        <v>69</v>
      </c>
      <c r="BI6" s="42" t="s">
        <v>70</v>
      </c>
      <c r="BJ6" s="42" t="s">
        <v>71</v>
      </c>
      <c r="BK6" s="40" t="s">
        <v>72</v>
      </c>
      <c r="BL6" s="43" t="s">
        <v>60</v>
      </c>
      <c r="BM6" s="43" t="s">
        <v>67</v>
      </c>
      <c r="BN6" s="43" t="s">
        <v>68</v>
      </c>
      <c r="BO6" s="44" t="s">
        <v>69</v>
      </c>
      <c r="BP6" s="44" t="s">
        <v>70</v>
      </c>
      <c r="BQ6" s="44" t="s">
        <v>71</v>
      </c>
    </row>
    <row r="7" spans="3:69" x14ac:dyDescent="0.3">
      <c r="C7" s="57">
        <v>39</v>
      </c>
      <c r="D7" s="57" t="s">
        <v>73</v>
      </c>
      <c r="E7" s="57" t="s">
        <v>74</v>
      </c>
      <c r="F7" s="57" t="s">
        <v>75</v>
      </c>
      <c r="G7" s="57" t="s">
        <v>76</v>
      </c>
      <c r="H7" s="57">
        <v>2026</v>
      </c>
      <c r="I7" s="57" t="s">
        <v>77</v>
      </c>
      <c r="J7" s="57" t="s">
        <v>78</v>
      </c>
      <c r="K7" s="57" t="s">
        <v>79</v>
      </c>
      <c r="L7" s="57" t="s">
        <v>80</v>
      </c>
      <c r="M7" s="57" t="s">
        <v>81</v>
      </c>
      <c r="N7" s="57" t="s">
        <v>82</v>
      </c>
      <c r="O7" s="57" t="s">
        <v>83</v>
      </c>
      <c r="P7" s="58" t="s">
        <v>84</v>
      </c>
      <c r="Q7" s="58" t="s">
        <v>85</v>
      </c>
      <c r="R7" s="58" t="s">
        <v>86</v>
      </c>
      <c r="S7" s="57" t="s">
        <v>87</v>
      </c>
      <c r="T7" s="57" t="s">
        <v>88</v>
      </c>
      <c r="U7" s="57">
        <v>41048</v>
      </c>
      <c r="V7" s="57" t="s">
        <v>89</v>
      </c>
      <c r="W7" s="57">
        <v>39.073613899999998</v>
      </c>
      <c r="X7" s="51">
        <v>-84.714307599999998</v>
      </c>
      <c r="Y7" s="51"/>
      <c r="Z7" s="46">
        <v>66.5</v>
      </c>
      <c r="AA7" s="46">
        <v>45645</v>
      </c>
      <c r="AB7" s="46">
        <v>45618</v>
      </c>
      <c r="AC7" s="46">
        <v>45703</v>
      </c>
      <c r="AD7" s="46"/>
      <c r="AE7" s="46">
        <v>45735</v>
      </c>
      <c r="AF7" s="46"/>
      <c r="AG7" s="46">
        <v>46059</v>
      </c>
      <c r="AH7" s="46"/>
      <c r="AI7" s="46" t="s">
        <v>90</v>
      </c>
      <c r="AJ7" s="46" t="s">
        <v>91</v>
      </c>
      <c r="AL7" s="46" t="s">
        <v>92</v>
      </c>
      <c r="AM7" s="47"/>
      <c r="AN7" s="48"/>
      <c r="AO7" s="49"/>
      <c r="AP7" s="48"/>
      <c r="AQ7" s="49"/>
      <c r="AR7" s="50" t="s">
        <v>49</v>
      </c>
      <c r="AS7" s="46">
        <v>45747</v>
      </c>
      <c r="AT7" s="46">
        <v>46325</v>
      </c>
      <c r="AU7" s="51">
        <v>400000</v>
      </c>
      <c r="AV7" s="51">
        <v>400000</v>
      </c>
      <c r="AW7" s="52">
        <v>0</v>
      </c>
      <c r="AX7" s="46" t="s">
        <v>4</v>
      </c>
      <c r="AY7" s="46"/>
      <c r="AZ7" s="53" t="s">
        <v>49</v>
      </c>
      <c r="BA7" s="54">
        <f>IFERROR(VLOOKUP($AX7,List!B:C,2,FALSE),"N/A")</f>
        <v>0.6</v>
      </c>
      <c r="BB7" s="54">
        <f t="shared" ref="BB7:BB43" si="2">IF(AX7="YES",0, IF(AX7="NO",(1-BA7),"N/A"))</f>
        <v>0</v>
      </c>
      <c r="BC7" s="54">
        <f t="shared" ref="BC7:BC43" si="3">IF(AX7="YES",(1-BA7),IF(AX7="NO",0,"N/A"))</f>
        <v>0.4</v>
      </c>
      <c r="BD7" s="45"/>
      <c r="BE7" s="55">
        <f t="shared" ref="BE7:BE43" si="4">IFERROR(AV7,0)</f>
        <v>400000</v>
      </c>
      <c r="BF7" s="55">
        <f t="shared" ref="BF7:BF43" si="5">IFERROR(MAX(BE7-MIN(600000,BE7/2),0),0)</f>
        <v>200000</v>
      </c>
      <c r="BG7" s="55">
        <f t="shared" ref="BG7:BG43" si="6">IFERROR(MIN(600000,BE7/2),0)</f>
        <v>200000</v>
      </c>
      <c r="BH7" s="56">
        <f t="shared" ref="BH7:BH43" si="7">IFERROR(BG7*BA7,0)</f>
        <v>120000</v>
      </c>
      <c r="BI7" s="56">
        <f t="shared" ref="BI7:BI43" si="8">IFERROR(BG7*BB7,0)</f>
        <v>0</v>
      </c>
      <c r="BJ7" s="56">
        <f t="shared" ref="BJ7:BJ43" si="9">IFERROR(BG7*BC7,0)</f>
        <v>80000</v>
      </c>
      <c r="BK7" s="45"/>
      <c r="BL7" s="55">
        <f t="shared" ref="BL7:BL43" si="10">$AW7*BE7</f>
        <v>0</v>
      </c>
      <c r="BM7" s="55">
        <f t="shared" ref="BM7:BM43" si="11">$AW7*BF7</f>
        <v>0</v>
      </c>
      <c r="BN7" s="55">
        <f t="shared" ref="BN7:BN43" si="12">$AW7*BG7</f>
        <v>0</v>
      </c>
      <c r="BO7" s="55">
        <f t="shared" ref="BO7:BO43" si="13">$AW7*BH7</f>
        <v>0</v>
      </c>
      <c r="BP7" s="55">
        <f t="shared" ref="BP7:BP43" si="14">$AW7*BI7</f>
        <v>0</v>
      </c>
      <c r="BQ7" s="55">
        <f t="shared" ref="BQ7:BQ43" si="15">$AW7*BJ7</f>
        <v>0</v>
      </c>
    </row>
    <row r="8" spans="3:69" x14ac:dyDescent="0.3">
      <c r="C8" s="57">
        <v>50</v>
      </c>
      <c r="D8" s="57" t="s">
        <v>93</v>
      </c>
      <c r="E8" s="57" t="s">
        <v>74</v>
      </c>
      <c r="F8" s="57" t="s">
        <v>94</v>
      </c>
      <c r="G8" s="57" t="s">
        <v>95</v>
      </c>
      <c r="H8" s="57">
        <v>2027</v>
      </c>
      <c r="I8" s="57" t="s">
        <v>77</v>
      </c>
      <c r="J8" s="57" t="s">
        <v>96</v>
      </c>
      <c r="K8" s="57" t="s">
        <v>79</v>
      </c>
      <c r="L8" s="57" t="s">
        <v>97</v>
      </c>
      <c r="M8" s="57" t="s">
        <v>98</v>
      </c>
      <c r="N8" s="57" t="s">
        <v>82</v>
      </c>
      <c r="O8" s="57" t="s">
        <v>83</v>
      </c>
      <c r="P8" s="58" t="s">
        <v>99</v>
      </c>
      <c r="Q8" s="58" t="s">
        <v>100</v>
      </c>
      <c r="R8" s="58" t="s">
        <v>101</v>
      </c>
      <c r="S8" s="57" t="s">
        <v>102</v>
      </c>
      <c r="T8" s="57" t="s">
        <v>103</v>
      </c>
      <c r="U8" s="57">
        <v>25213</v>
      </c>
      <c r="V8" s="57" t="s">
        <v>89</v>
      </c>
      <c r="W8" s="57">
        <v>38.561393000000002</v>
      </c>
      <c r="X8" s="51">
        <v>-81.979203999999996</v>
      </c>
      <c r="Y8" s="51"/>
      <c r="Z8" s="46">
        <v>37</v>
      </c>
      <c r="AA8" s="46"/>
      <c r="AB8" s="46">
        <v>45132</v>
      </c>
      <c r="AC8" s="46">
        <v>45033</v>
      </c>
      <c r="AD8" s="46">
        <v>45905</v>
      </c>
      <c r="AE8" s="46"/>
      <c r="AF8" s="46"/>
      <c r="AG8" s="46">
        <v>46167</v>
      </c>
      <c r="AH8" s="46"/>
      <c r="AI8" s="46" t="s">
        <v>104</v>
      </c>
      <c r="AJ8" s="46" t="s">
        <v>105</v>
      </c>
      <c r="AL8" s="46" t="s">
        <v>92</v>
      </c>
      <c r="AM8" s="47"/>
      <c r="AN8" s="48"/>
      <c r="AO8" s="49"/>
      <c r="AP8" s="48"/>
      <c r="AQ8" s="49"/>
      <c r="AR8" s="50" t="s">
        <v>49</v>
      </c>
      <c r="AS8" s="46">
        <v>45976</v>
      </c>
      <c r="AT8" s="46">
        <v>46280</v>
      </c>
      <c r="AU8" s="51">
        <v>400000</v>
      </c>
      <c r="AV8" s="51">
        <v>40500</v>
      </c>
      <c r="AW8" s="52">
        <v>0.75</v>
      </c>
      <c r="AX8" s="46" t="s">
        <v>4</v>
      </c>
      <c r="AY8" s="46"/>
      <c r="AZ8" s="53" t="s">
        <v>49</v>
      </c>
      <c r="BA8" s="54">
        <f>IFERROR(VLOOKUP($AX8,List!B:C,2,FALSE),"N/A")</f>
        <v>0.6</v>
      </c>
      <c r="BB8" s="54">
        <f t="shared" si="2"/>
        <v>0</v>
      </c>
      <c r="BC8" s="54">
        <f t="shared" si="3"/>
        <v>0.4</v>
      </c>
      <c r="BD8" s="45"/>
      <c r="BE8" s="55">
        <f t="shared" si="4"/>
        <v>40500</v>
      </c>
      <c r="BF8" s="55">
        <f t="shared" si="5"/>
        <v>20250</v>
      </c>
      <c r="BG8" s="55">
        <f t="shared" si="6"/>
        <v>20250</v>
      </c>
      <c r="BH8" s="56">
        <f t="shared" si="7"/>
        <v>12150</v>
      </c>
      <c r="BI8" s="56">
        <f t="shared" si="8"/>
        <v>0</v>
      </c>
      <c r="BJ8" s="56">
        <f t="shared" si="9"/>
        <v>8100</v>
      </c>
      <c r="BK8" s="45"/>
      <c r="BL8" s="55">
        <f t="shared" si="10"/>
        <v>30375</v>
      </c>
      <c r="BM8" s="55">
        <f t="shared" si="11"/>
        <v>15187.5</v>
      </c>
      <c r="BN8" s="55">
        <f t="shared" si="12"/>
        <v>15187.5</v>
      </c>
      <c r="BO8" s="55">
        <f t="shared" si="13"/>
        <v>9112.5</v>
      </c>
      <c r="BP8" s="55">
        <f t="shared" si="14"/>
        <v>0</v>
      </c>
      <c r="BQ8" s="55">
        <f t="shared" si="15"/>
        <v>6075</v>
      </c>
    </row>
    <row r="9" spans="3:69" x14ac:dyDescent="0.3">
      <c r="C9" s="57">
        <v>57</v>
      </c>
      <c r="D9" s="57" t="s">
        <v>106</v>
      </c>
      <c r="E9" s="57" t="s">
        <v>74</v>
      </c>
      <c r="F9" s="57" t="s">
        <v>107</v>
      </c>
      <c r="G9" s="57" t="s">
        <v>108</v>
      </c>
      <c r="H9" s="57">
        <v>2026</v>
      </c>
      <c r="I9" s="57" t="s">
        <v>77</v>
      </c>
      <c r="J9" s="57" t="s">
        <v>41</v>
      </c>
      <c r="K9" s="57" t="s">
        <v>79</v>
      </c>
      <c r="L9" s="57" t="s">
        <v>97</v>
      </c>
      <c r="M9" s="57" t="s">
        <v>109</v>
      </c>
      <c r="N9" s="57" t="s">
        <v>110</v>
      </c>
      <c r="O9" s="57" t="s">
        <v>92</v>
      </c>
      <c r="P9" s="58" t="s">
        <v>111</v>
      </c>
      <c r="Q9" s="58"/>
      <c r="R9" s="58" t="s">
        <v>112</v>
      </c>
      <c r="S9" s="57" t="s">
        <v>113</v>
      </c>
      <c r="T9" s="57" t="s">
        <v>114</v>
      </c>
      <c r="U9" s="57">
        <v>46032</v>
      </c>
      <c r="V9" s="57" t="s">
        <v>89</v>
      </c>
      <c r="W9" s="57">
        <v>39.965739999999997</v>
      </c>
      <c r="X9" s="51">
        <v>-86.152230000000003</v>
      </c>
      <c r="Y9" s="51">
        <v>7062</v>
      </c>
      <c r="Z9" s="46">
        <v>5.63</v>
      </c>
      <c r="AA9" s="46">
        <v>46009</v>
      </c>
      <c r="AB9" s="46">
        <v>46052</v>
      </c>
      <c r="AC9" s="46">
        <v>46066</v>
      </c>
      <c r="AD9" s="46"/>
      <c r="AE9" s="46"/>
      <c r="AF9" s="46">
        <v>46175</v>
      </c>
      <c r="AG9" s="46"/>
      <c r="AH9" s="46"/>
      <c r="AI9" s="46" t="s">
        <v>115</v>
      </c>
      <c r="AJ9" s="46" t="s">
        <v>116</v>
      </c>
      <c r="AL9" s="46" t="s">
        <v>117</v>
      </c>
      <c r="AM9" s="47"/>
      <c r="AN9" s="48"/>
      <c r="AO9" s="49"/>
      <c r="AP9" s="48"/>
      <c r="AQ9" s="49"/>
      <c r="AR9" s="50" t="s">
        <v>49</v>
      </c>
      <c r="AS9" s="46"/>
      <c r="AT9" s="46"/>
      <c r="AU9" s="51"/>
      <c r="AV9" s="51"/>
      <c r="AW9" s="52"/>
      <c r="AX9" s="46"/>
      <c r="AY9" s="46"/>
      <c r="AZ9" s="53" t="s">
        <v>49</v>
      </c>
      <c r="BA9" s="54" t="str">
        <f>IFERROR(VLOOKUP($AX9,List!B:C,2,FALSE),"N/A")</f>
        <v>N/A</v>
      </c>
      <c r="BB9" s="54" t="str">
        <f t="shared" si="2"/>
        <v>N/A</v>
      </c>
      <c r="BC9" s="54" t="str">
        <f t="shared" si="3"/>
        <v>N/A</v>
      </c>
      <c r="BD9" s="45"/>
      <c r="BE9" s="55">
        <f t="shared" si="4"/>
        <v>0</v>
      </c>
      <c r="BF9" s="55">
        <f t="shared" si="5"/>
        <v>0</v>
      </c>
      <c r="BG9" s="55">
        <f t="shared" si="6"/>
        <v>0</v>
      </c>
      <c r="BH9" s="56">
        <f t="shared" si="7"/>
        <v>0</v>
      </c>
      <c r="BI9" s="56">
        <f t="shared" si="8"/>
        <v>0</v>
      </c>
      <c r="BJ9" s="56">
        <f t="shared" si="9"/>
        <v>0</v>
      </c>
      <c r="BK9" s="45"/>
      <c r="BL9" s="55">
        <f t="shared" si="10"/>
        <v>0</v>
      </c>
      <c r="BM9" s="55">
        <f t="shared" si="11"/>
        <v>0</v>
      </c>
      <c r="BN9" s="55">
        <f t="shared" si="12"/>
        <v>0</v>
      </c>
      <c r="BO9" s="55">
        <f t="shared" si="13"/>
        <v>0</v>
      </c>
      <c r="BP9" s="55">
        <f t="shared" si="14"/>
        <v>0</v>
      </c>
      <c r="BQ9" s="55">
        <f t="shared" si="15"/>
        <v>0</v>
      </c>
    </row>
    <row r="10" spans="3:69" x14ac:dyDescent="0.3">
      <c r="C10" s="57">
        <v>62</v>
      </c>
      <c r="D10" s="57" t="s">
        <v>118</v>
      </c>
      <c r="E10" s="57" t="s">
        <v>74</v>
      </c>
      <c r="F10" s="57" t="s">
        <v>107</v>
      </c>
      <c r="G10" s="57" t="s">
        <v>119</v>
      </c>
      <c r="H10" s="57">
        <v>2026</v>
      </c>
      <c r="I10" s="57" t="s">
        <v>77</v>
      </c>
      <c r="J10" s="57" t="s">
        <v>41</v>
      </c>
      <c r="K10" s="57" t="s">
        <v>79</v>
      </c>
      <c r="L10" s="57" t="s">
        <v>97</v>
      </c>
      <c r="M10" s="57" t="s">
        <v>109</v>
      </c>
      <c r="N10" s="57" t="s">
        <v>110</v>
      </c>
      <c r="O10" s="57" t="s">
        <v>92</v>
      </c>
      <c r="P10" s="58" t="s">
        <v>120</v>
      </c>
      <c r="Q10" s="58"/>
      <c r="R10" s="58" t="s">
        <v>121</v>
      </c>
      <c r="S10" s="57" t="s">
        <v>122</v>
      </c>
      <c r="T10" s="57" t="s">
        <v>114</v>
      </c>
      <c r="U10" s="57">
        <v>46205</v>
      </c>
      <c r="V10" s="57" t="s">
        <v>89</v>
      </c>
      <c r="W10" s="57">
        <v>39.833069999999999</v>
      </c>
      <c r="X10" s="51">
        <v>-86.114040000000003</v>
      </c>
      <c r="Y10" s="51">
        <v>4100</v>
      </c>
      <c r="Z10" s="46">
        <v>3.5</v>
      </c>
      <c r="AA10" s="46">
        <v>46009</v>
      </c>
      <c r="AB10" s="46">
        <v>46049</v>
      </c>
      <c r="AC10" s="46">
        <v>46036</v>
      </c>
      <c r="AD10" s="46"/>
      <c r="AE10" s="46"/>
      <c r="AF10" s="46">
        <v>46178</v>
      </c>
      <c r="AG10" s="46"/>
      <c r="AH10" s="46"/>
      <c r="AI10" s="46" t="s">
        <v>123</v>
      </c>
      <c r="AJ10" s="46" t="s">
        <v>124</v>
      </c>
      <c r="AL10" s="46" t="s">
        <v>117</v>
      </c>
      <c r="AM10" s="47"/>
      <c r="AN10" s="48"/>
      <c r="AO10" s="49"/>
      <c r="AP10" s="48"/>
      <c r="AQ10" s="49"/>
      <c r="AR10" s="50" t="s">
        <v>49</v>
      </c>
      <c r="AS10" s="46"/>
      <c r="AT10" s="46"/>
      <c r="AU10" s="51"/>
      <c r="AV10" s="51"/>
      <c r="AW10" s="52"/>
      <c r="AX10" s="46"/>
      <c r="AY10" s="46"/>
      <c r="AZ10" s="53" t="s">
        <v>49</v>
      </c>
      <c r="BA10" s="54" t="str">
        <f>IFERROR(VLOOKUP($AX10,List!B:C,2,FALSE),"N/A")</f>
        <v>N/A</v>
      </c>
      <c r="BB10" s="54" t="str">
        <f t="shared" si="2"/>
        <v>N/A</v>
      </c>
      <c r="BC10" s="54" t="str">
        <f t="shared" si="3"/>
        <v>N/A</v>
      </c>
      <c r="BD10" s="45"/>
      <c r="BE10" s="55">
        <f t="shared" si="4"/>
        <v>0</v>
      </c>
      <c r="BF10" s="55">
        <f t="shared" si="5"/>
        <v>0</v>
      </c>
      <c r="BG10" s="55">
        <f t="shared" si="6"/>
        <v>0</v>
      </c>
      <c r="BH10" s="56">
        <f t="shared" si="7"/>
        <v>0</v>
      </c>
      <c r="BI10" s="56">
        <f t="shared" si="8"/>
        <v>0</v>
      </c>
      <c r="BJ10" s="56">
        <f t="shared" si="9"/>
        <v>0</v>
      </c>
      <c r="BK10" s="45"/>
      <c r="BL10" s="55">
        <f t="shared" si="10"/>
        <v>0</v>
      </c>
      <c r="BM10" s="55">
        <f t="shared" si="11"/>
        <v>0</v>
      </c>
      <c r="BN10" s="55">
        <f t="shared" si="12"/>
        <v>0</v>
      </c>
      <c r="BO10" s="55">
        <f t="shared" si="13"/>
        <v>0</v>
      </c>
      <c r="BP10" s="55">
        <f t="shared" si="14"/>
        <v>0</v>
      </c>
      <c r="BQ10" s="55">
        <f t="shared" si="15"/>
        <v>0</v>
      </c>
    </row>
    <row r="11" spans="3:69" x14ac:dyDescent="0.3">
      <c r="C11" s="57">
        <v>93</v>
      </c>
      <c r="D11" s="57" t="s">
        <v>125</v>
      </c>
      <c r="E11" s="57" t="s">
        <v>74</v>
      </c>
      <c r="F11" s="57" t="s">
        <v>107</v>
      </c>
      <c r="G11" s="57" t="s">
        <v>126</v>
      </c>
      <c r="H11" s="57">
        <v>2026</v>
      </c>
      <c r="I11" s="57" t="s">
        <v>77</v>
      </c>
      <c r="J11" s="57" t="s">
        <v>41</v>
      </c>
      <c r="K11" s="57" t="s">
        <v>79</v>
      </c>
      <c r="L11" s="57" t="s">
        <v>97</v>
      </c>
      <c r="M11" s="57" t="s">
        <v>109</v>
      </c>
      <c r="N11" s="57" t="s">
        <v>110</v>
      </c>
      <c r="O11" s="57" t="s">
        <v>92</v>
      </c>
      <c r="P11" s="58" t="s">
        <v>127</v>
      </c>
      <c r="Q11" s="58"/>
      <c r="R11" s="58" t="s">
        <v>128</v>
      </c>
      <c r="S11" s="57" t="s">
        <v>129</v>
      </c>
      <c r="T11" s="57" t="s">
        <v>130</v>
      </c>
      <c r="U11" s="57">
        <v>44128</v>
      </c>
      <c r="V11" s="57" t="s">
        <v>89</v>
      </c>
      <c r="W11" s="57">
        <v>41.441040000000001</v>
      </c>
      <c r="X11" s="51">
        <v>-81.548760000000001</v>
      </c>
      <c r="Y11" s="51">
        <v>7770</v>
      </c>
      <c r="Z11" s="46">
        <v>2.56</v>
      </c>
      <c r="AA11" s="46"/>
      <c r="AB11" s="46">
        <v>46084</v>
      </c>
      <c r="AC11" s="46">
        <v>46107</v>
      </c>
      <c r="AD11" s="46"/>
      <c r="AE11" s="46"/>
      <c r="AF11" s="46">
        <v>46192</v>
      </c>
      <c r="AG11" s="46"/>
      <c r="AH11" s="46"/>
      <c r="AI11" s="46" t="s">
        <v>131</v>
      </c>
      <c r="AJ11" s="46" t="s">
        <v>132</v>
      </c>
      <c r="AL11" s="46" t="s">
        <v>117</v>
      </c>
      <c r="AM11" s="47"/>
      <c r="AN11" s="48"/>
      <c r="AO11" s="49"/>
      <c r="AP11" s="48"/>
      <c r="AQ11" s="49"/>
      <c r="AR11" s="50" t="s">
        <v>49</v>
      </c>
      <c r="AS11" s="46"/>
      <c r="AT11" s="46"/>
      <c r="AU11" s="51"/>
      <c r="AV11" s="51"/>
      <c r="AW11" s="52"/>
      <c r="AX11" s="46"/>
      <c r="AY11" s="46"/>
      <c r="AZ11" s="53" t="s">
        <v>49</v>
      </c>
      <c r="BA11" s="54" t="str">
        <f>IFERROR(VLOOKUP($AX11,List!B:C,2,FALSE),"N/A")</f>
        <v>N/A</v>
      </c>
      <c r="BB11" s="54" t="str">
        <f t="shared" si="2"/>
        <v>N/A</v>
      </c>
      <c r="BC11" s="54" t="str">
        <f t="shared" si="3"/>
        <v>N/A</v>
      </c>
      <c r="BD11" s="45"/>
      <c r="BE11" s="55">
        <f t="shared" si="4"/>
        <v>0</v>
      </c>
      <c r="BF11" s="55">
        <f t="shared" si="5"/>
        <v>0</v>
      </c>
      <c r="BG11" s="55">
        <f t="shared" si="6"/>
        <v>0</v>
      </c>
      <c r="BH11" s="56">
        <f t="shared" si="7"/>
        <v>0</v>
      </c>
      <c r="BI11" s="56">
        <f t="shared" si="8"/>
        <v>0</v>
      </c>
      <c r="BJ11" s="56">
        <f t="shared" si="9"/>
        <v>0</v>
      </c>
      <c r="BK11" s="45"/>
      <c r="BL11" s="55">
        <f t="shared" si="10"/>
        <v>0</v>
      </c>
      <c r="BM11" s="55">
        <f t="shared" si="11"/>
        <v>0</v>
      </c>
      <c r="BN11" s="55">
        <f t="shared" si="12"/>
        <v>0</v>
      </c>
      <c r="BO11" s="55">
        <f t="shared" si="13"/>
        <v>0</v>
      </c>
      <c r="BP11" s="55">
        <f t="shared" si="14"/>
        <v>0</v>
      </c>
      <c r="BQ11" s="55">
        <f t="shared" si="15"/>
        <v>0</v>
      </c>
    </row>
    <row r="12" spans="3:69" x14ac:dyDescent="0.3">
      <c r="C12" s="57">
        <v>94</v>
      </c>
      <c r="D12" s="57" t="s">
        <v>133</v>
      </c>
      <c r="E12" s="57" t="s">
        <v>74</v>
      </c>
      <c r="F12" s="57" t="s">
        <v>107</v>
      </c>
      <c r="G12" s="57" t="s">
        <v>134</v>
      </c>
      <c r="H12" s="57">
        <v>2026</v>
      </c>
      <c r="I12" s="57" t="s">
        <v>77</v>
      </c>
      <c r="J12" s="57" t="s">
        <v>41</v>
      </c>
      <c r="K12" s="57" t="s">
        <v>79</v>
      </c>
      <c r="L12" s="57" t="s">
        <v>97</v>
      </c>
      <c r="M12" s="57" t="s">
        <v>109</v>
      </c>
      <c r="N12" s="57" t="s">
        <v>110</v>
      </c>
      <c r="O12" s="57" t="s">
        <v>92</v>
      </c>
      <c r="P12" s="58" t="s">
        <v>135</v>
      </c>
      <c r="Q12" s="58" t="s">
        <v>136</v>
      </c>
      <c r="R12" s="58" t="s">
        <v>137</v>
      </c>
      <c r="S12" s="57" t="s">
        <v>138</v>
      </c>
      <c r="T12" s="57" t="s">
        <v>139</v>
      </c>
      <c r="U12" s="57">
        <v>48067</v>
      </c>
      <c r="V12" s="57" t="s">
        <v>89</v>
      </c>
      <c r="W12" s="57">
        <v>42.481866599999996</v>
      </c>
      <c r="X12" s="51">
        <v>-83.140051200000002</v>
      </c>
      <c r="Y12" s="51">
        <v>12513</v>
      </c>
      <c r="Z12" s="46">
        <v>2.4900000000000002</v>
      </c>
      <c r="AA12" s="46">
        <v>46058</v>
      </c>
      <c r="AB12" s="46">
        <v>46098</v>
      </c>
      <c r="AC12" s="46">
        <v>46122</v>
      </c>
      <c r="AD12" s="46"/>
      <c r="AE12" s="46"/>
      <c r="AF12" s="46">
        <v>46192</v>
      </c>
      <c r="AG12" s="46"/>
      <c r="AH12" s="46"/>
      <c r="AI12" s="46" t="s">
        <v>140</v>
      </c>
      <c r="AJ12" s="46" t="s">
        <v>141</v>
      </c>
      <c r="AL12" s="46" t="s">
        <v>117</v>
      </c>
      <c r="AM12" s="47"/>
      <c r="AN12" s="48"/>
      <c r="AO12" s="49"/>
      <c r="AP12" s="48"/>
      <c r="AQ12" s="49"/>
      <c r="AR12" s="50" t="s">
        <v>49</v>
      </c>
      <c r="AS12" s="46"/>
      <c r="AT12" s="46"/>
      <c r="AU12" s="51"/>
      <c r="AV12" s="51"/>
      <c r="AW12" s="52"/>
      <c r="AX12" s="46"/>
      <c r="AY12" s="46"/>
      <c r="AZ12" s="53" t="s">
        <v>49</v>
      </c>
      <c r="BA12" s="54" t="str">
        <f>IFERROR(VLOOKUP($AX12,List!B:C,2,FALSE),"N/A")</f>
        <v>N/A</v>
      </c>
      <c r="BB12" s="54" t="str">
        <f t="shared" si="2"/>
        <v>N/A</v>
      </c>
      <c r="BC12" s="54" t="str">
        <f t="shared" si="3"/>
        <v>N/A</v>
      </c>
      <c r="BD12" s="45"/>
      <c r="BE12" s="55">
        <f t="shared" si="4"/>
        <v>0</v>
      </c>
      <c r="BF12" s="55">
        <f t="shared" si="5"/>
        <v>0</v>
      </c>
      <c r="BG12" s="55">
        <f t="shared" si="6"/>
        <v>0</v>
      </c>
      <c r="BH12" s="56">
        <f t="shared" si="7"/>
        <v>0</v>
      </c>
      <c r="BI12" s="56">
        <f t="shared" si="8"/>
        <v>0</v>
      </c>
      <c r="BJ12" s="56">
        <f t="shared" si="9"/>
        <v>0</v>
      </c>
      <c r="BK12" s="45"/>
      <c r="BL12" s="55">
        <f t="shared" si="10"/>
        <v>0</v>
      </c>
      <c r="BM12" s="55">
        <f t="shared" si="11"/>
        <v>0</v>
      </c>
      <c r="BN12" s="55">
        <f t="shared" si="12"/>
        <v>0</v>
      </c>
      <c r="BO12" s="55">
        <f t="shared" si="13"/>
        <v>0</v>
      </c>
      <c r="BP12" s="55">
        <f t="shared" si="14"/>
        <v>0</v>
      </c>
      <c r="BQ12" s="55">
        <f t="shared" si="15"/>
        <v>0</v>
      </c>
    </row>
    <row r="13" spans="3:69" x14ac:dyDescent="0.3">
      <c r="C13" s="57">
        <v>96</v>
      </c>
      <c r="D13" s="57" t="s">
        <v>142</v>
      </c>
      <c r="E13" s="57" t="s">
        <v>74</v>
      </c>
      <c r="F13" s="57" t="s">
        <v>143</v>
      </c>
      <c r="G13" s="57" t="s">
        <v>144</v>
      </c>
      <c r="H13" s="57">
        <v>2027</v>
      </c>
      <c r="I13" s="57" t="s">
        <v>77</v>
      </c>
      <c r="J13" s="57" t="s">
        <v>78</v>
      </c>
      <c r="K13" s="57" t="s">
        <v>79</v>
      </c>
      <c r="L13" s="57" t="s">
        <v>145</v>
      </c>
      <c r="M13" s="57" t="s">
        <v>146</v>
      </c>
      <c r="N13" s="57" t="s">
        <v>82</v>
      </c>
      <c r="O13" s="57" t="s">
        <v>83</v>
      </c>
      <c r="P13" s="58" t="s">
        <v>147</v>
      </c>
      <c r="Q13" s="58" t="s">
        <v>148</v>
      </c>
      <c r="R13" s="58" t="s">
        <v>149</v>
      </c>
      <c r="S13" s="57" t="s">
        <v>150</v>
      </c>
      <c r="T13" s="57" t="s">
        <v>151</v>
      </c>
      <c r="U13" s="57">
        <v>53532</v>
      </c>
      <c r="V13" s="57" t="s">
        <v>89</v>
      </c>
      <c r="W13" s="57">
        <v>43.245718500000002</v>
      </c>
      <c r="X13" s="51">
        <v>-89.384565600000002</v>
      </c>
      <c r="Y13" s="51">
        <v>223285</v>
      </c>
      <c r="Z13" s="46">
        <v>48.09</v>
      </c>
      <c r="AA13" s="46">
        <v>45791</v>
      </c>
      <c r="AB13" s="46">
        <v>45866</v>
      </c>
      <c r="AC13" s="46">
        <v>45897</v>
      </c>
      <c r="AD13" s="46"/>
      <c r="AE13" s="46">
        <v>45960</v>
      </c>
      <c r="AF13" s="46"/>
      <c r="AG13" s="46">
        <v>46195</v>
      </c>
      <c r="AH13" s="46"/>
      <c r="AI13" s="46" t="s">
        <v>152</v>
      </c>
      <c r="AJ13" s="46" t="s">
        <v>153</v>
      </c>
      <c r="AL13" s="46" t="s">
        <v>92</v>
      </c>
      <c r="AM13" s="47"/>
      <c r="AN13" s="48"/>
      <c r="AO13" s="49"/>
      <c r="AP13" s="48"/>
      <c r="AQ13" s="49"/>
      <c r="AR13" s="50" t="s">
        <v>49</v>
      </c>
      <c r="AS13" s="46">
        <v>46053</v>
      </c>
      <c r="AT13" s="46">
        <v>46388</v>
      </c>
      <c r="AU13" s="51">
        <v>400000</v>
      </c>
      <c r="AV13" s="51">
        <v>500000</v>
      </c>
      <c r="AW13" s="52">
        <v>0.25</v>
      </c>
      <c r="AX13" s="46" t="s">
        <v>4</v>
      </c>
      <c r="AY13" s="46"/>
      <c r="AZ13" s="53" t="s">
        <v>49</v>
      </c>
      <c r="BA13" s="54">
        <f>IFERROR(VLOOKUP($AX13,List!B:C,2,FALSE),"N/A")</f>
        <v>0.6</v>
      </c>
      <c r="BB13" s="54">
        <f t="shared" si="2"/>
        <v>0</v>
      </c>
      <c r="BC13" s="54">
        <f t="shared" si="3"/>
        <v>0.4</v>
      </c>
      <c r="BD13" s="45"/>
      <c r="BE13" s="55">
        <f t="shared" si="4"/>
        <v>500000</v>
      </c>
      <c r="BF13" s="55">
        <f t="shared" si="5"/>
        <v>250000</v>
      </c>
      <c r="BG13" s="55">
        <f t="shared" si="6"/>
        <v>250000</v>
      </c>
      <c r="BH13" s="56">
        <f t="shared" si="7"/>
        <v>150000</v>
      </c>
      <c r="BI13" s="56">
        <f t="shared" si="8"/>
        <v>0</v>
      </c>
      <c r="BJ13" s="56">
        <f t="shared" si="9"/>
        <v>100000</v>
      </c>
      <c r="BK13" s="45"/>
      <c r="BL13" s="55">
        <f t="shared" si="10"/>
        <v>125000</v>
      </c>
      <c r="BM13" s="55">
        <f t="shared" si="11"/>
        <v>62500</v>
      </c>
      <c r="BN13" s="55">
        <f t="shared" si="12"/>
        <v>62500</v>
      </c>
      <c r="BO13" s="55">
        <f t="shared" si="13"/>
        <v>37500</v>
      </c>
      <c r="BP13" s="55">
        <f t="shared" si="14"/>
        <v>0</v>
      </c>
      <c r="BQ13" s="55">
        <f t="shared" si="15"/>
        <v>25000</v>
      </c>
    </row>
    <row r="14" spans="3:69" x14ac:dyDescent="0.3">
      <c r="C14" s="57">
        <v>97</v>
      </c>
      <c r="D14" s="57" t="s">
        <v>154</v>
      </c>
      <c r="E14" s="57" t="s">
        <v>74</v>
      </c>
      <c r="F14" s="57" t="s">
        <v>143</v>
      </c>
      <c r="G14" s="57" t="s">
        <v>155</v>
      </c>
      <c r="H14" s="57">
        <v>2027</v>
      </c>
      <c r="I14" s="57" t="s">
        <v>77</v>
      </c>
      <c r="J14" s="57" t="s">
        <v>78</v>
      </c>
      <c r="K14" s="57" t="s">
        <v>79</v>
      </c>
      <c r="L14" s="57" t="s">
        <v>145</v>
      </c>
      <c r="M14" s="57" t="s">
        <v>146</v>
      </c>
      <c r="N14" s="57" t="s">
        <v>82</v>
      </c>
      <c r="O14" s="57" t="s">
        <v>83</v>
      </c>
      <c r="P14" s="58" t="s">
        <v>156</v>
      </c>
      <c r="Q14" s="58" t="s">
        <v>157</v>
      </c>
      <c r="R14" s="58" t="s">
        <v>158</v>
      </c>
      <c r="S14" s="57" t="s">
        <v>159</v>
      </c>
      <c r="T14" s="57" t="s">
        <v>151</v>
      </c>
      <c r="U14" s="57">
        <v>53081</v>
      </c>
      <c r="V14" s="57" t="s">
        <v>89</v>
      </c>
      <c r="W14" s="57">
        <v>43.689053299999998</v>
      </c>
      <c r="X14" s="51">
        <v>-87.753611399999997</v>
      </c>
      <c r="Y14" s="51">
        <v>223285</v>
      </c>
      <c r="Z14" s="46">
        <v>107</v>
      </c>
      <c r="AA14" s="46"/>
      <c r="AB14" s="46">
        <v>45853</v>
      </c>
      <c r="AC14" s="46">
        <v>45880</v>
      </c>
      <c r="AD14" s="46">
        <v>45966</v>
      </c>
      <c r="AE14" s="46">
        <v>46048</v>
      </c>
      <c r="AF14" s="46"/>
      <c r="AG14" s="46">
        <v>46196</v>
      </c>
      <c r="AH14" s="46"/>
      <c r="AI14" s="46" t="s">
        <v>160</v>
      </c>
      <c r="AJ14" s="46" t="s">
        <v>161</v>
      </c>
      <c r="AL14" s="46" t="s">
        <v>92</v>
      </c>
      <c r="AM14" s="47"/>
      <c r="AN14" s="48"/>
      <c r="AO14" s="49"/>
      <c r="AP14" s="48"/>
      <c r="AQ14" s="49"/>
      <c r="AR14" s="50" t="s">
        <v>49</v>
      </c>
      <c r="AS14" s="46">
        <v>45901</v>
      </c>
      <c r="AT14" s="46">
        <v>46143</v>
      </c>
      <c r="AU14" s="51">
        <v>400000</v>
      </c>
      <c r="AV14" s="51">
        <v>490000</v>
      </c>
      <c r="AW14" s="52">
        <v>0</v>
      </c>
      <c r="AX14" s="46" t="s">
        <v>4</v>
      </c>
      <c r="AY14" s="46"/>
      <c r="AZ14" s="53" t="s">
        <v>49</v>
      </c>
      <c r="BA14" s="54">
        <f>IFERROR(VLOOKUP($AX14,List!B:C,2,FALSE),"N/A")</f>
        <v>0.6</v>
      </c>
      <c r="BB14" s="54">
        <f t="shared" si="2"/>
        <v>0</v>
      </c>
      <c r="BC14" s="54">
        <f t="shared" si="3"/>
        <v>0.4</v>
      </c>
      <c r="BD14" s="45"/>
      <c r="BE14" s="55">
        <f t="shared" si="4"/>
        <v>490000</v>
      </c>
      <c r="BF14" s="55">
        <f t="shared" si="5"/>
        <v>245000</v>
      </c>
      <c r="BG14" s="55">
        <f t="shared" si="6"/>
        <v>245000</v>
      </c>
      <c r="BH14" s="56">
        <f t="shared" si="7"/>
        <v>147000</v>
      </c>
      <c r="BI14" s="56">
        <f t="shared" si="8"/>
        <v>0</v>
      </c>
      <c r="BJ14" s="56">
        <f t="shared" si="9"/>
        <v>98000</v>
      </c>
      <c r="BK14" s="45"/>
      <c r="BL14" s="55">
        <f t="shared" si="10"/>
        <v>0</v>
      </c>
      <c r="BM14" s="55">
        <f t="shared" si="11"/>
        <v>0</v>
      </c>
      <c r="BN14" s="55">
        <f t="shared" si="12"/>
        <v>0</v>
      </c>
      <c r="BO14" s="55">
        <f t="shared" si="13"/>
        <v>0</v>
      </c>
      <c r="BP14" s="55">
        <f t="shared" si="14"/>
        <v>0</v>
      </c>
      <c r="BQ14" s="55">
        <f t="shared" si="15"/>
        <v>0</v>
      </c>
    </row>
    <row r="15" spans="3:69" x14ac:dyDescent="0.3">
      <c r="C15" s="57">
        <v>103</v>
      </c>
      <c r="D15" s="57" t="s">
        <v>162</v>
      </c>
      <c r="E15" s="57" t="s">
        <v>74</v>
      </c>
      <c r="F15" s="57" t="s">
        <v>107</v>
      </c>
      <c r="G15" s="57" t="s">
        <v>163</v>
      </c>
      <c r="H15" s="57">
        <v>2026</v>
      </c>
      <c r="I15" s="57" t="s">
        <v>77</v>
      </c>
      <c r="J15" s="57" t="s">
        <v>41</v>
      </c>
      <c r="K15" s="57" t="s">
        <v>79</v>
      </c>
      <c r="L15" s="57" t="s">
        <v>97</v>
      </c>
      <c r="M15" s="57" t="s">
        <v>109</v>
      </c>
      <c r="N15" s="57" t="s">
        <v>110</v>
      </c>
      <c r="O15" s="57" t="s">
        <v>92</v>
      </c>
      <c r="P15" s="58" t="s">
        <v>164</v>
      </c>
      <c r="Q15" s="58"/>
      <c r="R15" s="58" t="s">
        <v>165</v>
      </c>
      <c r="S15" s="57" t="s">
        <v>166</v>
      </c>
      <c r="T15" s="57" t="s">
        <v>167</v>
      </c>
      <c r="U15" s="57">
        <v>63144</v>
      </c>
      <c r="V15" s="57" t="s">
        <v>89</v>
      </c>
      <c r="W15" s="57">
        <v>38.618029999999997</v>
      </c>
      <c r="X15" s="51">
        <v>-90.334890000000001</v>
      </c>
      <c r="Y15" s="51">
        <v>4700</v>
      </c>
      <c r="Z15" s="46">
        <v>0.34</v>
      </c>
      <c r="AA15" s="46">
        <v>45974</v>
      </c>
      <c r="AB15" s="46">
        <v>46066</v>
      </c>
      <c r="AC15" s="46">
        <v>46091</v>
      </c>
      <c r="AD15" s="46"/>
      <c r="AE15" s="46"/>
      <c r="AF15" s="46">
        <v>46199</v>
      </c>
      <c r="AG15" s="46"/>
      <c r="AH15" s="46"/>
      <c r="AI15" s="46" t="s">
        <v>168</v>
      </c>
      <c r="AJ15" s="46" t="s">
        <v>169</v>
      </c>
      <c r="AL15" s="46" t="s">
        <v>117</v>
      </c>
      <c r="AM15" s="47"/>
      <c r="AN15" s="48"/>
      <c r="AO15" s="49"/>
      <c r="AP15" s="48"/>
      <c r="AQ15" s="49"/>
      <c r="AR15" s="50" t="s">
        <v>49</v>
      </c>
      <c r="AS15" s="46"/>
      <c r="AT15" s="46"/>
      <c r="AU15" s="51"/>
      <c r="AV15" s="51"/>
      <c r="AW15" s="52"/>
      <c r="AX15" s="46"/>
      <c r="AY15" s="46"/>
      <c r="AZ15" s="53" t="s">
        <v>49</v>
      </c>
      <c r="BA15" s="54" t="str">
        <f>IFERROR(VLOOKUP($AX15,List!B:C,2,FALSE),"N/A")</f>
        <v>N/A</v>
      </c>
      <c r="BB15" s="54" t="str">
        <f t="shared" si="2"/>
        <v>N/A</v>
      </c>
      <c r="BC15" s="54" t="str">
        <f t="shared" si="3"/>
        <v>N/A</v>
      </c>
      <c r="BD15" s="45"/>
      <c r="BE15" s="55">
        <f t="shared" si="4"/>
        <v>0</v>
      </c>
      <c r="BF15" s="55">
        <f t="shared" si="5"/>
        <v>0</v>
      </c>
      <c r="BG15" s="55">
        <f t="shared" si="6"/>
        <v>0</v>
      </c>
      <c r="BH15" s="56">
        <f t="shared" si="7"/>
        <v>0</v>
      </c>
      <c r="BI15" s="56">
        <f t="shared" si="8"/>
        <v>0</v>
      </c>
      <c r="BJ15" s="56">
        <f t="shared" si="9"/>
        <v>0</v>
      </c>
      <c r="BK15" s="45"/>
      <c r="BL15" s="55">
        <f t="shared" si="10"/>
        <v>0</v>
      </c>
      <c r="BM15" s="55">
        <f t="shared" si="11"/>
        <v>0</v>
      </c>
      <c r="BN15" s="55">
        <f t="shared" si="12"/>
        <v>0</v>
      </c>
      <c r="BO15" s="55">
        <f t="shared" si="13"/>
        <v>0</v>
      </c>
      <c r="BP15" s="55">
        <f t="shared" si="14"/>
        <v>0</v>
      </c>
      <c r="BQ15" s="55">
        <f t="shared" si="15"/>
        <v>0</v>
      </c>
    </row>
    <row r="16" spans="3:69" x14ac:dyDescent="0.3">
      <c r="C16" s="57">
        <v>104</v>
      </c>
      <c r="D16" s="57" t="s">
        <v>170</v>
      </c>
      <c r="E16" s="57" t="s">
        <v>74</v>
      </c>
      <c r="F16" s="57" t="s">
        <v>107</v>
      </c>
      <c r="G16" s="57" t="s">
        <v>171</v>
      </c>
      <c r="H16" s="57">
        <v>2026</v>
      </c>
      <c r="I16" s="57" t="s">
        <v>77</v>
      </c>
      <c r="J16" s="57" t="s">
        <v>41</v>
      </c>
      <c r="K16" s="57" t="s">
        <v>79</v>
      </c>
      <c r="L16" s="57" t="s">
        <v>97</v>
      </c>
      <c r="M16" s="57" t="s">
        <v>109</v>
      </c>
      <c r="N16" s="57" t="s">
        <v>110</v>
      </c>
      <c r="O16" s="57" t="s">
        <v>92</v>
      </c>
      <c r="P16" s="58" t="s">
        <v>172</v>
      </c>
      <c r="Q16" s="58"/>
      <c r="R16" s="58" t="s">
        <v>173</v>
      </c>
      <c r="S16" s="57" t="s">
        <v>174</v>
      </c>
      <c r="T16" s="57" t="s">
        <v>175</v>
      </c>
      <c r="U16" s="57">
        <v>55427</v>
      </c>
      <c r="V16" s="57" t="s">
        <v>89</v>
      </c>
      <c r="W16" s="57">
        <v>44.988660000000003</v>
      </c>
      <c r="X16" s="51">
        <v>-93.386089999999996</v>
      </c>
      <c r="Y16" s="51">
        <v>6380</v>
      </c>
      <c r="Z16" s="46">
        <v>5.76</v>
      </c>
      <c r="AA16" s="46">
        <v>46045</v>
      </c>
      <c r="AB16" s="46">
        <v>46100</v>
      </c>
      <c r="AC16" s="46">
        <v>46051</v>
      </c>
      <c r="AD16" s="46"/>
      <c r="AE16" s="46"/>
      <c r="AF16" s="46">
        <v>46199</v>
      </c>
      <c r="AG16" s="46"/>
      <c r="AH16" s="46"/>
      <c r="AI16" s="46" t="s">
        <v>176</v>
      </c>
      <c r="AJ16" s="46" t="s">
        <v>177</v>
      </c>
      <c r="AL16" s="46" t="s">
        <v>117</v>
      </c>
      <c r="AM16" s="47"/>
      <c r="AN16" s="48"/>
      <c r="AO16" s="49"/>
      <c r="AP16" s="48"/>
      <c r="AQ16" s="49"/>
      <c r="AR16" s="50" t="s">
        <v>49</v>
      </c>
      <c r="AS16" s="46"/>
      <c r="AT16" s="46"/>
      <c r="AU16" s="51"/>
      <c r="AV16" s="51"/>
      <c r="AW16" s="52"/>
      <c r="AX16" s="46"/>
      <c r="AY16" s="46"/>
      <c r="AZ16" s="53" t="s">
        <v>49</v>
      </c>
      <c r="BA16" s="54" t="str">
        <f>IFERROR(VLOOKUP($AX16,List!B:C,2,FALSE),"N/A")</f>
        <v>N/A</v>
      </c>
      <c r="BB16" s="54" t="str">
        <f t="shared" si="2"/>
        <v>N/A</v>
      </c>
      <c r="BC16" s="54" t="str">
        <f t="shared" si="3"/>
        <v>N/A</v>
      </c>
      <c r="BD16" s="45"/>
      <c r="BE16" s="55">
        <f t="shared" si="4"/>
        <v>0</v>
      </c>
      <c r="BF16" s="55">
        <f t="shared" si="5"/>
        <v>0</v>
      </c>
      <c r="BG16" s="55">
        <f t="shared" si="6"/>
        <v>0</v>
      </c>
      <c r="BH16" s="56">
        <f t="shared" si="7"/>
        <v>0</v>
      </c>
      <c r="BI16" s="56">
        <f t="shared" si="8"/>
        <v>0</v>
      </c>
      <c r="BJ16" s="56">
        <f t="shared" si="9"/>
        <v>0</v>
      </c>
      <c r="BK16" s="45"/>
      <c r="BL16" s="55">
        <f t="shared" si="10"/>
        <v>0</v>
      </c>
      <c r="BM16" s="55">
        <f t="shared" si="11"/>
        <v>0</v>
      </c>
      <c r="BN16" s="55">
        <f t="shared" si="12"/>
        <v>0</v>
      </c>
      <c r="BO16" s="55">
        <f t="shared" si="13"/>
        <v>0</v>
      </c>
      <c r="BP16" s="55">
        <f t="shared" si="14"/>
        <v>0</v>
      </c>
      <c r="BQ16" s="55">
        <f t="shared" si="15"/>
        <v>0</v>
      </c>
    </row>
    <row r="17" spans="3:69" x14ac:dyDescent="0.3">
      <c r="C17" s="57">
        <v>129</v>
      </c>
      <c r="D17" s="57" t="s">
        <v>178</v>
      </c>
      <c r="E17" s="57" t="s">
        <v>74</v>
      </c>
      <c r="F17" s="57" t="s">
        <v>143</v>
      </c>
      <c r="G17" s="57" t="s">
        <v>179</v>
      </c>
      <c r="H17" s="57">
        <v>2027</v>
      </c>
      <c r="I17" s="57" t="s">
        <v>77</v>
      </c>
      <c r="J17" s="57" t="s">
        <v>180</v>
      </c>
      <c r="K17" s="57" t="s">
        <v>79</v>
      </c>
      <c r="L17" s="57" t="s">
        <v>181</v>
      </c>
      <c r="M17" s="57" t="s">
        <v>182</v>
      </c>
      <c r="N17" s="57" t="s">
        <v>110</v>
      </c>
      <c r="O17" s="57" t="s">
        <v>183</v>
      </c>
      <c r="P17" s="58" t="s">
        <v>184</v>
      </c>
      <c r="Q17" s="58" t="s">
        <v>185</v>
      </c>
      <c r="R17" s="58" t="s">
        <v>186</v>
      </c>
      <c r="S17" s="57" t="s">
        <v>187</v>
      </c>
      <c r="T17" s="57" t="s">
        <v>188</v>
      </c>
      <c r="U17" s="57">
        <v>17404</v>
      </c>
      <c r="V17" s="57" t="s">
        <v>89</v>
      </c>
      <c r="W17" s="57">
        <v>40.047657999999998</v>
      </c>
      <c r="X17" s="51">
        <v>-76.759150000000005</v>
      </c>
      <c r="Y17" s="51">
        <v>1127142</v>
      </c>
      <c r="Z17" s="46">
        <v>98.49</v>
      </c>
      <c r="AA17" s="46">
        <v>45637</v>
      </c>
      <c r="AB17" s="46">
        <v>46002</v>
      </c>
      <c r="AC17" s="46">
        <v>46002</v>
      </c>
      <c r="AD17" s="46">
        <v>46118</v>
      </c>
      <c r="AE17" s="46"/>
      <c r="AF17" s="46">
        <v>46203</v>
      </c>
      <c r="AG17" s="46"/>
      <c r="AH17" s="46"/>
      <c r="AI17" s="46" t="s">
        <v>189</v>
      </c>
      <c r="AJ17" s="46" t="s">
        <v>190</v>
      </c>
      <c r="AL17" s="46" t="s">
        <v>117</v>
      </c>
      <c r="AM17" s="47"/>
      <c r="AN17" s="48"/>
      <c r="AO17" s="49"/>
      <c r="AP17" s="48"/>
      <c r="AQ17" s="49"/>
      <c r="AR17" s="50" t="s">
        <v>49</v>
      </c>
      <c r="AS17" s="46"/>
      <c r="AT17" s="46"/>
      <c r="AU17" s="51"/>
      <c r="AV17" s="51"/>
      <c r="AW17" s="52"/>
      <c r="AX17" s="46"/>
      <c r="AY17" s="46"/>
      <c r="AZ17" s="53" t="s">
        <v>49</v>
      </c>
      <c r="BA17" s="54" t="str">
        <f>IFERROR(VLOOKUP($AX17,List!B:C,2,FALSE),"N/A")</f>
        <v>N/A</v>
      </c>
      <c r="BB17" s="54" t="str">
        <f t="shared" si="2"/>
        <v>N/A</v>
      </c>
      <c r="BC17" s="54" t="str">
        <f t="shared" si="3"/>
        <v>N/A</v>
      </c>
      <c r="BD17" s="45"/>
      <c r="BE17" s="55">
        <f t="shared" si="4"/>
        <v>0</v>
      </c>
      <c r="BF17" s="55">
        <f t="shared" si="5"/>
        <v>0</v>
      </c>
      <c r="BG17" s="55">
        <f t="shared" si="6"/>
        <v>0</v>
      </c>
      <c r="BH17" s="56">
        <f t="shared" si="7"/>
        <v>0</v>
      </c>
      <c r="BI17" s="56">
        <f t="shared" si="8"/>
        <v>0</v>
      </c>
      <c r="BJ17" s="56">
        <f t="shared" si="9"/>
        <v>0</v>
      </c>
      <c r="BK17" s="45"/>
      <c r="BL17" s="55">
        <f t="shared" si="10"/>
        <v>0</v>
      </c>
      <c r="BM17" s="55">
        <f t="shared" si="11"/>
        <v>0</v>
      </c>
      <c r="BN17" s="55">
        <f t="shared" si="12"/>
        <v>0</v>
      </c>
      <c r="BO17" s="55">
        <f t="shared" si="13"/>
        <v>0</v>
      </c>
      <c r="BP17" s="55">
        <f t="shared" si="14"/>
        <v>0</v>
      </c>
      <c r="BQ17" s="55">
        <f t="shared" si="15"/>
        <v>0</v>
      </c>
    </row>
    <row r="18" spans="3:69" x14ac:dyDescent="0.3">
      <c r="C18" s="57">
        <v>149</v>
      </c>
      <c r="D18" s="57" t="s">
        <v>191</v>
      </c>
      <c r="E18" s="57" t="s">
        <v>74</v>
      </c>
      <c r="F18" s="57" t="s">
        <v>192</v>
      </c>
      <c r="G18" s="57" t="s">
        <v>193</v>
      </c>
      <c r="H18" s="57">
        <v>2027</v>
      </c>
      <c r="I18" s="57" t="s">
        <v>77</v>
      </c>
      <c r="J18" s="57" t="s">
        <v>41</v>
      </c>
      <c r="K18" s="57" t="s">
        <v>79</v>
      </c>
      <c r="L18" s="57" t="s">
        <v>97</v>
      </c>
      <c r="M18" s="57" t="s">
        <v>194</v>
      </c>
      <c r="N18" s="57" t="s">
        <v>110</v>
      </c>
      <c r="O18" s="57" t="s">
        <v>183</v>
      </c>
      <c r="P18" s="58" t="s">
        <v>195</v>
      </c>
      <c r="Q18" s="58" t="s">
        <v>196</v>
      </c>
      <c r="R18" s="58" t="s">
        <v>197</v>
      </c>
      <c r="S18" s="57" t="s">
        <v>196</v>
      </c>
      <c r="T18" s="57" t="s">
        <v>88</v>
      </c>
      <c r="U18" s="57">
        <v>40219</v>
      </c>
      <c r="V18" s="57" t="s">
        <v>89</v>
      </c>
      <c r="W18" s="57">
        <v>38.133867600000002</v>
      </c>
      <c r="X18" s="51">
        <v>-85.715451000000002</v>
      </c>
      <c r="Y18" s="51">
        <v>324576</v>
      </c>
      <c r="Z18" s="46">
        <v>23</v>
      </c>
      <c r="AA18" s="46">
        <v>45924</v>
      </c>
      <c r="AB18" s="46">
        <v>46008</v>
      </c>
      <c r="AC18" s="46">
        <v>46065</v>
      </c>
      <c r="AD18" s="46"/>
      <c r="AE18" s="46"/>
      <c r="AF18" s="46">
        <v>46208</v>
      </c>
      <c r="AG18" s="46"/>
      <c r="AH18" s="46"/>
      <c r="AI18" s="46" t="s">
        <v>198</v>
      </c>
      <c r="AJ18" s="46" t="s">
        <v>199</v>
      </c>
      <c r="AL18" s="46" t="s">
        <v>117</v>
      </c>
      <c r="AM18" s="47"/>
      <c r="AN18" s="48"/>
      <c r="AO18" s="49"/>
      <c r="AP18" s="48"/>
      <c r="AQ18" s="49"/>
      <c r="AR18" s="50" t="s">
        <v>49</v>
      </c>
      <c r="AS18" s="46"/>
      <c r="AT18" s="46"/>
      <c r="AU18" s="51"/>
      <c r="AV18" s="51"/>
      <c r="AW18" s="52"/>
      <c r="AX18" s="46"/>
      <c r="AY18" s="46"/>
      <c r="AZ18" s="53" t="s">
        <v>49</v>
      </c>
      <c r="BA18" s="54" t="str">
        <f>IFERROR(VLOOKUP($AX18,List!B:C,2,FALSE),"N/A")</f>
        <v>N/A</v>
      </c>
      <c r="BB18" s="54" t="str">
        <f t="shared" si="2"/>
        <v>N/A</v>
      </c>
      <c r="BC18" s="54" t="str">
        <f t="shared" si="3"/>
        <v>N/A</v>
      </c>
      <c r="BD18" s="45"/>
      <c r="BE18" s="55">
        <f t="shared" si="4"/>
        <v>0</v>
      </c>
      <c r="BF18" s="55">
        <f t="shared" si="5"/>
        <v>0</v>
      </c>
      <c r="BG18" s="55">
        <f t="shared" si="6"/>
        <v>0</v>
      </c>
      <c r="BH18" s="56">
        <f t="shared" si="7"/>
        <v>0</v>
      </c>
      <c r="BI18" s="56">
        <f t="shared" si="8"/>
        <v>0</v>
      </c>
      <c r="BJ18" s="56">
        <f t="shared" si="9"/>
        <v>0</v>
      </c>
      <c r="BK18" s="45"/>
      <c r="BL18" s="55">
        <f t="shared" si="10"/>
        <v>0</v>
      </c>
      <c r="BM18" s="55">
        <f t="shared" si="11"/>
        <v>0</v>
      </c>
      <c r="BN18" s="55">
        <f t="shared" si="12"/>
        <v>0</v>
      </c>
      <c r="BO18" s="55">
        <f t="shared" si="13"/>
        <v>0</v>
      </c>
      <c r="BP18" s="55">
        <f t="shared" si="14"/>
        <v>0</v>
      </c>
      <c r="BQ18" s="55">
        <f t="shared" si="15"/>
        <v>0</v>
      </c>
    </row>
    <row r="19" spans="3:69" x14ac:dyDescent="0.3">
      <c r="C19" s="57">
        <v>207</v>
      </c>
      <c r="D19" s="57" t="s">
        <v>200</v>
      </c>
      <c r="E19" s="57" t="s">
        <v>74</v>
      </c>
      <c r="F19" s="57" t="s">
        <v>201</v>
      </c>
      <c r="G19" s="57"/>
      <c r="H19" s="57">
        <v>2027</v>
      </c>
      <c r="I19" s="57" t="s">
        <v>202</v>
      </c>
      <c r="J19" s="57" t="s">
        <v>203</v>
      </c>
      <c r="K19" s="57" t="s">
        <v>79</v>
      </c>
      <c r="L19" s="57" t="s">
        <v>97</v>
      </c>
      <c r="M19" s="57" t="s">
        <v>98</v>
      </c>
      <c r="N19" s="57" t="s">
        <v>110</v>
      </c>
      <c r="O19" s="57" t="s">
        <v>92</v>
      </c>
      <c r="P19" s="58"/>
      <c r="Q19" s="58"/>
      <c r="R19" s="58"/>
      <c r="S19" s="57" t="s">
        <v>204</v>
      </c>
      <c r="T19" s="57" t="s">
        <v>88</v>
      </c>
      <c r="U19" s="57"/>
      <c r="V19" s="57" t="s">
        <v>89</v>
      </c>
      <c r="W19" s="57"/>
      <c r="X19" s="51"/>
      <c r="Y19" s="51"/>
      <c r="Z19" s="46"/>
      <c r="AA19" s="46"/>
      <c r="AB19" s="46"/>
      <c r="AC19" s="46"/>
      <c r="AD19" s="46"/>
      <c r="AE19" s="46"/>
      <c r="AF19" s="46">
        <v>46238</v>
      </c>
      <c r="AG19" s="46"/>
      <c r="AH19" s="46" t="s">
        <v>205</v>
      </c>
      <c r="AI19" s="46" t="s">
        <v>206</v>
      </c>
      <c r="AJ19" s="46" t="s">
        <v>207</v>
      </c>
      <c r="AL19" s="46" t="s">
        <v>117</v>
      </c>
      <c r="AM19" s="47"/>
      <c r="AN19" s="48"/>
      <c r="AO19" s="49"/>
      <c r="AP19" s="48"/>
      <c r="AQ19" s="49"/>
      <c r="AR19" s="50" t="s">
        <v>49</v>
      </c>
      <c r="AS19" s="46"/>
      <c r="AT19" s="46"/>
      <c r="AU19" s="51"/>
      <c r="AV19" s="51"/>
      <c r="AW19" s="52"/>
      <c r="AX19" s="46"/>
      <c r="AY19" s="46"/>
      <c r="AZ19" s="53" t="s">
        <v>49</v>
      </c>
      <c r="BA19" s="54" t="str">
        <f>IFERROR(VLOOKUP($AX19,List!B:C,2,FALSE),"N/A")</f>
        <v>N/A</v>
      </c>
      <c r="BB19" s="54" t="str">
        <f t="shared" si="2"/>
        <v>N/A</v>
      </c>
      <c r="BC19" s="54" t="str">
        <f t="shared" si="3"/>
        <v>N/A</v>
      </c>
      <c r="BD19" s="45"/>
      <c r="BE19" s="55">
        <f t="shared" si="4"/>
        <v>0</v>
      </c>
      <c r="BF19" s="55">
        <f t="shared" si="5"/>
        <v>0</v>
      </c>
      <c r="BG19" s="55">
        <f t="shared" si="6"/>
        <v>0</v>
      </c>
      <c r="BH19" s="56">
        <f t="shared" si="7"/>
        <v>0</v>
      </c>
      <c r="BI19" s="56">
        <f t="shared" si="8"/>
        <v>0</v>
      </c>
      <c r="BJ19" s="56">
        <f t="shared" si="9"/>
        <v>0</v>
      </c>
      <c r="BK19" s="45"/>
      <c r="BL19" s="55">
        <f t="shared" si="10"/>
        <v>0</v>
      </c>
      <c r="BM19" s="55">
        <f t="shared" si="11"/>
        <v>0</v>
      </c>
      <c r="BN19" s="55">
        <f t="shared" si="12"/>
        <v>0</v>
      </c>
      <c r="BO19" s="55">
        <f t="shared" si="13"/>
        <v>0</v>
      </c>
      <c r="BP19" s="55">
        <f t="shared" si="14"/>
        <v>0</v>
      </c>
      <c r="BQ19" s="55">
        <f t="shared" si="15"/>
        <v>0</v>
      </c>
    </row>
    <row r="20" spans="3:69" x14ac:dyDescent="0.3">
      <c r="C20" s="57">
        <v>224</v>
      </c>
      <c r="D20" s="57" t="s">
        <v>208</v>
      </c>
      <c r="E20" s="57" t="s">
        <v>74</v>
      </c>
      <c r="F20" s="57" t="s">
        <v>107</v>
      </c>
      <c r="G20" s="57"/>
      <c r="H20" s="57">
        <v>2026</v>
      </c>
      <c r="I20" s="57" t="s">
        <v>202</v>
      </c>
      <c r="J20" s="57" t="s">
        <v>39</v>
      </c>
      <c r="K20" s="57" t="s">
        <v>79</v>
      </c>
      <c r="L20" s="57" t="s">
        <v>109</v>
      </c>
      <c r="M20" s="57" t="s">
        <v>109</v>
      </c>
      <c r="N20" s="57" t="s">
        <v>110</v>
      </c>
      <c r="O20" s="57" t="s">
        <v>92</v>
      </c>
      <c r="P20" s="58"/>
      <c r="Q20" s="58" t="s">
        <v>209</v>
      </c>
      <c r="R20" s="58"/>
      <c r="S20" s="57" t="s">
        <v>210</v>
      </c>
      <c r="T20" s="57" t="s">
        <v>175</v>
      </c>
      <c r="U20" s="57"/>
      <c r="V20" s="57" t="s">
        <v>89</v>
      </c>
      <c r="W20" s="57"/>
      <c r="X20" s="51"/>
      <c r="Y20" s="51"/>
      <c r="Z20" s="46"/>
      <c r="AA20" s="46"/>
      <c r="AB20" s="46"/>
      <c r="AC20" s="46"/>
      <c r="AD20" s="46"/>
      <c r="AE20" s="46"/>
      <c r="AF20" s="46">
        <v>46245</v>
      </c>
      <c r="AG20" s="46"/>
      <c r="AH20" s="46" t="s">
        <v>205</v>
      </c>
      <c r="AI20" s="46" t="s">
        <v>211</v>
      </c>
      <c r="AJ20" s="46" t="s">
        <v>212</v>
      </c>
      <c r="AL20" s="46" t="s">
        <v>117</v>
      </c>
      <c r="AM20" s="47"/>
      <c r="AN20" s="48"/>
      <c r="AO20" s="49"/>
      <c r="AP20" s="48"/>
      <c r="AQ20" s="49"/>
      <c r="AR20" s="50" t="s">
        <v>49</v>
      </c>
      <c r="AS20" s="46"/>
      <c r="AT20" s="46"/>
      <c r="AU20" s="51"/>
      <c r="AV20" s="51"/>
      <c r="AW20" s="52"/>
      <c r="AX20" s="46"/>
      <c r="AY20" s="46"/>
      <c r="AZ20" s="53" t="s">
        <v>49</v>
      </c>
      <c r="BA20" s="54" t="str">
        <f>IFERROR(VLOOKUP($AX20,List!B:C,2,FALSE),"N/A")</f>
        <v>N/A</v>
      </c>
      <c r="BB20" s="54" t="str">
        <f t="shared" si="2"/>
        <v>N/A</v>
      </c>
      <c r="BC20" s="54" t="str">
        <f t="shared" si="3"/>
        <v>N/A</v>
      </c>
      <c r="BD20" s="45"/>
      <c r="BE20" s="55">
        <f t="shared" si="4"/>
        <v>0</v>
      </c>
      <c r="BF20" s="55">
        <f t="shared" si="5"/>
        <v>0</v>
      </c>
      <c r="BG20" s="55">
        <f t="shared" si="6"/>
        <v>0</v>
      </c>
      <c r="BH20" s="56">
        <f t="shared" si="7"/>
        <v>0</v>
      </c>
      <c r="BI20" s="56">
        <f t="shared" si="8"/>
        <v>0</v>
      </c>
      <c r="BJ20" s="56">
        <f t="shared" si="9"/>
        <v>0</v>
      </c>
      <c r="BK20" s="45"/>
      <c r="BL20" s="55">
        <f t="shared" si="10"/>
        <v>0</v>
      </c>
      <c r="BM20" s="55">
        <f t="shared" si="11"/>
        <v>0</v>
      </c>
      <c r="BN20" s="55">
        <f t="shared" si="12"/>
        <v>0</v>
      </c>
      <c r="BO20" s="55">
        <f t="shared" si="13"/>
        <v>0</v>
      </c>
      <c r="BP20" s="55">
        <f t="shared" si="14"/>
        <v>0</v>
      </c>
      <c r="BQ20" s="55">
        <f t="shared" si="15"/>
        <v>0</v>
      </c>
    </row>
    <row r="21" spans="3:69" x14ac:dyDescent="0.3">
      <c r="C21" s="57">
        <v>232</v>
      </c>
      <c r="D21" s="57" t="s">
        <v>213</v>
      </c>
      <c r="E21" s="57" t="s">
        <v>74</v>
      </c>
      <c r="F21" s="57" t="s">
        <v>107</v>
      </c>
      <c r="G21" s="57"/>
      <c r="H21" s="57">
        <v>2026</v>
      </c>
      <c r="I21" s="57" t="s">
        <v>202</v>
      </c>
      <c r="J21" s="57" t="s">
        <v>39</v>
      </c>
      <c r="K21" s="57" t="s">
        <v>79</v>
      </c>
      <c r="L21" s="57" t="s">
        <v>109</v>
      </c>
      <c r="M21" s="57" t="s">
        <v>109</v>
      </c>
      <c r="N21" s="57" t="s">
        <v>110</v>
      </c>
      <c r="O21" s="57" t="s">
        <v>92</v>
      </c>
      <c r="P21" s="58"/>
      <c r="Q21" s="58" t="s">
        <v>214</v>
      </c>
      <c r="R21" s="58"/>
      <c r="S21" s="57" t="s">
        <v>215</v>
      </c>
      <c r="T21" s="57" t="s">
        <v>167</v>
      </c>
      <c r="U21" s="57"/>
      <c r="V21" s="57" t="s">
        <v>89</v>
      </c>
      <c r="W21" s="57"/>
      <c r="X21" s="51"/>
      <c r="Y21" s="51"/>
      <c r="Z21" s="46"/>
      <c r="AA21" s="46"/>
      <c r="AB21" s="46"/>
      <c r="AC21" s="46"/>
      <c r="AD21" s="46"/>
      <c r="AE21" s="46"/>
      <c r="AF21" s="46">
        <v>46252</v>
      </c>
      <c r="AG21" s="46"/>
      <c r="AH21" s="46" t="s">
        <v>205</v>
      </c>
      <c r="AI21" s="46" t="s">
        <v>216</v>
      </c>
      <c r="AJ21" s="46" t="s">
        <v>217</v>
      </c>
      <c r="AL21" s="46" t="s">
        <v>117</v>
      </c>
      <c r="AM21" s="47"/>
      <c r="AN21" s="48"/>
      <c r="AO21" s="49"/>
      <c r="AP21" s="48"/>
      <c r="AQ21" s="49"/>
      <c r="AR21" s="50" t="s">
        <v>49</v>
      </c>
      <c r="AS21" s="46"/>
      <c r="AT21" s="46"/>
      <c r="AU21" s="51"/>
      <c r="AV21" s="51"/>
      <c r="AW21" s="52"/>
      <c r="AX21" s="46"/>
      <c r="AY21" s="46"/>
      <c r="AZ21" s="53" t="s">
        <v>49</v>
      </c>
      <c r="BA21" s="54" t="str">
        <f>IFERROR(VLOOKUP($AX21,List!B:C,2,FALSE),"N/A")</f>
        <v>N/A</v>
      </c>
      <c r="BB21" s="54" t="str">
        <f t="shared" si="2"/>
        <v>N/A</v>
      </c>
      <c r="BC21" s="54" t="str">
        <f t="shared" si="3"/>
        <v>N/A</v>
      </c>
      <c r="BD21" s="45"/>
      <c r="BE21" s="55">
        <f t="shared" si="4"/>
        <v>0</v>
      </c>
      <c r="BF21" s="55">
        <f t="shared" si="5"/>
        <v>0</v>
      </c>
      <c r="BG21" s="55">
        <f t="shared" si="6"/>
        <v>0</v>
      </c>
      <c r="BH21" s="56">
        <f t="shared" si="7"/>
        <v>0</v>
      </c>
      <c r="BI21" s="56">
        <f t="shared" si="8"/>
        <v>0</v>
      </c>
      <c r="BJ21" s="56">
        <f t="shared" si="9"/>
        <v>0</v>
      </c>
      <c r="BK21" s="45"/>
      <c r="BL21" s="55">
        <f t="shared" si="10"/>
        <v>0</v>
      </c>
      <c r="BM21" s="55">
        <f t="shared" si="11"/>
        <v>0</v>
      </c>
      <c r="BN21" s="55">
        <f t="shared" si="12"/>
        <v>0</v>
      </c>
      <c r="BO21" s="55">
        <f t="shared" si="13"/>
        <v>0</v>
      </c>
      <c r="BP21" s="55">
        <f t="shared" si="14"/>
        <v>0</v>
      </c>
      <c r="BQ21" s="55">
        <f t="shared" si="15"/>
        <v>0</v>
      </c>
    </row>
    <row r="22" spans="3:69" x14ac:dyDescent="0.3">
      <c r="C22" s="57">
        <v>237</v>
      </c>
      <c r="D22" s="57" t="s">
        <v>218</v>
      </c>
      <c r="E22" s="57" t="s">
        <v>74</v>
      </c>
      <c r="F22" s="57" t="s">
        <v>107</v>
      </c>
      <c r="G22" s="57"/>
      <c r="H22" s="57">
        <v>2026</v>
      </c>
      <c r="I22" s="57" t="s">
        <v>202</v>
      </c>
      <c r="J22" s="57" t="s">
        <v>39</v>
      </c>
      <c r="K22" s="57" t="s">
        <v>79</v>
      </c>
      <c r="L22" s="57" t="s">
        <v>109</v>
      </c>
      <c r="M22" s="57" t="s">
        <v>109</v>
      </c>
      <c r="N22" s="57" t="s">
        <v>110</v>
      </c>
      <c r="O22" s="57" t="s">
        <v>92</v>
      </c>
      <c r="P22" s="58"/>
      <c r="Q22" s="58" t="s">
        <v>219</v>
      </c>
      <c r="R22" s="58"/>
      <c r="S22" s="57" t="s">
        <v>219</v>
      </c>
      <c r="T22" s="57" t="s">
        <v>167</v>
      </c>
      <c r="U22" s="57"/>
      <c r="V22" s="57" t="s">
        <v>89</v>
      </c>
      <c r="W22" s="57"/>
      <c r="X22" s="51"/>
      <c r="Y22" s="51"/>
      <c r="Z22" s="46"/>
      <c r="AA22" s="46"/>
      <c r="AB22" s="46"/>
      <c r="AC22" s="46"/>
      <c r="AD22" s="46"/>
      <c r="AE22" s="46"/>
      <c r="AF22" s="46">
        <v>46259</v>
      </c>
      <c r="AG22" s="46"/>
      <c r="AH22" s="46" t="s">
        <v>205</v>
      </c>
      <c r="AI22" s="46" t="s">
        <v>220</v>
      </c>
      <c r="AJ22" s="46" t="s">
        <v>221</v>
      </c>
      <c r="AL22" s="46" t="s">
        <v>117</v>
      </c>
      <c r="AM22" s="47"/>
      <c r="AN22" s="48"/>
      <c r="AO22" s="49"/>
      <c r="AP22" s="48"/>
      <c r="AQ22" s="49"/>
      <c r="AR22" s="50" t="s">
        <v>49</v>
      </c>
      <c r="AS22" s="46"/>
      <c r="AT22" s="46"/>
      <c r="AU22" s="51"/>
      <c r="AV22" s="51"/>
      <c r="AW22" s="52"/>
      <c r="AX22" s="46"/>
      <c r="AY22" s="46"/>
      <c r="AZ22" s="53" t="s">
        <v>49</v>
      </c>
      <c r="BA22" s="54" t="str">
        <f>IFERROR(VLOOKUP($AX22,List!B:C,2,FALSE),"N/A")</f>
        <v>N/A</v>
      </c>
      <c r="BB22" s="54" t="str">
        <f t="shared" si="2"/>
        <v>N/A</v>
      </c>
      <c r="BC22" s="54" t="str">
        <f t="shared" si="3"/>
        <v>N/A</v>
      </c>
      <c r="BD22" s="45"/>
      <c r="BE22" s="55">
        <f t="shared" si="4"/>
        <v>0</v>
      </c>
      <c r="BF22" s="55">
        <f t="shared" si="5"/>
        <v>0</v>
      </c>
      <c r="BG22" s="55">
        <f t="shared" si="6"/>
        <v>0</v>
      </c>
      <c r="BH22" s="56">
        <f t="shared" si="7"/>
        <v>0</v>
      </c>
      <c r="BI22" s="56">
        <f t="shared" si="8"/>
        <v>0</v>
      </c>
      <c r="BJ22" s="56">
        <f t="shared" si="9"/>
        <v>0</v>
      </c>
      <c r="BK22" s="45"/>
      <c r="BL22" s="55">
        <f t="shared" si="10"/>
        <v>0</v>
      </c>
      <c r="BM22" s="55">
        <f t="shared" si="11"/>
        <v>0</v>
      </c>
      <c r="BN22" s="55">
        <f t="shared" si="12"/>
        <v>0</v>
      </c>
      <c r="BO22" s="55">
        <f t="shared" si="13"/>
        <v>0</v>
      </c>
      <c r="BP22" s="55">
        <f t="shared" si="14"/>
        <v>0</v>
      </c>
      <c r="BQ22" s="55">
        <f t="shared" si="15"/>
        <v>0</v>
      </c>
    </row>
    <row r="23" spans="3:69" x14ac:dyDescent="0.3">
      <c r="C23" s="57">
        <v>256</v>
      </c>
      <c r="D23" s="57" t="s">
        <v>222</v>
      </c>
      <c r="E23" s="57" t="s">
        <v>74</v>
      </c>
      <c r="F23" s="57" t="s">
        <v>107</v>
      </c>
      <c r="G23" s="57"/>
      <c r="H23" s="57">
        <v>2028</v>
      </c>
      <c r="I23" s="57" t="s">
        <v>202</v>
      </c>
      <c r="J23" s="57" t="s">
        <v>203</v>
      </c>
      <c r="K23" s="57" t="s">
        <v>79</v>
      </c>
      <c r="L23" s="57" t="s">
        <v>109</v>
      </c>
      <c r="M23" s="57" t="s">
        <v>109</v>
      </c>
      <c r="N23" s="57" t="s">
        <v>110</v>
      </c>
      <c r="O23" s="57" t="s">
        <v>92</v>
      </c>
      <c r="P23" s="58"/>
      <c r="Q23" s="58" t="s">
        <v>209</v>
      </c>
      <c r="R23" s="58"/>
      <c r="S23" s="57" t="s">
        <v>210</v>
      </c>
      <c r="T23" s="57" t="s">
        <v>175</v>
      </c>
      <c r="U23" s="57"/>
      <c r="V23" s="57" t="s">
        <v>89</v>
      </c>
      <c r="W23" s="57"/>
      <c r="X23" s="51"/>
      <c r="Y23" s="51"/>
      <c r="Z23" s="46"/>
      <c r="AA23" s="46"/>
      <c r="AB23" s="46"/>
      <c r="AC23" s="46"/>
      <c r="AD23" s="46"/>
      <c r="AE23" s="46"/>
      <c r="AF23" s="46">
        <v>46268</v>
      </c>
      <c r="AG23" s="46"/>
      <c r="AH23" s="46" t="s">
        <v>205</v>
      </c>
      <c r="AI23" s="46" t="s">
        <v>223</v>
      </c>
      <c r="AJ23" s="46" t="s">
        <v>224</v>
      </c>
      <c r="AL23" s="46" t="s">
        <v>117</v>
      </c>
      <c r="AM23" s="47"/>
      <c r="AN23" s="48"/>
      <c r="AO23" s="49"/>
      <c r="AP23" s="48"/>
      <c r="AQ23" s="49"/>
      <c r="AR23" s="50" t="s">
        <v>49</v>
      </c>
      <c r="AS23" s="46"/>
      <c r="AT23" s="46"/>
      <c r="AU23" s="51"/>
      <c r="AV23" s="51"/>
      <c r="AW23" s="52"/>
      <c r="AX23" s="46"/>
      <c r="AY23" s="46"/>
      <c r="AZ23" s="53" t="s">
        <v>49</v>
      </c>
      <c r="BA23" s="54" t="str">
        <f>IFERROR(VLOOKUP($AX23,List!B:C,2,FALSE),"N/A")</f>
        <v>N/A</v>
      </c>
      <c r="BB23" s="54" t="str">
        <f t="shared" si="2"/>
        <v>N/A</v>
      </c>
      <c r="BC23" s="54" t="str">
        <f t="shared" si="3"/>
        <v>N/A</v>
      </c>
      <c r="BD23" s="45"/>
      <c r="BE23" s="55">
        <f t="shared" si="4"/>
        <v>0</v>
      </c>
      <c r="BF23" s="55">
        <f t="shared" si="5"/>
        <v>0</v>
      </c>
      <c r="BG23" s="55">
        <f t="shared" si="6"/>
        <v>0</v>
      </c>
      <c r="BH23" s="56">
        <f t="shared" si="7"/>
        <v>0</v>
      </c>
      <c r="BI23" s="56">
        <f t="shared" si="8"/>
        <v>0</v>
      </c>
      <c r="BJ23" s="56">
        <f t="shared" si="9"/>
        <v>0</v>
      </c>
      <c r="BK23" s="45"/>
      <c r="BL23" s="55">
        <f t="shared" si="10"/>
        <v>0</v>
      </c>
      <c r="BM23" s="55">
        <f t="shared" si="11"/>
        <v>0</v>
      </c>
      <c r="BN23" s="55">
        <f t="shared" si="12"/>
        <v>0</v>
      </c>
      <c r="BO23" s="55">
        <f t="shared" si="13"/>
        <v>0</v>
      </c>
      <c r="BP23" s="55">
        <f t="shared" si="14"/>
        <v>0</v>
      </c>
      <c r="BQ23" s="55">
        <f t="shared" si="15"/>
        <v>0</v>
      </c>
    </row>
    <row r="24" spans="3:69" x14ac:dyDescent="0.3">
      <c r="C24" s="57">
        <v>273</v>
      </c>
      <c r="D24" s="57" t="s">
        <v>225</v>
      </c>
      <c r="E24" s="57" t="s">
        <v>74</v>
      </c>
      <c r="F24" s="57" t="s">
        <v>143</v>
      </c>
      <c r="G24" s="57" t="s">
        <v>226</v>
      </c>
      <c r="H24" s="57">
        <v>2029</v>
      </c>
      <c r="I24" s="57" t="s">
        <v>77</v>
      </c>
      <c r="J24" s="57" t="s">
        <v>78</v>
      </c>
      <c r="K24" s="57" t="s">
        <v>79</v>
      </c>
      <c r="L24" s="57" t="s">
        <v>181</v>
      </c>
      <c r="M24" s="57" t="s">
        <v>227</v>
      </c>
      <c r="N24" s="57" t="s">
        <v>82</v>
      </c>
      <c r="O24" s="57" t="s">
        <v>83</v>
      </c>
      <c r="P24" s="58" t="s">
        <v>228</v>
      </c>
      <c r="Q24" s="58" t="s">
        <v>229</v>
      </c>
      <c r="R24" s="58" t="s">
        <v>230</v>
      </c>
      <c r="S24" s="57" t="s">
        <v>231</v>
      </c>
      <c r="T24" s="57" t="s">
        <v>232</v>
      </c>
      <c r="U24" s="57">
        <v>8330</v>
      </c>
      <c r="V24" s="57" t="s">
        <v>89</v>
      </c>
      <c r="W24" s="57">
        <v>39.461941400000001</v>
      </c>
      <c r="X24" s="51">
        <v>-74.640990900000006</v>
      </c>
      <c r="Y24" s="51"/>
      <c r="Z24" s="46">
        <v>255.95</v>
      </c>
      <c r="AA24" s="46"/>
      <c r="AB24" s="46">
        <v>45767</v>
      </c>
      <c r="AC24" s="46">
        <v>45296</v>
      </c>
      <c r="AD24" s="46">
        <v>46156</v>
      </c>
      <c r="AE24" s="46">
        <v>45411</v>
      </c>
      <c r="AF24" s="46"/>
      <c r="AG24" s="46">
        <v>46280</v>
      </c>
      <c r="AH24" s="46"/>
      <c r="AI24" s="46" t="s">
        <v>233</v>
      </c>
      <c r="AJ24" s="46" t="s">
        <v>234</v>
      </c>
      <c r="AL24" s="46" t="s">
        <v>92</v>
      </c>
      <c r="AM24" s="47"/>
      <c r="AN24" s="48"/>
      <c r="AO24" s="49"/>
      <c r="AP24" s="48"/>
      <c r="AQ24" s="49"/>
      <c r="AR24" s="50" t="s">
        <v>49</v>
      </c>
      <c r="AS24" s="46">
        <v>45411</v>
      </c>
      <c r="AT24" s="46">
        <v>46509</v>
      </c>
      <c r="AU24" s="51">
        <v>400000</v>
      </c>
      <c r="AV24" s="51">
        <v>400000</v>
      </c>
      <c r="AW24" s="52">
        <v>0.75</v>
      </c>
      <c r="AX24" s="46" t="s">
        <v>6</v>
      </c>
      <c r="AY24" s="46"/>
      <c r="AZ24" s="53" t="s">
        <v>49</v>
      </c>
      <c r="BA24" s="54">
        <f>IFERROR(VLOOKUP($AX24,List!B:C,2,FALSE),"N/A")</f>
        <v>0.2</v>
      </c>
      <c r="BB24" s="54">
        <f t="shared" si="2"/>
        <v>0.8</v>
      </c>
      <c r="BC24" s="54">
        <f t="shared" si="3"/>
        <v>0</v>
      </c>
      <c r="BD24" s="45"/>
      <c r="BE24" s="55">
        <f t="shared" si="4"/>
        <v>400000</v>
      </c>
      <c r="BF24" s="55">
        <f t="shared" si="5"/>
        <v>200000</v>
      </c>
      <c r="BG24" s="55">
        <f t="shared" si="6"/>
        <v>200000</v>
      </c>
      <c r="BH24" s="56">
        <f t="shared" si="7"/>
        <v>40000</v>
      </c>
      <c r="BI24" s="56">
        <f t="shared" si="8"/>
        <v>160000</v>
      </c>
      <c r="BJ24" s="56">
        <f t="shared" si="9"/>
        <v>0</v>
      </c>
      <c r="BK24" s="45"/>
      <c r="BL24" s="55">
        <f t="shared" si="10"/>
        <v>300000</v>
      </c>
      <c r="BM24" s="55">
        <f t="shared" si="11"/>
        <v>150000</v>
      </c>
      <c r="BN24" s="55">
        <f t="shared" si="12"/>
        <v>150000</v>
      </c>
      <c r="BO24" s="55">
        <f t="shared" si="13"/>
        <v>30000</v>
      </c>
      <c r="BP24" s="55">
        <f t="shared" si="14"/>
        <v>120000</v>
      </c>
      <c r="BQ24" s="55">
        <f t="shared" si="15"/>
        <v>0</v>
      </c>
    </row>
    <row r="25" spans="3:69" x14ac:dyDescent="0.3">
      <c r="C25" s="57">
        <v>304</v>
      </c>
      <c r="D25" s="57" t="s">
        <v>235</v>
      </c>
      <c r="E25" s="57" t="s">
        <v>74</v>
      </c>
      <c r="F25" s="57" t="s">
        <v>143</v>
      </c>
      <c r="G25" s="57" t="s">
        <v>236</v>
      </c>
      <c r="H25" s="57">
        <v>2027</v>
      </c>
      <c r="I25" s="57" t="s">
        <v>77</v>
      </c>
      <c r="J25" s="57" t="s">
        <v>78</v>
      </c>
      <c r="K25" s="57" t="s">
        <v>79</v>
      </c>
      <c r="L25" s="57" t="s">
        <v>97</v>
      </c>
      <c r="M25" s="57" t="s">
        <v>98</v>
      </c>
      <c r="N25" s="57" t="s">
        <v>82</v>
      </c>
      <c r="O25" s="57" t="s">
        <v>83</v>
      </c>
      <c r="P25" s="58" t="s">
        <v>237</v>
      </c>
      <c r="Q25" s="58"/>
      <c r="R25" s="58" t="s">
        <v>238</v>
      </c>
      <c r="S25" s="57" t="s">
        <v>239</v>
      </c>
      <c r="T25" s="57" t="s">
        <v>240</v>
      </c>
      <c r="U25" s="57">
        <v>22572</v>
      </c>
      <c r="V25" s="57" t="s">
        <v>89</v>
      </c>
      <c r="W25" s="57">
        <v>37.965570999999997</v>
      </c>
      <c r="X25" s="51">
        <v>-76.752115000000003</v>
      </c>
      <c r="Y25" s="51">
        <v>110000</v>
      </c>
      <c r="Z25" s="46">
        <v>0</v>
      </c>
      <c r="AA25" s="46">
        <v>45660</v>
      </c>
      <c r="AB25" s="46">
        <v>46010</v>
      </c>
      <c r="AC25" s="46">
        <v>46023</v>
      </c>
      <c r="AD25" s="46"/>
      <c r="AE25" s="46">
        <v>46135</v>
      </c>
      <c r="AF25" s="46"/>
      <c r="AG25" s="46">
        <v>46297</v>
      </c>
      <c r="AH25" s="46"/>
      <c r="AI25" s="46" t="s">
        <v>241</v>
      </c>
      <c r="AJ25" s="46" t="s">
        <v>242</v>
      </c>
      <c r="AL25" s="46" t="s">
        <v>92</v>
      </c>
      <c r="AM25" s="47"/>
      <c r="AN25" s="48"/>
      <c r="AO25" s="49"/>
      <c r="AP25" s="48"/>
      <c r="AQ25" s="49"/>
      <c r="AR25" s="50" t="s">
        <v>49</v>
      </c>
      <c r="AS25" s="46">
        <v>45700</v>
      </c>
      <c r="AT25" s="46">
        <v>46249</v>
      </c>
      <c r="AU25" s="51">
        <v>400000</v>
      </c>
      <c r="AV25" s="51">
        <v>460000</v>
      </c>
      <c r="AW25" s="52">
        <v>0.25</v>
      </c>
      <c r="AX25" s="46" t="s">
        <v>4</v>
      </c>
      <c r="AY25" s="46"/>
      <c r="AZ25" s="53" t="s">
        <v>49</v>
      </c>
      <c r="BA25" s="54">
        <f>IFERROR(VLOOKUP($AX25,List!B:C,2,FALSE),"N/A")</f>
        <v>0.6</v>
      </c>
      <c r="BB25" s="54">
        <f t="shared" si="2"/>
        <v>0</v>
      </c>
      <c r="BC25" s="54">
        <f t="shared" si="3"/>
        <v>0.4</v>
      </c>
      <c r="BD25" s="45"/>
      <c r="BE25" s="55">
        <f t="shared" si="4"/>
        <v>460000</v>
      </c>
      <c r="BF25" s="55">
        <f t="shared" si="5"/>
        <v>230000</v>
      </c>
      <c r="BG25" s="55">
        <f t="shared" si="6"/>
        <v>230000</v>
      </c>
      <c r="BH25" s="56">
        <f t="shared" si="7"/>
        <v>138000</v>
      </c>
      <c r="BI25" s="56">
        <f t="shared" si="8"/>
        <v>0</v>
      </c>
      <c r="BJ25" s="56">
        <f t="shared" si="9"/>
        <v>92000</v>
      </c>
      <c r="BK25" s="45"/>
      <c r="BL25" s="55">
        <f t="shared" si="10"/>
        <v>115000</v>
      </c>
      <c r="BM25" s="55">
        <f t="shared" si="11"/>
        <v>57500</v>
      </c>
      <c r="BN25" s="55">
        <f t="shared" si="12"/>
        <v>57500</v>
      </c>
      <c r="BO25" s="55">
        <f t="shared" si="13"/>
        <v>34500</v>
      </c>
      <c r="BP25" s="55">
        <f t="shared" si="14"/>
        <v>0</v>
      </c>
      <c r="BQ25" s="55">
        <f t="shared" si="15"/>
        <v>23000</v>
      </c>
    </row>
    <row r="26" spans="3:69" x14ac:dyDescent="0.3">
      <c r="C26" s="57">
        <v>321</v>
      </c>
      <c r="D26" s="57" t="s">
        <v>243</v>
      </c>
      <c r="E26" s="57" t="s">
        <v>74</v>
      </c>
      <c r="F26" s="57" t="s">
        <v>143</v>
      </c>
      <c r="G26" s="57" t="s">
        <v>244</v>
      </c>
      <c r="H26" s="57">
        <v>2028</v>
      </c>
      <c r="I26" s="57" t="s">
        <v>77</v>
      </c>
      <c r="J26" s="57" t="s">
        <v>245</v>
      </c>
      <c r="K26" s="57" t="s">
        <v>79</v>
      </c>
      <c r="L26" s="57" t="s">
        <v>181</v>
      </c>
      <c r="M26" s="57" t="s">
        <v>246</v>
      </c>
      <c r="N26" s="57" t="s">
        <v>82</v>
      </c>
      <c r="O26" s="57" t="s">
        <v>83</v>
      </c>
      <c r="P26" s="58" t="s">
        <v>247</v>
      </c>
      <c r="Q26" s="58" t="s">
        <v>248</v>
      </c>
      <c r="R26" s="58" t="s">
        <v>249</v>
      </c>
      <c r="S26" s="57" t="s">
        <v>250</v>
      </c>
      <c r="T26" s="57" t="s">
        <v>130</v>
      </c>
      <c r="U26" s="57">
        <v>43162</v>
      </c>
      <c r="V26" s="57" t="s">
        <v>89</v>
      </c>
      <c r="W26" s="57">
        <v>39.939331000000003</v>
      </c>
      <c r="X26" s="51">
        <v>-83.317411000000007</v>
      </c>
      <c r="Y26" s="51">
        <v>933656</v>
      </c>
      <c r="Z26" s="46">
        <v>108.55</v>
      </c>
      <c r="AA26" s="46"/>
      <c r="AB26" s="46">
        <v>45770</v>
      </c>
      <c r="AC26" s="46">
        <v>45775</v>
      </c>
      <c r="AD26" s="46"/>
      <c r="AE26" s="46"/>
      <c r="AF26" s="46"/>
      <c r="AG26" s="46">
        <v>46325</v>
      </c>
      <c r="AH26" s="46"/>
      <c r="AI26" s="46" t="s">
        <v>251</v>
      </c>
      <c r="AJ26" s="46" t="s">
        <v>252</v>
      </c>
      <c r="AL26" s="46" t="s">
        <v>92</v>
      </c>
      <c r="AM26" s="47"/>
      <c r="AN26" s="48"/>
      <c r="AO26" s="49"/>
      <c r="AP26" s="48"/>
      <c r="AQ26" s="49"/>
      <c r="AR26" s="50" t="s">
        <v>49</v>
      </c>
      <c r="AS26" s="46">
        <v>45900</v>
      </c>
      <c r="AT26" s="46">
        <v>46882</v>
      </c>
      <c r="AU26" s="51">
        <v>400000</v>
      </c>
      <c r="AV26" s="51">
        <v>490000</v>
      </c>
      <c r="AW26" s="52">
        <v>0</v>
      </c>
      <c r="AX26" s="46" t="s">
        <v>6</v>
      </c>
      <c r="AY26" s="46"/>
      <c r="AZ26" s="53" t="s">
        <v>49</v>
      </c>
      <c r="BA26" s="54">
        <f>IFERROR(VLOOKUP($AX26,List!B:C,2,FALSE),"N/A")</f>
        <v>0.2</v>
      </c>
      <c r="BB26" s="54">
        <f t="shared" si="2"/>
        <v>0.8</v>
      </c>
      <c r="BC26" s="54">
        <f t="shared" si="3"/>
        <v>0</v>
      </c>
      <c r="BD26" s="45"/>
      <c r="BE26" s="55">
        <f t="shared" si="4"/>
        <v>490000</v>
      </c>
      <c r="BF26" s="55">
        <f t="shared" si="5"/>
        <v>245000</v>
      </c>
      <c r="BG26" s="55">
        <f t="shared" si="6"/>
        <v>245000</v>
      </c>
      <c r="BH26" s="56">
        <f t="shared" si="7"/>
        <v>49000</v>
      </c>
      <c r="BI26" s="56">
        <f t="shared" si="8"/>
        <v>196000</v>
      </c>
      <c r="BJ26" s="56">
        <f t="shared" si="9"/>
        <v>0</v>
      </c>
      <c r="BK26" s="45"/>
      <c r="BL26" s="55">
        <f t="shared" si="10"/>
        <v>0</v>
      </c>
      <c r="BM26" s="55">
        <f t="shared" si="11"/>
        <v>0</v>
      </c>
      <c r="BN26" s="55">
        <f t="shared" si="12"/>
        <v>0</v>
      </c>
      <c r="BO26" s="55">
        <f t="shared" si="13"/>
        <v>0</v>
      </c>
      <c r="BP26" s="55">
        <f t="shared" si="14"/>
        <v>0</v>
      </c>
      <c r="BQ26" s="55">
        <f t="shared" si="15"/>
        <v>0</v>
      </c>
    </row>
    <row r="27" spans="3:69" x14ac:dyDescent="0.3">
      <c r="C27" s="57">
        <v>347</v>
      </c>
      <c r="D27" s="57" t="s">
        <v>253</v>
      </c>
      <c r="E27" s="57" t="s">
        <v>74</v>
      </c>
      <c r="F27" s="57" t="s">
        <v>143</v>
      </c>
      <c r="G27" s="57"/>
      <c r="H27" s="57">
        <v>2028</v>
      </c>
      <c r="I27" s="57" t="s">
        <v>202</v>
      </c>
      <c r="J27" s="57" t="s">
        <v>39</v>
      </c>
      <c r="K27" s="57" t="s">
        <v>79</v>
      </c>
      <c r="L27" s="57" t="s">
        <v>181</v>
      </c>
      <c r="M27" s="57" t="s">
        <v>246</v>
      </c>
      <c r="N27" s="57" t="s">
        <v>82</v>
      </c>
      <c r="O27" s="57" t="s">
        <v>83</v>
      </c>
      <c r="P27" s="58"/>
      <c r="Q27" s="58"/>
      <c r="R27" s="58"/>
      <c r="S27" s="57" t="s">
        <v>254</v>
      </c>
      <c r="T27" s="57"/>
      <c r="U27" s="57"/>
      <c r="V27" s="57" t="s">
        <v>89</v>
      </c>
      <c r="W27" s="57"/>
      <c r="X27" s="51"/>
      <c r="Y27" s="51"/>
      <c r="Z27" s="46"/>
      <c r="AA27" s="46"/>
      <c r="AB27" s="46"/>
      <c r="AC27" s="46"/>
      <c r="AD27" s="46"/>
      <c r="AE27" s="46"/>
      <c r="AF27" s="46"/>
      <c r="AG27" s="46">
        <v>46365</v>
      </c>
      <c r="AH27" s="46" t="s">
        <v>205</v>
      </c>
      <c r="AI27" s="46" t="s">
        <v>255</v>
      </c>
      <c r="AJ27" s="46" t="s">
        <v>256</v>
      </c>
      <c r="AL27" s="46" t="s">
        <v>117</v>
      </c>
      <c r="AM27" s="47"/>
      <c r="AN27" s="48"/>
      <c r="AO27" s="49"/>
      <c r="AP27" s="48"/>
      <c r="AQ27" s="49"/>
      <c r="AR27" s="50" t="s">
        <v>49</v>
      </c>
      <c r="AS27" s="46"/>
      <c r="AT27" s="46"/>
      <c r="AU27" s="51"/>
      <c r="AV27" s="51"/>
      <c r="AW27" s="52"/>
      <c r="AX27" s="46"/>
      <c r="AY27" s="46"/>
      <c r="AZ27" s="53" t="s">
        <v>49</v>
      </c>
      <c r="BA27" s="54" t="str">
        <f>IFERROR(VLOOKUP($AX27,List!B:C,2,FALSE),"N/A")</f>
        <v>N/A</v>
      </c>
      <c r="BB27" s="54" t="str">
        <f t="shared" si="2"/>
        <v>N/A</v>
      </c>
      <c r="BC27" s="54" t="str">
        <f t="shared" si="3"/>
        <v>N/A</v>
      </c>
      <c r="BD27" s="45"/>
      <c r="BE27" s="55">
        <f t="shared" si="4"/>
        <v>0</v>
      </c>
      <c r="BF27" s="55">
        <f t="shared" si="5"/>
        <v>0</v>
      </c>
      <c r="BG27" s="55">
        <f t="shared" si="6"/>
        <v>0</v>
      </c>
      <c r="BH27" s="56">
        <f t="shared" si="7"/>
        <v>0</v>
      </c>
      <c r="BI27" s="56">
        <f t="shared" si="8"/>
        <v>0</v>
      </c>
      <c r="BJ27" s="56">
        <f t="shared" si="9"/>
        <v>0</v>
      </c>
      <c r="BK27" s="45"/>
      <c r="BL27" s="55">
        <f t="shared" si="10"/>
        <v>0</v>
      </c>
      <c r="BM27" s="55">
        <f t="shared" si="11"/>
        <v>0</v>
      </c>
      <c r="BN27" s="55">
        <f t="shared" si="12"/>
        <v>0</v>
      </c>
      <c r="BO27" s="55">
        <f t="shared" si="13"/>
        <v>0</v>
      </c>
      <c r="BP27" s="55">
        <f t="shared" si="14"/>
        <v>0</v>
      </c>
      <c r="BQ27" s="55">
        <f t="shared" si="15"/>
        <v>0</v>
      </c>
    </row>
    <row r="28" spans="3:69" x14ac:dyDescent="0.3">
      <c r="C28" s="57">
        <v>350</v>
      </c>
      <c r="D28" s="57" t="s">
        <v>257</v>
      </c>
      <c r="E28" s="57" t="s">
        <v>74</v>
      </c>
      <c r="F28" s="57" t="s">
        <v>192</v>
      </c>
      <c r="G28" s="57"/>
      <c r="H28" s="57">
        <v>2028</v>
      </c>
      <c r="I28" s="57" t="s">
        <v>202</v>
      </c>
      <c r="J28" s="57" t="s">
        <v>39</v>
      </c>
      <c r="K28" s="57" t="s">
        <v>79</v>
      </c>
      <c r="L28" s="57" t="s">
        <v>97</v>
      </c>
      <c r="M28" s="57" t="s">
        <v>194</v>
      </c>
      <c r="N28" s="57" t="s">
        <v>110</v>
      </c>
      <c r="O28" s="57" t="s">
        <v>92</v>
      </c>
      <c r="P28" s="58"/>
      <c r="Q28" s="58" t="s">
        <v>129</v>
      </c>
      <c r="R28" s="58"/>
      <c r="S28" s="57" t="s">
        <v>129</v>
      </c>
      <c r="T28" s="57" t="s">
        <v>130</v>
      </c>
      <c r="U28" s="57">
        <v>44124</v>
      </c>
      <c r="V28" s="57" t="s">
        <v>89</v>
      </c>
      <c r="W28" s="57"/>
      <c r="X28" s="51"/>
      <c r="Y28" s="51"/>
      <c r="Z28" s="46"/>
      <c r="AA28" s="46"/>
      <c r="AB28" s="46"/>
      <c r="AC28" s="46"/>
      <c r="AD28" s="46"/>
      <c r="AE28" s="46"/>
      <c r="AF28" s="46">
        <v>46368</v>
      </c>
      <c r="AG28" s="46"/>
      <c r="AH28" s="46" t="s">
        <v>205</v>
      </c>
      <c r="AI28" s="46" t="s">
        <v>258</v>
      </c>
      <c r="AJ28" s="46" t="s">
        <v>259</v>
      </c>
      <c r="AL28" s="46" t="s">
        <v>117</v>
      </c>
      <c r="AM28" s="47"/>
      <c r="AN28" s="48"/>
      <c r="AO28" s="49"/>
      <c r="AP28" s="48"/>
      <c r="AQ28" s="49"/>
      <c r="AR28" s="50" t="s">
        <v>49</v>
      </c>
      <c r="AS28" s="46"/>
      <c r="AT28" s="46"/>
      <c r="AU28" s="51"/>
      <c r="AV28" s="51"/>
      <c r="AW28" s="52"/>
      <c r="AX28" s="46"/>
      <c r="AY28" s="46"/>
      <c r="AZ28" s="53" t="s">
        <v>49</v>
      </c>
      <c r="BA28" s="54" t="str">
        <f>IFERROR(VLOOKUP($AX28,List!B:C,2,FALSE),"N/A")</f>
        <v>N/A</v>
      </c>
      <c r="BB28" s="54" t="str">
        <f t="shared" si="2"/>
        <v>N/A</v>
      </c>
      <c r="BC28" s="54" t="str">
        <f t="shared" si="3"/>
        <v>N/A</v>
      </c>
      <c r="BD28" s="45"/>
      <c r="BE28" s="55">
        <f t="shared" si="4"/>
        <v>0</v>
      </c>
      <c r="BF28" s="55">
        <f t="shared" si="5"/>
        <v>0</v>
      </c>
      <c r="BG28" s="55">
        <f t="shared" si="6"/>
        <v>0</v>
      </c>
      <c r="BH28" s="56">
        <f t="shared" si="7"/>
        <v>0</v>
      </c>
      <c r="BI28" s="56">
        <f t="shared" si="8"/>
        <v>0</v>
      </c>
      <c r="BJ28" s="56">
        <f t="shared" si="9"/>
        <v>0</v>
      </c>
      <c r="BK28" s="45"/>
      <c r="BL28" s="55">
        <f t="shared" si="10"/>
        <v>0</v>
      </c>
      <c r="BM28" s="55">
        <f t="shared" si="11"/>
        <v>0</v>
      </c>
      <c r="BN28" s="55">
        <f t="shared" si="12"/>
        <v>0</v>
      </c>
      <c r="BO28" s="55">
        <f t="shared" si="13"/>
        <v>0</v>
      </c>
      <c r="BP28" s="55">
        <f t="shared" si="14"/>
        <v>0</v>
      </c>
      <c r="BQ28" s="55">
        <f t="shared" si="15"/>
        <v>0</v>
      </c>
    </row>
    <row r="29" spans="3:69" x14ac:dyDescent="0.3">
      <c r="C29" s="57">
        <v>383</v>
      </c>
      <c r="D29" s="57" t="s">
        <v>260</v>
      </c>
      <c r="E29" s="57" t="s">
        <v>74</v>
      </c>
      <c r="F29" s="57" t="s">
        <v>75</v>
      </c>
      <c r="G29" s="57"/>
      <c r="H29" s="57">
        <v>2028</v>
      </c>
      <c r="I29" s="57" t="s">
        <v>202</v>
      </c>
      <c r="J29" s="57" t="s">
        <v>39</v>
      </c>
      <c r="K29" s="57" t="s">
        <v>79</v>
      </c>
      <c r="L29" s="57" t="s">
        <v>181</v>
      </c>
      <c r="M29" s="57" t="s">
        <v>261</v>
      </c>
      <c r="N29" s="57" t="s">
        <v>82</v>
      </c>
      <c r="O29" s="57" t="s">
        <v>83</v>
      </c>
      <c r="P29" s="58"/>
      <c r="Q29" s="58"/>
      <c r="R29" s="58"/>
      <c r="S29" s="57" t="s">
        <v>262</v>
      </c>
      <c r="T29" s="57"/>
      <c r="U29" s="57"/>
      <c r="V29" s="57" t="s">
        <v>89</v>
      </c>
      <c r="W29" s="57"/>
      <c r="X29" s="51"/>
      <c r="Y29" s="51"/>
      <c r="Z29" s="46"/>
      <c r="AA29" s="46"/>
      <c r="AB29" s="46"/>
      <c r="AC29" s="46"/>
      <c r="AD29" s="46"/>
      <c r="AE29" s="46"/>
      <c r="AF29" s="46"/>
      <c r="AG29" s="46">
        <v>46386</v>
      </c>
      <c r="AH29" s="46" t="s">
        <v>205</v>
      </c>
      <c r="AI29" s="46" t="s">
        <v>263</v>
      </c>
      <c r="AJ29" s="46" t="s">
        <v>264</v>
      </c>
      <c r="AL29" s="46" t="s">
        <v>117</v>
      </c>
      <c r="AM29" s="47"/>
      <c r="AN29" s="48"/>
      <c r="AO29" s="49"/>
      <c r="AP29" s="48"/>
      <c r="AQ29" s="49"/>
      <c r="AR29" s="50" t="s">
        <v>49</v>
      </c>
      <c r="AS29" s="46"/>
      <c r="AT29" s="46"/>
      <c r="AU29" s="51"/>
      <c r="AV29" s="51"/>
      <c r="AW29" s="52"/>
      <c r="AX29" s="46"/>
      <c r="AY29" s="46"/>
      <c r="AZ29" s="53" t="s">
        <v>49</v>
      </c>
      <c r="BA29" s="54" t="str">
        <f>IFERROR(VLOOKUP($AX29,List!B:C,2,FALSE),"N/A")</f>
        <v>N/A</v>
      </c>
      <c r="BB29" s="54" t="str">
        <f t="shared" si="2"/>
        <v>N/A</v>
      </c>
      <c r="BC29" s="54" t="str">
        <f t="shared" si="3"/>
        <v>N/A</v>
      </c>
      <c r="BD29" s="45"/>
      <c r="BE29" s="55">
        <f t="shared" si="4"/>
        <v>0</v>
      </c>
      <c r="BF29" s="55">
        <f t="shared" si="5"/>
        <v>0</v>
      </c>
      <c r="BG29" s="55">
        <f t="shared" si="6"/>
        <v>0</v>
      </c>
      <c r="BH29" s="56">
        <f t="shared" si="7"/>
        <v>0</v>
      </c>
      <c r="BI29" s="56">
        <f t="shared" si="8"/>
        <v>0</v>
      </c>
      <c r="BJ29" s="56">
        <f t="shared" si="9"/>
        <v>0</v>
      </c>
      <c r="BK29" s="45"/>
      <c r="BL29" s="55">
        <f t="shared" si="10"/>
        <v>0</v>
      </c>
      <c r="BM29" s="55">
        <f t="shared" si="11"/>
        <v>0</v>
      </c>
      <c r="BN29" s="55">
        <f t="shared" si="12"/>
        <v>0</v>
      </c>
      <c r="BO29" s="55">
        <f t="shared" si="13"/>
        <v>0</v>
      </c>
      <c r="BP29" s="55">
        <f t="shared" si="14"/>
        <v>0</v>
      </c>
      <c r="BQ29" s="55">
        <f t="shared" si="15"/>
        <v>0</v>
      </c>
    </row>
    <row r="30" spans="3:69" x14ac:dyDescent="0.3">
      <c r="C30" s="57">
        <v>389</v>
      </c>
      <c r="D30" s="57" t="s">
        <v>265</v>
      </c>
      <c r="E30" s="57" t="s">
        <v>74</v>
      </c>
      <c r="F30" s="57" t="s">
        <v>201</v>
      </c>
      <c r="G30" s="57" t="s">
        <v>266</v>
      </c>
      <c r="H30" s="57">
        <v>2028</v>
      </c>
      <c r="I30" s="57" t="s">
        <v>77</v>
      </c>
      <c r="J30" s="57" t="s">
        <v>40</v>
      </c>
      <c r="K30" s="57" t="s">
        <v>79</v>
      </c>
      <c r="L30" s="57" t="s">
        <v>145</v>
      </c>
      <c r="M30" s="57" t="s">
        <v>146</v>
      </c>
      <c r="N30" s="57" t="s">
        <v>82</v>
      </c>
      <c r="O30" s="57" t="s">
        <v>83</v>
      </c>
      <c r="P30" s="58" t="s">
        <v>267</v>
      </c>
      <c r="Q30" s="58" t="s">
        <v>85</v>
      </c>
      <c r="R30" s="58" t="s">
        <v>268</v>
      </c>
      <c r="S30" s="57" t="s">
        <v>269</v>
      </c>
      <c r="T30" s="57" t="s">
        <v>130</v>
      </c>
      <c r="U30" s="57">
        <v>45005</v>
      </c>
      <c r="V30" s="57" t="s">
        <v>89</v>
      </c>
      <c r="W30" s="57">
        <v>39.570953000000003</v>
      </c>
      <c r="X30" s="51">
        <v>-84.273419000000004</v>
      </c>
      <c r="Y30" s="51">
        <v>216018</v>
      </c>
      <c r="Z30" s="46">
        <v>140</v>
      </c>
      <c r="AA30" s="46">
        <v>45876</v>
      </c>
      <c r="AB30" s="46">
        <v>46063</v>
      </c>
      <c r="AC30" s="46"/>
      <c r="AD30" s="46"/>
      <c r="AE30" s="46"/>
      <c r="AF30" s="46"/>
      <c r="AG30" s="46">
        <v>46408</v>
      </c>
      <c r="AH30" s="46"/>
      <c r="AI30" s="46" t="s">
        <v>270</v>
      </c>
      <c r="AJ30" s="46" t="s">
        <v>271</v>
      </c>
      <c r="AL30" s="46" t="s">
        <v>92</v>
      </c>
      <c r="AM30" s="47"/>
      <c r="AN30" s="48"/>
      <c r="AO30" s="49"/>
      <c r="AP30" s="48"/>
      <c r="AQ30" s="49"/>
      <c r="AR30" s="50" t="s">
        <v>49</v>
      </c>
      <c r="AS30" s="46"/>
      <c r="AT30" s="46"/>
      <c r="AU30" s="51"/>
      <c r="AV30" s="51"/>
      <c r="AW30" s="52"/>
      <c r="AX30" s="46"/>
      <c r="AY30" s="46"/>
      <c r="AZ30" s="53" t="s">
        <v>49</v>
      </c>
      <c r="BA30" s="54" t="str">
        <f>IFERROR(VLOOKUP($AX30,List!B:C,2,FALSE),"N/A")</f>
        <v>N/A</v>
      </c>
      <c r="BB30" s="54" t="str">
        <f t="shared" si="2"/>
        <v>N/A</v>
      </c>
      <c r="BC30" s="54" t="str">
        <f t="shared" si="3"/>
        <v>N/A</v>
      </c>
      <c r="BD30" s="45"/>
      <c r="BE30" s="55">
        <f t="shared" si="4"/>
        <v>0</v>
      </c>
      <c r="BF30" s="55">
        <f t="shared" si="5"/>
        <v>0</v>
      </c>
      <c r="BG30" s="55">
        <f t="shared" si="6"/>
        <v>0</v>
      </c>
      <c r="BH30" s="56">
        <f t="shared" si="7"/>
        <v>0</v>
      </c>
      <c r="BI30" s="56">
        <f t="shared" si="8"/>
        <v>0</v>
      </c>
      <c r="BJ30" s="56">
        <f t="shared" si="9"/>
        <v>0</v>
      </c>
      <c r="BK30" s="45"/>
      <c r="BL30" s="55">
        <f t="shared" si="10"/>
        <v>0</v>
      </c>
      <c r="BM30" s="55">
        <f t="shared" si="11"/>
        <v>0</v>
      </c>
      <c r="BN30" s="55">
        <f t="shared" si="12"/>
        <v>0</v>
      </c>
      <c r="BO30" s="55">
        <f t="shared" si="13"/>
        <v>0</v>
      </c>
      <c r="BP30" s="55">
        <f t="shared" si="14"/>
        <v>0</v>
      </c>
      <c r="BQ30" s="55">
        <f t="shared" si="15"/>
        <v>0</v>
      </c>
    </row>
    <row r="31" spans="3:69" x14ac:dyDescent="0.3">
      <c r="C31" s="57">
        <v>390</v>
      </c>
      <c r="D31" s="57" t="s">
        <v>272</v>
      </c>
      <c r="E31" s="57" t="s">
        <v>74</v>
      </c>
      <c r="F31" s="57" t="s">
        <v>201</v>
      </c>
      <c r="G31" s="57" t="s">
        <v>273</v>
      </c>
      <c r="H31" s="57">
        <v>2028</v>
      </c>
      <c r="I31" s="57" t="s">
        <v>77</v>
      </c>
      <c r="J31" s="57" t="s">
        <v>40</v>
      </c>
      <c r="K31" s="57" t="s">
        <v>79</v>
      </c>
      <c r="L31" s="57" t="s">
        <v>145</v>
      </c>
      <c r="M31" s="57" t="s">
        <v>146</v>
      </c>
      <c r="N31" s="57" t="s">
        <v>82</v>
      </c>
      <c r="O31" s="57" t="s">
        <v>83</v>
      </c>
      <c r="P31" s="58" t="s">
        <v>274</v>
      </c>
      <c r="Q31" s="58" t="s">
        <v>85</v>
      </c>
      <c r="R31" s="58" t="s">
        <v>275</v>
      </c>
      <c r="S31" s="57" t="s">
        <v>276</v>
      </c>
      <c r="T31" s="57" t="s">
        <v>130</v>
      </c>
      <c r="U31" s="57">
        <v>45103</v>
      </c>
      <c r="V31" s="57" t="s">
        <v>89</v>
      </c>
      <c r="W31" s="57">
        <v>39.072139</v>
      </c>
      <c r="X31" s="51">
        <v>-84.086682999999994</v>
      </c>
      <c r="Y31" s="51"/>
      <c r="Z31" s="46">
        <v>160</v>
      </c>
      <c r="AA31" s="46"/>
      <c r="AB31" s="46">
        <v>46113</v>
      </c>
      <c r="AC31" s="46"/>
      <c r="AD31" s="46"/>
      <c r="AE31" s="46"/>
      <c r="AF31" s="46"/>
      <c r="AG31" s="46">
        <v>46408</v>
      </c>
      <c r="AH31" s="46"/>
      <c r="AI31" s="46" t="s">
        <v>277</v>
      </c>
      <c r="AJ31" s="46" t="s">
        <v>278</v>
      </c>
      <c r="AL31" s="46" t="s">
        <v>92</v>
      </c>
      <c r="AM31" s="47"/>
      <c r="AN31" s="48"/>
      <c r="AO31" s="49"/>
      <c r="AP31" s="48"/>
      <c r="AQ31" s="49"/>
      <c r="AR31" s="50" t="s">
        <v>49</v>
      </c>
      <c r="AS31" s="46"/>
      <c r="AT31" s="46"/>
      <c r="AU31" s="51"/>
      <c r="AV31" s="51"/>
      <c r="AW31" s="52"/>
      <c r="AX31" s="46"/>
      <c r="AY31" s="46"/>
      <c r="AZ31" s="53" t="s">
        <v>49</v>
      </c>
      <c r="BA31" s="54" t="str">
        <f>IFERROR(VLOOKUP($AX31,List!B:C,2,FALSE),"N/A")</f>
        <v>N/A</v>
      </c>
      <c r="BB31" s="54" t="str">
        <f t="shared" si="2"/>
        <v>N/A</v>
      </c>
      <c r="BC31" s="54" t="str">
        <f t="shared" si="3"/>
        <v>N/A</v>
      </c>
      <c r="BD31" s="45"/>
      <c r="BE31" s="55">
        <f t="shared" si="4"/>
        <v>0</v>
      </c>
      <c r="BF31" s="55">
        <f t="shared" si="5"/>
        <v>0</v>
      </c>
      <c r="BG31" s="55">
        <f t="shared" si="6"/>
        <v>0</v>
      </c>
      <c r="BH31" s="56">
        <f t="shared" si="7"/>
        <v>0</v>
      </c>
      <c r="BI31" s="56">
        <f t="shared" si="8"/>
        <v>0</v>
      </c>
      <c r="BJ31" s="56">
        <f t="shared" si="9"/>
        <v>0</v>
      </c>
      <c r="BK31" s="45"/>
      <c r="BL31" s="55">
        <f t="shared" si="10"/>
        <v>0</v>
      </c>
      <c r="BM31" s="55">
        <f t="shared" si="11"/>
        <v>0</v>
      </c>
      <c r="BN31" s="55">
        <f t="shared" si="12"/>
        <v>0</v>
      </c>
      <c r="BO31" s="55">
        <f t="shared" si="13"/>
        <v>0</v>
      </c>
      <c r="BP31" s="55">
        <f t="shared" si="14"/>
        <v>0</v>
      </c>
      <c r="BQ31" s="55">
        <f t="shared" si="15"/>
        <v>0</v>
      </c>
    </row>
    <row r="32" spans="3:69" x14ac:dyDescent="0.3">
      <c r="C32" s="57">
        <v>410</v>
      </c>
      <c r="D32" s="57" t="s">
        <v>279</v>
      </c>
      <c r="E32" s="57" t="s">
        <v>74</v>
      </c>
      <c r="F32" s="57" t="s">
        <v>94</v>
      </c>
      <c r="G32" s="57"/>
      <c r="H32" s="57">
        <v>2028</v>
      </c>
      <c r="I32" s="57" t="s">
        <v>202</v>
      </c>
      <c r="J32" s="57" t="s">
        <v>203</v>
      </c>
      <c r="K32" s="57" t="s">
        <v>79</v>
      </c>
      <c r="L32" s="57" t="s">
        <v>97</v>
      </c>
      <c r="M32" s="57" t="s">
        <v>98</v>
      </c>
      <c r="N32" s="57" t="s">
        <v>82</v>
      </c>
      <c r="O32" s="57" t="s">
        <v>83</v>
      </c>
      <c r="P32" s="58"/>
      <c r="Q32" s="58" t="s">
        <v>100</v>
      </c>
      <c r="R32" s="58"/>
      <c r="S32" s="57" t="s">
        <v>280</v>
      </c>
      <c r="T32" s="57" t="s">
        <v>103</v>
      </c>
      <c r="U32" s="57"/>
      <c r="V32" s="57" t="s">
        <v>89</v>
      </c>
      <c r="W32" s="57"/>
      <c r="X32" s="51"/>
      <c r="Y32" s="51"/>
      <c r="Z32" s="46"/>
      <c r="AA32" s="46"/>
      <c r="AB32" s="46"/>
      <c r="AC32" s="46"/>
      <c r="AD32" s="46"/>
      <c r="AE32" s="46"/>
      <c r="AF32" s="46"/>
      <c r="AG32" s="46">
        <v>46444</v>
      </c>
      <c r="AH32" s="46" t="s">
        <v>205</v>
      </c>
      <c r="AI32" s="46" t="s">
        <v>281</v>
      </c>
      <c r="AJ32" s="46" t="s">
        <v>282</v>
      </c>
      <c r="AL32" s="46" t="s">
        <v>117</v>
      </c>
      <c r="AM32" s="47"/>
      <c r="AN32" s="48"/>
      <c r="AO32" s="49"/>
      <c r="AP32" s="48"/>
      <c r="AQ32" s="49"/>
      <c r="AR32" s="50" t="s">
        <v>49</v>
      </c>
      <c r="AS32" s="46"/>
      <c r="AT32" s="46"/>
      <c r="AU32" s="51"/>
      <c r="AV32" s="51"/>
      <c r="AW32" s="52"/>
      <c r="AX32" s="46"/>
      <c r="AY32" s="46"/>
      <c r="AZ32" s="53" t="s">
        <v>49</v>
      </c>
      <c r="BA32" s="54" t="str">
        <f>IFERROR(VLOOKUP($AX32,List!B:C,2,FALSE),"N/A")</f>
        <v>N/A</v>
      </c>
      <c r="BB32" s="54" t="str">
        <f t="shared" si="2"/>
        <v>N/A</v>
      </c>
      <c r="BC32" s="54" t="str">
        <f t="shared" si="3"/>
        <v>N/A</v>
      </c>
      <c r="BD32" s="45"/>
      <c r="BE32" s="55">
        <f t="shared" si="4"/>
        <v>0</v>
      </c>
      <c r="BF32" s="55">
        <f t="shared" si="5"/>
        <v>0</v>
      </c>
      <c r="BG32" s="55">
        <f t="shared" si="6"/>
        <v>0</v>
      </c>
      <c r="BH32" s="56">
        <f t="shared" si="7"/>
        <v>0</v>
      </c>
      <c r="BI32" s="56">
        <f t="shared" si="8"/>
        <v>0</v>
      </c>
      <c r="BJ32" s="56">
        <f t="shared" si="9"/>
        <v>0</v>
      </c>
      <c r="BK32" s="45"/>
      <c r="BL32" s="55">
        <f t="shared" si="10"/>
        <v>0</v>
      </c>
      <c r="BM32" s="55">
        <f t="shared" si="11"/>
        <v>0</v>
      </c>
      <c r="BN32" s="55">
        <f t="shared" si="12"/>
        <v>0</v>
      </c>
      <c r="BO32" s="55">
        <f t="shared" si="13"/>
        <v>0</v>
      </c>
      <c r="BP32" s="55">
        <f t="shared" si="14"/>
        <v>0</v>
      </c>
      <c r="BQ32" s="55">
        <f t="shared" si="15"/>
        <v>0</v>
      </c>
    </row>
    <row r="33" spans="3:69" x14ac:dyDescent="0.3">
      <c r="C33" s="57">
        <v>420</v>
      </c>
      <c r="D33" s="57" t="s">
        <v>283</v>
      </c>
      <c r="E33" s="57" t="s">
        <v>74</v>
      </c>
      <c r="F33" s="57" t="s">
        <v>143</v>
      </c>
      <c r="G33" s="57"/>
      <c r="H33" s="57">
        <v>2028</v>
      </c>
      <c r="I33" s="57" t="s">
        <v>202</v>
      </c>
      <c r="J33" s="57" t="s">
        <v>39</v>
      </c>
      <c r="K33" s="57" t="s">
        <v>79</v>
      </c>
      <c r="L33" s="57" t="s">
        <v>97</v>
      </c>
      <c r="M33" s="57" t="s">
        <v>98</v>
      </c>
      <c r="N33" s="57" t="s">
        <v>82</v>
      </c>
      <c r="O33" s="57" t="s">
        <v>83</v>
      </c>
      <c r="P33" s="58"/>
      <c r="Q33" s="58" t="s">
        <v>284</v>
      </c>
      <c r="R33" s="58"/>
      <c r="S33" s="57" t="s">
        <v>285</v>
      </c>
      <c r="T33" s="57" t="s">
        <v>286</v>
      </c>
      <c r="U33" s="57"/>
      <c r="V33" s="57" t="s">
        <v>89</v>
      </c>
      <c r="W33" s="57"/>
      <c r="X33" s="51"/>
      <c r="Y33" s="51"/>
      <c r="Z33" s="46"/>
      <c r="AA33" s="46"/>
      <c r="AB33" s="46"/>
      <c r="AC33" s="46"/>
      <c r="AD33" s="46"/>
      <c r="AE33" s="46"/>
      <c r="AF33" s="46"/>
      <c r="AG33" s="46">
        <v>46451</v>
      </c>
      <c r="AH33" s="46" t="s">
        <v>205</v>
      </c>
      <c r="AI33" s="46" t="s">
        <v>287</v>
      </c>
      <c r="AJ33" s="46" t="s">
        <v>288</v>
      </c>
      <c r="AL33" s="46" t="s">
        <v>117</v>
      </c>
      <c r="AM33" s="47"/>
      <c r="AN33" s="48"/>
      <c r="AO33" s="49"/>
      <c r="AP33" s="48"/>
      <c r="AQ33" s="49"/>
      <c r="AR33" s="50" t="s">
        <v>49</v>
      </c>
      <c r="AS33" s="46"/>
      <c r="AT33" s="46"/>
      <c r="AU33" s="51"/>
      <c r="AV33" s="51"/>
      <c r="AW33" s="52"/>
      <c r="AX33" s="46"/>
      <c r="AY33" s="46"/>
      <c r="AZ33" s="53" t="s">
        <v>49</v>
      </c>
      <c r="BA33" s="54" t="str">
        <f>IFERROR(VLOOKUP($AX33,List!B:C,2,FALSE),"N/A")</f>
        <v>N/A</v>
      </c>
      <c r="BB33" s="54" t="str">
        <f t="shared" si="2"/>
        <v>N/A</v>
      </c>
      <c r="BC33" s="54" t="str">
        <f t="shared" si="3"/>
        <v>N/A</v>
      </c>
      <c r="BD33" s="45"/>
      <c r="BE33" s="55">
        <f t="shared" si="4"/>
        <v>0</v>
      </c>
      <c r="BF33" s="55">
        <f t="shared" si="5"/>
        <v>0</v>
      </c>
      <c r="BG33" s="55">
        <f t="shared" si="6"/>
        <v>0</v>
      </c>
      <c r="BH33" s="56">
        <f t="shared" si="7"/>
        <v>0</v>
      </c>
      <c r="BI33" s="56">
        <f t="shared" si="8"/>
        <v>0</v>
      </c>
      <c r="BJ33" s="56">
        <f t="shared" si="9"/>
        <v>0</v>
      </c>
      <c r="BK33" s="45"/>
      <c r="BL33" s="55">
        <f t="shared" si="10"/>
        <v>0</v>
      </c>
      <c r="BM33" s="55">
        <f t="shared" si="11"/>
        <v>0</v>
      </c>
      <c r="BN33" s="55">
        <f t="shared" si="12"/>
        <v>0</v>
      </c>
      <c r="BO33" s="55">
        <f t="shared" si="13"/>
        <v>0</v>
      </c>
      <c r="BP33" s="55">
        <f t="shared" si="14"/>
        <v>0</v>
      </c>
      <c r="BQ33" s="55">
        <f t="shared" si="15"/>
        <v>0</v>
      </c>
    </row>
    <row r="34" spans="3:69" x14ac:dyDescent="0.3">
      <c r="C34" s="57">
        <v>434</v>
      </c>
      <c r="D34" s="57" t="s">
        <v>289</v>
      </c>
      <c r="E34" s="57" t="s">
        <v>74</v>
      </c>
      <c r="F34" s="57" t="s">
        <v>201</v>
      </c>
      <c r="G34" s="57"/>
      <c r="H34" s="57">
        <v>2028</v>
      </c>
      <c r="I34" s="57" t="s">
        <v>202</v>
      </c>
      <c r="J34" s="57" t="s">
        <v>39</v>
      </c>
      <c r="K34" s="57" t="s">
        <v>79</v>
      </c>
      <c r="L34" s="57" t="s">
        <v>145</v>
      </c>
      <c r="M34" s="57" t="s">
        <v>146</v>
      </c>
      <c r="N34" s="57" t="s">
        <v>82</v>
      </c>
      <c r="O34" s="57" t="s">
        <v>83</v>
      </c>
      <c r="P34" s="58"/>
      <c r="Q34" s="58"/>
      <c r="R34" s="58"/>
      <c r="S34" s="57" t="s">
        <v>290</v>
      </c>
      <c r="T34" s="57" t="s">
        <v>88</v>
      </c>
      <c r="U34" s="57"/>
      <c r="V34" s="57" t="s">
        <v>89</v>
      </c>
      <c r="W34" s="57"/>
      <c r="X34" s="51"/>
      <c r="Y34" s="51"/>
      <c r="Z34" s="46"/>
      <c r="AA34" s="46"/>
      <c r="AB34" s="46"/>
      <c r="AC34" s="46"/>
      <c r="AD34" s="46"/>
      <c r="AE34" s="46"/>
      <c r="AF34" s="46"/>
      <c r="AG34" s="46">
        <v>46482</v>
      </c>
      <c r="AH34" s="46" t="s">
        <v>205</v>
      </c>
      <c r="AI34" s="46" t="s">
        <v>291</v>
      </c>
      <c r="AJ34" s="46" t="s">
        <v>292</v>
      </c>
      <c r="AL34" s="46" t="s">
        <v>117</v>
      </c>
      <c r="AM34" s="47"/>
      <c r="AN34" s="48"/>
      <c r="AO34" s="49"/>
      <c r="AP34" s="48"/>
      <c r="AQ34" s="49"/>
      <c r="AR34" s="50" t="s">
        <v>49</v>
      </c>
      <c r="AS34" s="46"/>
      <c r="AT34" s="46"/>
      <c r="AU34" s="51"/>
      <c r="AV34" s="51"/>
      <c r="AW34" s="52"/>
      <c r="AX34" s="46"/>
      <c r="AY34" s="46"/>
      <c r="AZ34" s="53" t="s">
        <v>49</v>
      </c>
      <c r="BA34" s="54" t="str">
        <f>IFERROR(VLOOKUP($AX34,List!B:C,2,FALSE),"N/A")</f>
        <v>N/A</v>
      </c>
      <c r="BB34" s="54" t="str">
        <f t="shared" si="2"/>
        <v>N/A</v>
      </c>
      <c r="BC34" s="54" t="str">
        <f t="shared" si="3"/>
        <v>N/A</v>
      </c>
      <c r="BD34" s="45"/>
      <c r="BE34" s="55">
        <f t="shared" si="4"/>
        <v>0</v>
      </c>
      <c r="BF34" s="55">
        <f t="shared" si="5"/>
        <v>0</v>
      </c>
      <c r="BG34" s="55">
        <f t="shared" si="6"/>
        <v>0</v>
      </c>
      <c r="BH34" s="56">
        <f t="shared" si="7"/>
        <v>0</v>
      </c>
      <c r="BI34" s="56">
        <f t="shared" si="8"/>
        <v>0</v>
      </c>
      <c r="BJ34" s="56">
        <f t="shared" si="9"/>
        <v>0</v>
      </c>
      <c r="BK34" s="45"/>
      <c r="BL34" s="55">
        <f t="shared" si="10"/>
        <v>0</v>
      </c>
      <c r="BM34" s="55">
        <f t="shared" si="11"/>
        <v>0</v>
      </c>
      <c r="BN34" s="55">
        <f t="shared" si="12"/>
        <v>0</v>
      </c>
      <c r="BO34" s="55">
        <f t="shared" si="13"/>
        <v>0</v>
      </c>
      <c r="BP34" s="55">
        <f t="shared" si="14"/>
        <v>0</v>
      </c>
      <c r="BQ34" s="55">
        <f t="shared" si="15"/>
        <v>0</v>
      </c>
    </row>
    <row r="35" spans="3:69" x14ac:dyDescent="0.3">
      <c r="C35" s="57">
        <v>435</v>
      </c>
      <c r="D35" s="57" t="s">
        <v>293</v>
      </c>
      <c r="E35" s="57" t="s">
        <v>74</v>
      </c>
      <c r="F35" s="57" t="s">
        <v>201</v>
      </c>
      <c r="G35" s="57"/>
      <c r="H35" s="57">
        <v>2028</v>
      </c>
      <c r="I35" s="57" t="s">
        <v>202</v>
      </c>
      <c r="J35" s="57" t="s">
        <v>203</v>
      </c>
      <c r="K35" s="57" t="s">
        <v>79</v>
      </c>
      <c r="L35" s="57" t="s">
        <v>145</v>
      </c>
      <c r="M35" s="57" t="s">
        <v>146</v>
      </c>
      <c r="N35" s="57" t="s">
        <v>82</v>
      </c>
      <c r="O35" s="57" t="s">
        <v>83</v>
      </c>
      <c r="P35" s="58"/>
      <c r="Q35" s="58" t="s">
        <v>196</v>
      </c>
      <c r="R35" s="58"/>
      <c r="S35" s="57" t="s">
        <v>196</v>
      </c>
      <c r="T35" s="57" t="s">
        <v>88</v>
      </c>
      <c r="U35" s="57"/>
      <c r="V35" s="57" t="s">
        <v>89</v>
      </c>
      <c r="W35" s="57"/>
      <c r="X35" s="51"/>
      <c r="Y35" s="51"/>
      <c r="Z35" s="46"/>
      <c r="AA35" s="46"/>
      <c r="AB35" s="46"/>
      <c r="AC35" s="46"/>
      <c r="AD35" s="46"/>
      <c r="AE35" s="46"/>
      <c r="AF35" s="46"/>
      <c r="AG35" s="46">
        <v>46482</v>
      </c>
      <c r="AH35" s="46" t="s">
        <v>205</v>
      </c>
      <c r="AI35" s="46" t="s">
        <v>294</v>
      </c>
      <c r="AJ35" s="46" t="s">
        <v>295</v>
      </c>
      <c r="AL35" s="46" t="s">
        <v>117</v>
      </c>
      <c r="AM35" s="47"/>
      <c r="AN35" s="48"/>
      <c r="AO35" s="49"/>
      <c r="AP35" s="48"/>
      <c r="AQ35" s="49"/>
      <c r="AR35" s="50" t="s">
        <v>49</v>
      </c>
      <c r="AS35" s="46"/>
      <c r="AT35" s="46"/>
      <c r="AU35" s="51"/>
      <c r="AV35" s="51"/>
      <c r="AW35" s="52"/>
      <c r="AX35" s="46"/>
      <c r="AY35" s="46"/>
      <c r="AZ35" s="53" t="s">
        <v>49</v>
      </c>
      <c r="BA35" s="54" t="str">
        <f>IFERROR(VLOOKUP($AX35,List!B:C,2,FALSE),"N/A")</f>
        <v>N/A</v>
      </c>
      <c r="BB35" s="54" t="str">
        <f t="shared" si="2"/>
        <v>N/A</v>
      </c>
      <c r="BC35" s="54" t="str">
        <f t="shared" si="3"/>
        <v>N/A</v>
      </c>
      <c r="BD35" s="45"/>
      <c r="BE35" s="55">
        <f t="shared" si="4"/>
        <v>0</v>
      </c>
      <c r="BF35" s="55">
        <f t="shared" si="5"/>
        <v>0</v>
      </c>
      <c r="BG35" s="55">
        <f t="shared" si="6"/>
        <v>0</v>
      </c>
      <c r="BH35" s="56">
        <f t="shared" si="7"/>
        <v>0</v>
      </c>
      <c r="BI35" s="56">
        <f t="shared" si="8"/>
        <v>0</v>
      </c>
      <c r="BJ35" s="56">
        <f t="shared" si="9"/>
        <v>0</v>
      </c>
      <c r="BK35" s="45"/>
      <c r="BL35" s="55">
        <f t="shared" si="10"/>
        <v>0</v>
      </c>
      <c r="BM35" s="55">
        <f t="shared" si="11"/>
        <v>0</v>
      </c>
      <c r="BN35" s="55">
        <f t="shared" si="12"/>
        <v>0</v>
      </c>
      <c r="BO35" s="55">
        <f t="shared" si="13"/>
        <v>0</v>
      </c>
      <c r="BP35" s="55">
        <f t="shared" si="14"/>
        <v>0</v>
      </c>
      <c r="BQ35" s="55">
        <f t="shared" si="15"/>
        <v>0</v>
      </c>
    </row>
    <row r="36" spans="3:69" x14ac:dyDescent="0.3">
      <c r="C36" s="57">
        <v>437</v>
      </c>
      <c r="D36" s="57" t="s">
        <v>296</v>
      </c>
      <c r="E36" s="57" t="s">
        <v>74</v>
      </c>
      <c r="F36" s="57" t="s">
        <v>143</v>
      </c>
      <c r="G36" s="57" t="s">
        <v>297</v>
      </c>
      <c r="H36" s="57">
        <v>2029</v>
      </c>
      <c r="I36" s="57" t="s">
        <v>77</v>
      </c>
      <c r="J36" s="57" t="s">
        <v>78</v>
      </c>
      <c r="K36" s="57" t="s">
        <v>79</v>
      </c>
      <c r="L36" s="57" t="s">
        <v>181</v>
      </c>
      <c r="M36" s="57" t="s">
        <v>246</v>
      </c>
      <c r="N36" s="57" t="s">
        <v>82</v>
      </c>
      <c r="O36" s="57" t="s">
        <v>83</v>
      </c>
      <c r="P36" s="58" t="s">
        <v>298</v>
      </c>
      <c r="Q36" s="58" t="s">
        <v>185</v>
      </c>
      <c r="R36" s="58" t="s">
        <v>299</v>
      </c>
      <c r="S36" s="57" t="s">
        <v>300</v>
      </c>
      <c r="T36" s="57" t="s">
        <v>188</v>
      </c>
      <c r="U36" s="57">
        <v>17202</v>
      </c>
      <c r="V36" s="57" t="s">
        <v>89</v>
      </c>
      <c r="W36" s="57">
        <v>39.954903999999999</v>
      </c>
      <c r="X36" s="51">
        <v>-77.575017000000003</v>
      </c>
      <c r="Y36" s="51"/>
      <c r="Z36" s="46">
        <v>130</v>
      </c>
      <c r="AA36" s="46"/>
      <c r="AB36" s="46">
        <v>46091</v>
      </c>
      <c r="AC36" s="46">
        <v>45958</v>
      </c>
      <c r="AD36" s="46"/>
      <c r="AE36" s="46">
        <v>46106</v>
      </c>
      <c r="AF36" s="46"/>
      <c r="AG36" s="46">
        <v>46484</v>
      </c>
      <c r="AH36" s="46"/>
      <c r="AI36" s="46" t="s">
        <v>301</v>
      </c>
      <c r="AJ36" s="46" t="s">
        <v>302</v>
      </c>
      <c r="AL36" s="46" t="s">
        <v>117</v>
      </c>
      <c r="AM36" s="47"/>
      <c r="AN36" s="48"/>
      <c r="AO36" s="49"/>
      <c r="AP36" s="48"/>
      <c r="AQ36" s="49"/>
      <c r="AR36" s="50" t="s">
        <v>49</v>
      </c>
      <c r="AS36" s="46"/>
      <c r="AT36" s="46"/>
      <c r="AU36" s="51"/>
      <c r="AV36" s="51"/>
      <c r="AW36" s="52"/>
      <c r="AX36" s="46"/>
      <c r="AY36" s="46"/>
      <c r="AZ36" s="53" t="s">
        <v>49</v>
      </c>
      <c r="BA36" s="54" t="str">
        <f>IFERROR(VLOOKUP($AX36,List!B:C,2,FALSE),"N/A")</f>
        <v>N/A</v>
      </c>
      <c r="BB36" s="54" t="str">
        <f t="shared" si="2"/>
        <v>N/A</v>
      </c>
      <c r="BC36" s="54" t="str">
        <f t="shared" si="3"/>
        <v>N/A</v>
      </c>
      <c r="BD36" s="45"/>
      <c r="BE36" s="55">
        <f t="shared" si="4"/>
        <v>0</v>
      </c>
      <c r="BF36" s="55">
        <f t="shared" si="5"/>
        <v>0</v>
      </c>
      <c r="BG36" s="55">
        <f t="shared" si="6"/>
        <v>0</v>
      </c>
      <c r="BH36" s="56">
        <f t="shared" si="7"/>
        <v>0</v>
      </c>
      <c r="BI36" s="56">
        <f t="shared" si="8"/>
        <v>0</v>
      </c>
      <c r="BJ36" s="56">
        <f t="shared" si="9"/>
        <v>0</v>
      </c>
      <c r="BK36" s="45"/>
      <c r="BL36" s="55">
        <f t="shared" si="10"/>
        <v>0</v>
      </c>
      <c r="BM36" s="55">
        <f t="shared" si="11"/>
        <v>0</v>
      </c>
      <c r="BN36" s="55">
        <f t="shared" si="12"/>
        <v>0</v>
      </c>
      <c r="BO36" s="55">
        <f t="shared" si="13"/>
        <v>0</v>
      </c>
      <c r="BP36" s="55">
        <f t="shared" si="14"/>
        <v>0</v>
      </c>
      <c r="BQ36" s="55">
        <f t="shared" si="15"/>
        <v>0</v>
      </c>
    </row>
    <row r="37" spans="3:69" x14ac:dyDescent="0.3">
      <c r="C37" s="57">
        <v>438</v>
      </c>
      <c r="D37" s="57" t="s">
        <v>303</v>
      </c>
      <c r="E37" s="57" t="s">
        <v>74</v>
      </c>
      <c r="F37" s="57" t="s">
        <v>143</v>
      </c>
      <c r="G37" s="57"/>
      <c r="H37" s="57">
        <v>2029</v>
      </c>
      <c r="I37" s="57" t="s">
        <v>202</v>
      </c>
      <c r="J37" s="57" t="s">
        <v>304</v>
      </c>
      <c r="K37" s="57" t="s">
        <v>304</v>
      </c>
      <c r="L37" s="57" t="s">
        <v>181</v>
      </c>
      <c r="M37" s="57" t="s">
        <v>246</v>
      </c>
      <c r="N37" s="57" t="s">
        <v>82</v>
      </c>
      <c r="O37" s="57" t="s">
        <v>83</v>
      </c>
      <c r="P37" s="58"/>
      <c r="Q37" s="58"/>
      <c r="R37" s="58"/>
      <c r="S37" s="57" t="s">
        <v>305</v>
      </c>
      <c r="T37" s="57" t="s">
        <v>188</v>
      </c>
      <c r="U37" s="57">
        <v>17257</v>
      </c>
      <c r="V37" s="57" t="s">
        <v>89</v>
      </c>
      <c r="W37" s="57"/>
      <c r="X37" s="51"/>
      <c r="Y37" s="51"/>
      <c r="Z37" s="46"/>
      <c r="AA37" s="46"/>
      <c r="AB37" s="46"/>
      <c r="AC37" s="46"/>
      <c r="AD37" s="46"/>
      <c r="AE37" s="46"/>
      <c r="AF37" s="46"/>
      <c r="AG37" s="46">
        <v>46489</v>
      </c>
      <c r="AH37" s="46" t="s">
        <v>306</v>
      </c>
      <c r="AI37" s="46" t="s">
        <v>307</v>
      </c>
      <c r="AJ37" s="46" t="s">
        <v>308</v>
      </c>
      <c r="AL37" s="46" t="s">
        <v>117</v>
      </c>
      <c r="AM37" s="47"/>
      <c r="AN37" s="48"/>
      <c r="AO37" s="49"/>
      <c r="AP37" s="48"/>
      <c r="AQ37" s="49"/>
      <c r="AR37" s="50" t="s">
        <v>49</v>
      </c>
      <c r="AS37" s="46"/>
      <c r="AT37" s="46"/>
      <c r="AU37" s="51"/>
      <c r="AV37" s="51"/>
      <c r="AW37" s="52"/>
      <c r="AX37" s="46"/>
      <c r="AY37" s="46"/>
      <c r="AZ37" s="53" t="s">
        <v>49</v>
      </c>
      <c r="BA37" s="54" t="str">
        <f>IFERROR(VLOOKUP($AX37,List!B:C,2,FALSE),"N/A")</f>
        <v>N/A</v>
      </c>
      <c r="BB37" s="54" t="str">
        <f t="shared" si="2"/>
        <v>N/A</v>
      </c>
      <c r="BC37" s="54" t="str">
        <f t="shared" si="3"/>
        <v>N/A</v>
      </c>
      <c r="BD37" s="45"/>
      <c r="BE37" s="55">
        <f t="shared" si="4"/>
        <v>0</v>
      </c>
      <c r="BF37" s="55">
        <f t="shared" si="5"/>
        <v>0</v>
      </c>
      <c r="BG37" s="55">
        <f t="shared" si="6"/>
        <v>0</v>
      </c>
      <c r="BH37" s="56">
        <f t="shared" si="7"/>
        <v>0</v>
      </c>
      <c r="BI37" s="56">
        <f t="shared" si="8"/>
        <v>0</v>
      </c>
      <c r="BJ37" s="56">
        <f t="shared" si="9"/>
        <v>0</v>
      </c>
      <c r="BK37" s="45"/>
      <c r="BL37" s="55">
        <f t="shared" si="10"/>
        <v>0</v>
      </c>
      <c r="BM37" s="55">
        <f t="shared" si="11"/>
        <v>0</v>
      </c>
      <c r="BN37" s="55">
        <f t="shared" si="12"/>
        <v>0</v>
      </c>
      <c r="BO37" s="55">
        <f t="shared" si="13"/>
        <v>0</v>
      </c>
      <c r="BP37" s="55">
        <f t="shared" si="14"/>
        <v>0</v>
      </c>
      <c r="BQ37" s="55">
        <f t="shared" si="15"/>
        <v>0</v>
      </c>
    </row>
    <row r="38" spans="3:69" x14ac:dyDescent="0.3">
      <c r="C38" s="57">
        <v>451</v>
      </c>
      <c r="D38" s="57" t="s">
        <v>309</v>
      </c>
      <c r="E38" s="57" t="s">
        <v>74</v>
      </c>
      <c r="F38" s="57" t="s">
        <v>201</v>
      </c>
      <c r="G38" s="57"/>
      <c r="H38" s="57">
        <v>2028</v>
      </c>
      <c r="I38" s="57" t="s">
        <v>202</v>
      </c>
      <c r="J38" s="57" t="s">
        <v>203</v>
      </c>
      <c r="K38" s="57" t="s">
        <v>79</v>
      </c>
      <c r="L38" s="57" t="s">
        <v>97</v>
      </c>
      <c r="M38" s="57" t="s">
        <v>98</v>
      </c>
      <c r="N38" s="57" t="s">
        <v>82</v>
      </c>
      <c r="O38" s="57" t="s">
        <v>83</v>
      </c>
      <c r="P38" s="58"/>
      <c r="Q38" s="58" t="s">
        <v>129</v>
      </c>
      <c r="R38" s="58"/>
      <c r="S38" s="57" t="s">
        <v>310</v>
      </c>
      <c r="T38" s="57" t="s">
        <v>130</v>
      </c>
      <c r="U38" s="57"/>
      <c r="V38" s="57" t="s">
        <v>89</v>
      </c>
      <c r="W38" s="57"/>
      <c r="X38" s="51"/>
      <c r="Y38" s="51"/>
      <c r="Z38" s="46"/>
      <c r="AA38" s="46"/>
      <c r="AB38" s="46"/>
      <c r="AC38" s="46"/>
      <c r="AD38" s="46"/>
      <c r="AE38" s="46"/>
      <c r="AF38" s="46"/>
      <c r="AG38" s="46">
        <v>46500</v>
      </c>
      <c r="AH38" s="46" t="s">
        <v>205</v>
      </c>
      <c r="AI38" s="46" t="s">
        <v>311</v>
      </c>
      <c r="AJ38" s="46" t="s">
        <v>312</v>
      </c>
      <c r="AL38" s="46" t="s">
        <v>117</v>
      </c>
      <c r="AM38" s="47"/>
      <c r="AN38" s="48"/>
      <c r="AO38" s="49"/>
      <c r="AP38" s="48"/>
      <c r="AQ38" s="49"/>
      <c r="AR38" s="50" t="s">
        <v>49</v>
      </c>
      <c r="AS38" s="46"/>
      <c r="AT38" s="46"/>
      <c r="AU38" s="51"/>
      <c r="AV38" s="51"/>
      <c r="AW38" s="52"/>
      <c r="AX38" s="46"/>
      <c r="AY38" s="46"/>
      <c r="AZ38" s="53" t="s">
        <v>49</v>
      </c>
      <c r="BA38" s="54" t="str">
        <f>IFERROR(VLOOKUP($AX38,List!B:C,2,FALSE),"N/A")</f>
        <v>N/A</v>
      </c>
      <c r="BB38" s="54" t="str">
        <f t="shared" si="2"/>
        <v>N/A</v>
      </c>
      <c r="BC38" s="54" t="str">
        <f t="shared" si="3"/>
        <v>N/A</v>
      </c>
      <c r="BD38" s="45"/>
      <c r="BE38" s="55">
        <f t="shared" si="4"/>
        <v>0</v>
      </c>
      <c r="BF38" s="55">
        <f t="shared" si="5"/>
        <v>0</v>
      </c>
      <c r="BG38" s="55">
        <f t="shared" si="6"/>
        <v>0</v>
      </c>
      <c r="BH38" s="56">
        <f t="shared" si="7"/>
        <v>0</v>
      </c>
      <c r="BI38" s="56">
        <f t="shared" si="8"/>
        <v>0</v>
      </c>
      <c r="BJ38" s="56">
        <f t="shared" si="9"/>
        <v>0</v>
      </c>
      <c r="BK38" s="45"/>
      <c r="BL38" s="55">
        <f t="shared" si="10"/>
        <v>0</v>
      </c>
      <c r="BM38" s="55">
        <f t="shared" si="11"/>
        <v>0</v>
      </c>
      <c r="BN38" s="55">
        <f t="shared" si="12"/>
        <v>0</v>
      </c>
      <c r="BO38" s="55">
        <f t="shared" si="13"/>
        <v>0</v>
      </c>
      <c r="BP38" s="55">
        <f t="shared" si="14"/>
        <v>0</v>
      </c>
      <c r="BQ38" s="55">
        <f t="shared" si="15"/>
        <v>0</v>
      </c>
    </row>
    <row r="39" spans="3:69" x14ac:dyDescent="0.3">
      <c r="C39" s="57">
        <v>452</v>
      </c>
      <c r="D39" s="57" t="s">
        <v>313</v>
      </c>
      <c r="E39" s="57" t="s">
        <v>74</v>
      </c>
      <c r="F39" s="57" t="s">
        <v>201</v>
      </c>
      <c r="G39" s="57"/>
      <c r="H39" s="57">
        <v>2028</v>
      </c>
      <c r="I39" s="57" t="s">
        <v>202</v>
      </c>
      <c r="J39" s="57" t="s">
        <v>203</v>
      </c>
      <c r="K39" s="57" t="s">
        <v>79</v>
      </c>
      <c r="L39" s="57" t="s">
        <v>97</v>
      </c>
      <c r="M39" s="57" t="s">
        <v>98</v>
      </c>
      <c r="N39" s="57" t="s">
        <v>82</v>
      </c>
      <c r="O39" s="57" t="s">
        <v>83</v>
      </c>
      <c r="P39" s="58"/>
      <c r="Q39" s="58" t="s">
        <v>314</v>
      </c>
      <c r="R39" s="58"/>
      <c r="S39" s="57" t="s">
        <v>315</v>
      </c>
      <c r="T39" s="57" t="s">
        <v>130</v>
      </c>
      <c r="U39" s="57"/>
      <c r="V39" s="57" t="s">
        <v>89</v>
      </c>
      <c r="W39" s="57"/>
      <c r="X39" s="51"/>
      <c r="Y39" s="51"/>
      <c r="Z39" s="46"/>
      <c r="AA39" s="46"/>
      <c r="AB39" s="46"/>
      <c r="AC39" s="46"/>
      <c r="AD39" s="46"/>
      <c r="AE39" s="46"/>
      <c r="AF39" s="46"/>
      <c r="AG39" s="46">
        <v>46500</v>
      </c>
      <c r="AH39" s="46" t="s">
        <v>205</v>
      </c>
      <c r="AI39" s="46" t="s">
        <v>316</v>
      </c>
      <c r="AJ39" s="46" t="s">
        <v>317</v>
      </c>
      <c r="AL39" s="46" t="s">
        <v>117</v>
      </c>
      <c r="AM39" s="47"/>
      <c r="AN39" s="48"/>
      <c r="AO39" s="49"/>
      <c r="AP39" s="48"/>
      <c r="AQ39" s="49"/>
      <c r="AR39" s="50" t="s">
        <v>49</v>
      </c>
      <c r="AS39" s="46"/>
      <c r="AT39" s="46"/>
      <c r="AU39" s="51"/>
      <c r="AV39" s="51"/>
      <c r="AW39" s="52"/>
      <c r="AX39" s="46"/>
      <c r="AY39" s="46"/>
      <c r="AZ39" s="53" t="s">
        <v>49</v>
      </c>
      <c r="BA39" s="54" t="str">
        <f>IFERROR(VLOOKUP($AX39,List!B:C,2,FALSE),"N/A")</f>
        <v>N/A</v>
      </c>
      <c r="BB39" s="54" t="str">
        <f t="shared" si="2"/>
        <v>N/A</v>
      </c>
      <c r="BC39" s="54" t="str">
        <f t="shared" si="3"/>
        <v>N/A</v>
      </c>
      <c r="BD39" s="45"/>
      <c r="BE39" s="55">
        <f t="shared" si="4"/>
        <v>0</v>
      </c>
      <c r="BF39" s="55">
        <f t="shared" si="5"/>
        <v>0</v>
      </c>
      <c r="BG39" s="55">
        <f t="shared" si="6"/>
        <v>0</v>
      </c>
      <c r="BH39" s="56">
        <f t="shared" si="7"/>
        <v>0</v>
      </c>
      <c r="BI39" s="56">
        <f t="shared" si="8"/>
        <v>0</v>
      </c>
      <c r="BJ39" s="56">
        <f t="shared" si="9"/>
        <v>0</v>
      </c>
      <c r="BK39" s="45"/>
      <c r="BL39" s="55">
        <f t="shared" si="10"/>
        <v>0</v>
      </c>
      <c r="BM39" s="55">
        <f t="shared" si="11"/>
        <v>0</v>
      </c>
      <c r="BN39" s="55">
        <f t="shared" si="12"/>
        <v>0</v>
      </c>
      <c r="BO39" s="55">
        <f t="shared" si="13"/>
        <v>0</v>
      </c>
      <c r="BP39" s="55">
        <f t="shared" si="14"/>
        <v>0</v>
      </c>
      <c r="BQ39" s="55">
        <f t="shared" si="15"/>
        <v>0</v>
      </c>
    </row>
    <row r="40" spans="3:69" x14ac:dyDescent="0.3">
      <c r="C40" s="57">
        <v>453</v>
      </c>
      <c r="D40" s="57" t="s">
        <v>318</v>
      </c>
      <c r="E40" s="57" t="s">
        <v>74</v>
      </c>
      <c r="F40" s="57" t="s">
        <v>201</v>
      </c>
      <c r="G40" s="57"/>
      <c r="H40" s="57">
        <v>2028</v>
      </c>
      <c r="I40" s="57" t="s">
        <v>202</v>
      </c>
      <c r="J40" s="57" t="s">
        <v>203</v>
      </c>
      <c r="K40" s="57" t="s">
        <v>79</v>
      </c>
      <c r="L40" s="57" t="s">
        <v>97</v>
      </c>
      <c r="M40" s="57" t="s">
        <v>98</v>
      </c>
      <c r="N40" s="57" t="s">
        <v>82</v>
      </c>
      <c r="O40" s="57" t="s">
        <v>83</v>
      </c>
      <c r="P40" s="58"/>
      <c r="Q40" s="58" t="s">
        <v>196</v>
      </c>
      <c r="R40" s="58"/>
      <c r="S40" s="57" t="s">
        <v>319</v>
      </c>
      <c r="T40" s="57" t="s">
        <v>88</v>
      </c>
      <c r="U40" s="57"/>
      <c r="V40" s="57" t="s">
        <v>89</v>
      </c>
      <c r="W40" s="57"/>
      <c r="X40" s="51"/>
      <c r="Y40" s="51"/>
      <c r="Z40" s="46"/>
      <c r="AA40" s="46"/>
      <c r="AB40" s="46"/>
      <c r="AC40" s="46"/>
      <c r="AD40" s="46"/>
      <c r="AE40" s="46"/>
      <c r="AF40" s="46"/>
      <c r="AG40" s="46">
        <v>46500</v>
      </c>
      <c r="AH40" s="46" t="s">
        <v>205</v>
      </c>
      <c r="AI40" s="46" t="s">
        <v>320</v>
      </c>
      <c r="AJ40" s="46" t="s">
        <v>321</v>
      </c>
      <c r="AL40" s="46" t="s">
        <v>117</v>
      </c>
      <c r="AM40" s="47"/>
      <c r="AN40" s="48"/>
      <c r="AO40" s="49"/>
      <c r="AP40" s="48"/>
      <c r="AQ40" s="49"/>
      <c r="AR40" s="50" t="s">
        <v>49</v>
      </c>
      <c r="AS40" s="46"/>
      <c r="AT40" s="46"/>
      <c r="AU40" s="51"/>
      <c r="AV40" s="51"/>
      <c r="AW40" s="52"/>
      <c r="AX40" s="46"/>
      <c r="AY40" s="46"/>
      <c r="AZ40" s="53" t="s">
        <v>49</v>
      </c>
      <c r="BA40" s="54" t="str">
        <f>IFERROR(VLOOKUP($AX40,List!B:C,2,FALSE),"N/A")</f>
        <v>N/A</v>
      </c>
      <c r="BB40" s="54" t="str">
        <f t="shared" si="2"/>
        <v>N/A</v>
      </c>
      <c r="BC40" s="54" t="str">
        <f t="shared" si="3"/>
        <v>N/A</v>
      </c>
      <c r="BD40" s="45"/>
      <c r="BE40" s="55">
        <f t="shared" si="4"/>
        <v>0</v>
      </c>
      <c r="BF40" s="55">
        <f t="shared" si="5"/>
        <v>0</v>
      </c>
      <c r="BG40" s="55">
        <f t="shared" si="6"/>
        <v>0</v>
      </c>
      <c r="BH40" s="56">
        <f t="shared" si="7"/>
        <v>0</v>
      </c>
      <c r="BI40" s="56">
        <f t="shared" si="8"/>
        <v>0</v>
      </c>
      <c r="BJ40" s="56">
        <f t="shared" si="9"/>
        <v>0</v>
      </c>
      <c r="BK40" s="45"/>
      <c r="BL40" s="55">
        <f t="shared" si="10"/>
        <v>0</v>
      </c>
      <c r="BM40" s="55">
        <f t="shared" si="11"/>
        <v>0</v>
      </c>
      <c r="BN40" s="55">
        <f t="shared" si="12"/>
        <v>0</v>
      </c>
      <c r="BO40" s="55">
        <f t="shared" si="13"/>
        <v>0</v>
      </c>
      <c r="BP40" s="55">
        <f t="shared" si="14"/>
        <v>0</v>
      </c>
      <c r="BQ40" s="55">
        <f t="shared" si="15"/>
        <v>0</v>
      </c>
    </row>
    <row r="41" spans="3:69" x14ac:dyDescent="0.3">
      <c r="C41" s="57">
        <v>494</v>
      </c>
      <c r="D41" s="57" t="s">
        <v>322</v>
      </c>
      <c r="E41" s="57" t="s">
        <v>74</v>
      </c>
      <c r="F41" s="57" t="s">
        <v>323</v>
      </c>
      <c r="G41" s="57" t="s">
        <v>324</v>
      </c>
      <c r="H41" s="57">
        <v>2029</v>
      </c>
      <c r="I41" s="57" t="s">
        <v>77</v>
      </c>
      <c r="J41" s="57" t="s">
        <v>245</v>
      </c>
      <c r="K41" s="57" t="s">
        <v>79</v>
      </c>
      <c r="L41" s="57" t="s">
        <v>181</v>
      </c>
      <c r="M41" s="57" t="s">
        <v>227</v>
      </c>
      <c r="N41" s="57" t="s">
        <v>82</v>
      </c>
      <c r="O41" s="57" t="s">
        <v>83</v>
      </c>
      <c r="P41" s="58" t="s">
        <v>325</v>
      </c>
      <c r="Q41" s="58" t="s">
        <v>214</v>
      </c>
      <c r="R41" s="58" t="s">
        <v>326</v>
      </c>
      <c r="S41" s="57" t="s">
        <v>327</v>
      </c>
      <c r="T41" s="57" t="s">
        <v>328</v>
      </c>
      <c r="U41" s="57">
        <v>62025</v>
      </c>
      <c r="V41" s="57" t="s">
        <v>89</v>
      </c>
      <c r="W41" s="57">
        <v>38.763774699999999</v>
      </c>
      <c r="X41" s="51">
        <v>-90.038705100000001</v>
      </c>
      <c r="Y41" s="51"/>
      <c r="Z41" s="46">
        <v>115.1</v>
      </c>
      <c r="AA41" s="46"/>
      <c r="AB41" s="46"/>
      <c r="AC41" s="46">
        <v>46146</v>
      </c>
      <c r="AD41" s="46"/>
      <c r="AE41" s="46"/>
      <c r="AF41" s="46"/>
      <c r="AG41" s="46">
        <v>46558</v>
      </c>
      <c r="AH41" s="46"/>
      <c r="AI41" s="46" t="s">
        <v>329</v>
      </c>
      <c r="AJ41" s="46" t="s">
        <v>330</v>
      </c>
      <c r="AL41" s="46" t="s">
        <v>117</v>
      </c>
      <c r="AM41" s="47"/>
      <c r="AN41" s="48"/>
      <c r="AO41" s="49"/>
      <c r="AP41" s="48"/>
      <c r="AQ41" s="49"/>
      <c r="AR41" s="50" t="s">
        <v>49</v>
      </c>
      <c r="AS41" s="46"/>
      <c r="AT41" s="46"/>
      <c r="AU41" s="51"/>
      <c r="AV41" s="51"/>
      <c r="AW41" s="52"/>
      <c r="AX41" s="46"/>
      <c r="AY41" s="46"/>
      <c r="AZ41" s="53" t="s">
        <v>49</v>
      </c>
      <c r="BA41" s="54" t="str">
        <f>IFERROR(VLOOKUP($AX41,List!B:C,2,FALSE),"N/A")</f>
        <v>N/A</v>
      </c>
      <c r="BB41" s="54" t="str">
        <f t="shared" si="2"/>
        <v>N/A</v>
      </c>
      <c r="BC41" s="54" t="str">
        <f t="shared" si="3"/>
        <v>N/A</v>
      </c>
      <c r="BD41" s="45"/>
      <c r="BE41" s="55">
        <f t="shared" si="4"/>
        <v>0</v>
      </c>
      <c r="BF41" s="55">
        <f t="shared" si="5"/>
        <v>0</v>
      </c>
      <c r="BG41" s="55">
        <f t="shared" si="6"/>
        <v>0</v>
      </c>
      <c r="BH41" s="56">
        <f t="shared" si="7"/>
        <v>0</v>
      </c>
      <c r="BI41" s="56">
        <f t="shared" si="8"/>
        <v>0</v>
      </c>
      <c r="BJ41" s="56">
        <f t="shared" si="9"/>
        <v>0</v>
      </c>
      <c r="BK41" s="45"/>
      <c r="BL41" s="55">
        <f t="shared" si="10"/>
        <v>0</v>
      </c>
      <c r="BM41" s="55">
        <f t="shared" si="11"/>
        <v>0</v>
      </c>
      <c r="BN41" s="55">
        <f t="shared" si="12"/>
        <v>0</v>
      </c>
      <c r="BO41" s="55">
        <f t="shared" si="13"/>
        <v>0</v>
      </c>
      <c r="BP41" s="55">
        <f t="shared" si="14"/>
        <v>0</v>
      </c>
      <c r="BQ41" s="55">
        <f t="shared" si="15"/>
        <v>0</v>
      </c>
    </row>
    <row r="42" spans="3:69" x14ac:dyDescent="0.3">
      <c r="C42" s="57">
        <v>515</v>
      </c>
      <c r="D42" s="57" t="s">
        <v>331</v>
      </c>
      <c r="E42" s="57" t="s">
        <v>74</v>
      </c>
      <c r="F42" s="57" t="s">
        <v>143</v>
      </c>
      <c r="G42" s="57" t="s">
        <v>332</v>
      </c>
      <c r="H42" s="57">
        <v>2029</v>
      </c>
      <c r="I42" s="57" t="s">
        <v>77</v>
      </c>
      <c r="J42" s="57" t="s">
        <v>245</v>
      </c>
      <c r="K42" s="57" t="s">
        <v>79</v>
      </c>
      <c r="L42" s="57" t="s">
        <v>333</v>
      </c>
      <c r="M42" s="57" t="s">
        <v>333</v>
      </c>
      <c r="N42" s="57" t="s">
        <v>82</v>
      </c>
      <c r="O42" s="57" t="s">
        <v>83</v>
      </c>
      <c r="P42" s="58" t="s">
        <v>334</v>
      </c>
      <c r="Q42" s="58" t="s">
        <v>314</v>
      </c>
      <c r="R42" s="58" t="s">
        <v>335</v>
      </c>
      <c r="S42" s="57" t="s">
        <v>336</v>
      </c>
      <c r="T42" s="57" t="s">
        <v>130</v>
      </c>
      <c r="U42" s="57">
        <v>45872</v>
      </c>
      <c r="V42" s="57" t="s">
        <v>89</v>
      </c>
      <c r="W42" s="57">
        <v>41.178019200000001</v>
      </c>
      <c r="X42" s="51">
        <v>-83.716701599999993</v>
      </c>
      <c r="Y42" s="51">
        <v>1200000</v>
      </c>
      <c r="Z42" s="46">
        <v>131.59</v>
      </c>
      <c r="AA42" s="46">
        <v>46048</v>
      </c>
      <c r="AB42" s="46">
        <v>46149</v>
      </c>
      <c r="AC42" s="46">
        <v>46098</v>
      </c>
      <c r="AD42" s="46"/>
      <c r="AE42" s="46"/>
      <c r="AF42" s="46"/>
      <c r="AG42" s="46">
        <v>46813</v>
      </c>
      <c r="AH42" s="46"/>
      <c r="AI42" s="46" t="s">
        <v>337</v>
      </c>
      <c r="AJ42" s="46" t="s">
        <v>338</v>
      </c>
      <c r="AL42" s="46" t="s">
        <v>117</v>
      </c>
      <c r="AM42" s="47"/>
      <c r="AN42" s="48"/>
      <c r="AO42" s="49"/>
      <c r="AP42" s="48"/>
      <c r="AQ42" s="49"/>
      <c r="AR42" s="50" t="s">
        <v>49</v>
      </c>
      <c r="AS42" s="46"/>
      <c r="AT42" s="46"/>
      <c r="AU42" s="51"/>
      <c r="AV42" s="51"/>
      <c r="AW42" s="52"/>
      <c r="AX42" s="46"/>
      <c r="AY42" s="46"/>
      <c r="AZ42" s="53" t="s">
        <v>49</v>
      </c>
      <c r="BA42" s="54" t="str">
        <f>IFERROR(VLOOKUP($AX42,List!B:C,2,FALSE),"N/A")</f>
        <v>N/A</v>
      </c>
      <c r="BB42" s="54" t="str">
        <f t="shared" si="2"/>
        <v>N/A</v>
      </c>
      <c r="BC42" s="54" t="str">
        <f t="shared" si="3"/>
        <v>N/A</v>
      </c>
      <c r="BD42" s="45"/>
      <c r="BE42" s="55">
        <f t="shared" si="4"/>
        <v>0</v>
      </c>
      <c r="BF42" s="55">
        <f t="shared" si="5"/>
        <v>0</v>
      </c>
      <c r="BG42" s="55">
        <f t="shared" si="6"/>
        <v>0</v>
      </c>
      <c r="BH42" s="56">
        <f t="shared" si="7"/>
        <v>0</v>
      </c>
      <c r="BI42" s="56">
        <f t="shared" si="8"/>
        <v>0</v>
      </c>
      <c r="BJ42" s="56">
        <f t="shared" si="9"/>
        <v>0</v>
      </c>
      <c r="BK42" s="45"/>
      <c r="BL42" s="55">
        <f t="shared" si="10"/>
        <v>0</v>
      </c>
      <c r="BM42" s="55">
        <f t="shared" si="11"/>
        <v>0</v>
      </c>
      <c r="BN42" s="55">
        <f t="shared" si="12"/>
        <v>0</v>
      </c>
      <c r="BO42" s="55">
        <f t="shared" si="13"/>
        <v>0</v>
      </c>
      <c r="BP42" s="55">
        <f t="shared" si="14"/>
        <v>0</v>
      </c>
      <c r="BQ42" s="55">
        <f t="shared" si="15"/>
        <v>0</v>
      </c>
    </row>
    <row r="43" spans="3:69" x14ac:dyDescent="0.3">
      <c r="C43" s="57">
        <v>807</v>
      </c>
      <c r="D43" s="57" t="s">
        <v>339</v>
      </c>
      <c r="E43" s="57" t="s">
        <v>74</v>
      </c>
      <c r="F43" s="57" t="s">
        <v>340</v>
      </c>
      <c r="G43" s="57"/>
      <c r="H43" s="57">
        <v>2026</v>
      </c>
      <c r="I43" s="57" t="s">
        <v>202</v>
      </c>
      <c r="J43" s="57" t="s">
        <v>304</v>
      </c>
      <c r="K43" s="57" t="s">
        <v>304</v>
      </c>
      <c r="L43" s="57" t="s">
        <v>97</v>
      </c>
      <c r="M43" s="57" t="s">
        <v>341</v>
      </c>
      <c r="N43" s="57" t="s">
        <v>110</v>
      </c>
      <c r="O43" s="57" t="s">
        <v>92</v>
      </c>
      <c r="P43" s="58"/>
      <c r="Q43" s="58"/>
      <c r="R43" s="58"/>
      <c r="S43" s="57" t="s">
        <v>85</v>
      </c>
      <c r="T43" s="57" t="s">
        <v>130</v>
      </c>
      <c r="U43" s="57"/>
      <c r="V43" s="57" t="s">
        <v>89</v>
      </c>
      <c r="W43" s="57"/>
      <c r="X43" s="51"/>
      <c r="Y43" s="51"/>
      <c r="Z43" s="46"/>
      <c r="AA43" s="46"/>
      <c r="AB43" s="46"/>
      <c r="AC43" s="46"/>
      <c r="AD43" s="46"/>
      <c r="AE43" s="46"/>
      <c r="AF43" s="46"/>
      <c r="AG43" s="46"/>
      <c r="AH43" s="46" t="s">
        <v>306</v>
      </c>
      <c r="AI43" s="46" t="s">
        <v>342</v>
      </c>
      <c r="AJ43" s="46" t="s">
        <v>343</v>
      </c>
      <c r="AL43" s="46" t="s">
        <v>92</v>
      </c>
      <c r="AM43" s="47"/>
      <c r="AN43" s="48"/>
      <c r="AO43" s="49"/>
      <c r="AP43" s="48"/>
      <c r="AQ43" s="49"/>
      <c r="AR43" s="50" t="s">
        <v>49</v>
      </c>
      <c r="AS43" s="46">
        <v>45747</v>
      </c>
      <c r="AT43" s="46">
        <v>46508</v>
      </c>
      <c r="AU43" s="51"/>
      <c r="AV43" s="51"/>
      <c r="AW43" s="52">
        <v>0</v>
      </c>
      <c r="AX43" s="46" t="s">
        <v>4</v>
      </c>
      <c r="AY43" s="46"/>
      <c r="AZ43" s="53" t="s">
        <v>49</v>
      </c>
      <c r="BA43" s="54">
        <f>IFERROR(VLOOKUP($AX43,List!B:C,2,FALSE),"N/A")</f>
        <v>0.6</v>
      </c>
      <c r="BB43" s="54">
        <f t="shared" si="2"/>
        <v>0</v>
      </c>
      <c r="BC43" s="54">
        <f t="shared" si="3"/>
        <v>0.4</v>
      </c>
      <c r="BD43" s="45"/>
      <c r="BE43" s="55">
        <f t="shared" si="4"/>
        <v>0</v>
      </c>
      <c r="BF43" s="55">
        <f t="shared" si="5"/>
        <v>0</v>
      </c>
      <c r="BG43" s="55">
        <f t="shared" si="6"/>
        <v>0</v>
      </c>
      <c r="BH43" s="56">
        <f t="shared" si="7"/>
        <v>0</v>
      </c>
      <c r="BI43" s="56">
        <f t="shared" si="8"/>
        <v>0</v>
      </c>
      <c r="BJ43" s="56">
        <f t="shared" si="9"/>
        <v>0</v>
      </c>
      <c r="BK43" s="45"/>
      <c r="BL43" s="55">
        <f t="shared" si="10"/>
        <v>0</v>
      </c>
      <c r="BM43" s="55">
        <f t="shared" si="11"/>
        <v>0</v>
      </c>
      <c r="BN43" s="55">
        <f t="shared" si="12"/>
        <v>0</v>
      </c>
      <c r="BO43" s="55">
        <f t="shared" si="13"/>
        <v>0</v>
      </c>
      <c r="BP43" s="55">
        <f t="shared" si="14"/>
        <v>0</v>
      </c>
      <c r="BQ43" s="55">
        <f t="shared" si="15"/>
        <v>0</v>
      </c>
    </row>
  </sheetData>
  <autoFilter ref="C6:BW43" xr:uid="{00000000-0009-0000-0000-000000000000}"/>
  <mergeCells count="3">
    <mergeCell ref="AL4:AQ4"/>
    <mergeCell ref="AS4:AY4"/>
    <mergeCell ref="D4:AH4"/>
  </mergeCells>
  <conditionalFormatting sqref="C2:C5 C8:C1048576">
    <cfRule type="duplicateValues" dxfId="3" priority="2"/>
  </conditionalFormatting>
  <conditionalFormatting sqref="C6:C833">
    <cfRule type="duplicateValues" dxfId="2" priority="18"/>
  </conditionalFormatting>
  <conditionalFormatting sqref="AS7:AX833">
    <cfRule type="expression" dxfId="1" priority="6">
      <formula>ISBLANK(AS7)</formula>
    </cfRule>
  </conditionalFormatting>
  <conditionalFormatting sqref="BA7:BC833">
    <cfRule type="cellIs" dxfId="0" priority="8" operator="equal">
      <formula>"N/A"</formula>
    </cfRule>
  </conditionalFormatting>
  <dataValidations count="3">
    <dataValidation type="date" allowBlank="1" showInputMessage="1" showErrorMessage="1" sqref="AS7:AT7" xr:uid="{00000000-0002-0000-0000-000000000000}">
      <formula1>43831</formula1>
      <formula2>49674</formula2>
    </dataValidation>
    <dataValidation type="decimal" operator="greaterThanOrEqual" allowBlank="1" showInputMessage="1" showErrorMessage="1" sqref="AU7:AV7" xr:uid="{00000000-0002-0000-0000-000001000000}">
      <formula1>0</formula1>
    </dataValidation>
    <dataValidation type="list" allowBlank="1" showInputMessage="1" showErrorMessage="1" sqref="AW7:AW833" xr:uid="{00000000-0002-0000-0000-000002000000}">
      <formula1>Closing_Probability</formula1>
    </dataValidation>
  </dataValidation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0"/>
  <sheetViews>
    <sheetView workbookViewId="0">
      <selection activeCell="G42" sqref="G42"/>
    </sheetView>
  </sheetViews>
  <sheetFormatPr defaultRowHeight="13.5" x14ac:dyDescent="0.25"/>
  <cols>
    <col min="2" max="2" width="12" bestFit="1" customWidth="1"/>
    <col min="3" max="3" width="11.140625" bestFit="1" customWidth="1"/>
    <col min="4" max="4" width="15.140625" bestFit="1" customWidth="1"/>
  </cols>
  <sheetData>
    <row r="2" spans="2:6" ht="37.25" customHeight="1" x14ac:dyDescent="0.25">
      <c r="B2" s="1" t="s">
        <v>0</v>
      </c>
      <c r="C2" s="1" t="s">
        <v>1</v>
      </c>
      <c r="D2" s="3" t="s">
        <v>2</v>
      </c>
      <c r="F2" s="1" t="s">
        <v>3</v>
      </c>
    </row>
    <row r="3" spans="2:6" x14ac:dyDescent="0.25">
      <c r="B3" s="2" t="s">
        <v>4</v>
      </c>
      <c r="C3" s="5">
        <v>0.6</v>
      </c>
      <c r="D3" s="2" t="s">
        <v>5</v>
      </c>
      <c r="F3" s="4">
        <v>0</v>
      </c>
    </row>
    <row r="4" spans="2:6" x14ac:dyDescent="0.25">
      <c r="B4" s="2" t="s">
        <v>6</v>
      </c>
      <c r="C4" s="5">
        <v>0.2</v>
      </c>
      <c r="D4" s="2" t="s">
        <v>7</v>
      </c>
      <c r="F4" s="4">
        <v>0.25</v>
      </c>
    </row>
    <row r="5" spans="2:6" x14ac:dyDescent="0.25">
      <c r="B5" s="2"/>
      <c r="C5" s="2"/>
      <c r="D5" s="2"/>
      <c r="F5" s="6">
        <v>0.35</v>
      </c>
    </row>
    <row r="6" spans="2:6" x14ac:dyDescent="0.25">
      <c r="B6" s="2"/>
      <c r="C6" s="2"/>
      <c r="D6" s="2"/>
      <c r="F6" s="6">
        <v>0.5</v>
      </c>
    </row>
    <row r="7" spans="2:6" x14ac:dyDescent="0.25">
      <c r="B7" s="2"/>
      <c r="C7" s="2"/>
      <c r="D7" s="2"/>
      <c r="F7" s="6">
        <v>0.6</v>
      </c>
    </row>
    <row r="8" spans="2:6" x14ac:dyDescent="0.25">
      <c r="B8" s="2"/>
      <c r="C8" s="2"/>
      <c r="D8" s="2"/>
      <c r="F8" s="6">
        <v>0.75</v>
      </c>
    </row>
    <row r="9" spans="2:6" x14ac:dyDescent="0.25">
      <c r="B9" s="2"/>
      <c r="C9" s="2"/>
      <c r="D9" s="2"/>
      <c r="F9" s="6">
        <v>0.9</v>
      </c>
    </row>
    <row r="10" spans="2:6" x14ac:dyDescent="0.25">
      <c r="F10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Template</vt:lpstr>
      <vt:lpstr>List</vt:lpstr>
      <vt:lpstr>Closing_Probability</vt:lpstr>
      <vt:lpstr>If_OutsideBroker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Stineback</dc:creator>
  <cp:lastModifiedBy>Kaela Montgomery</cp:lastModifiedBy>
  <dcterms:created xsi:type="dcterms:W3CDTF">2024-05-23T03:39:59Z</dcterms:created>
  <dcterms:modified xsi:type="dcterms:W3CDTF">2026-06-15T17:49:45Z</dcterms:modified>
</cp:coreProperties>
</file>