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ikeHwang\Box\Finance\Commissions\Finalized Projects\"/>
    </mc:Choice>
  </mc:AlternateContent>
  <xr:revisionPtr revIDLastSave="0" documentId="8_{2930297E-3A96-48D2-9120-B28C44C4DC9A}" xr6:coauthVersionLast="47" xr6:coauthVersionMax="47" xr10:uidLastSave="{00000000-0000-0000-0000-000000000000}"/>
  <bookViews>
    <workbookView xWindow="51720" yWindow="-120" windowWidth="51840" windowHeight="21120" activeTab="1" xr2:uid="{00000000-000D-0000-FFFF-FFFF00000000}"/>
  </bookViews>
  <sheets>
    <sheet name="Sheet1" sheetId="2" r:id="rId1"/>
    <sheet name="Input Form" sheetId="1" r:id="rId2"/>
  </sheets>
  <definedNames>
    <definedName name="_xlnm._FilterDatabase" localSheetId="1" hidden="1">'Input Form'!#REF!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J30" i="1"/>
  <c r="D22" i="1"/>
  <c r="D25" i="1" l="1"/>
  <c r="C49" i="1" l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K8" i="1"/>
  <c r="D27" i="1" l="1"/>
  <c r="G29" i="1" l="1"/>
  <c r="C30" i="1"/>
  <c r="D30" i="1" s="1"/>
  <c r="B29" i="1"/>
  <c r="C29" i="1"/>
  <c r="D29" i="1"/>
  <c r="P22" i="1" l="1"/>
  <c r="O22" i="1"/>
  <c r="G23" i="1" l="1"/>
  <c r="H25" i="1" l="1"/>
  <c r="D32" i="1"/>
  <c r="D31" i="1"/>
  <c r="G49" i="1" l="1"/>
  <c r="G41" i="1"/>
  <c r="G33" i="1"/>
  <c r="G48" i="1"/>
  <c r="G40" i="1"/>
  <c r="G32" i="1"/>
  <c r="G47" i="1"/>
  <c r="G39" i="1"/>
  <c r="G46" i="1"/>
  <c r="G38" i="1"/>
  <c r="G30" i="1"/>
  <c r="G45" i="1"/>
  <c r="G37" i="1"/>
  <c r="G44" i="1"/>
  <c r="G36" i="1"/>
  <c r="G43" i="1"/>
  <c r="G35" i="1"/>
  <c r="G34" i="1"/>
  <c r="G31" i="1"/>
  <c r="G42" i="1"/>
  <c r="E49" i="1"/>
  <c r="D49" i="1"/>
  <c r="E48" i="1"/>
  <c r="E47" i="1"/>
  <c r="E46" i="1"/>
  <c r="D46" i="1"/>
  <c r="E45" i="1"/>
  <c r="D45" i="1"/>
  <c r="E44" i="1"/>
  <c r="E43" i="1"/>
  <c r="D43" i="1"/>
  <c r="E42" i="1"/>
  <c r="D42" i="1"/>
  <c r="E41" i="1"/>
  <c r="D41" i="1"/>
  <c r="E40" i="1"/>
  <c r="E39" i="1"/>
  <c r="E38" i="1"/>
  <c r="D38" i="1"/>
  <c r="E37" i="1"/>
  <c r="D37" i="1"/>
  <c r="E36" i="1"/>
  <c r="E35" i="1"/>
  <c r="D35" i="1"/>
  <c r="E34" i="1"/>
  <c r="D34" i="1"/>
  <c r="E33" i="1"/>
  <c r="D33" i="1"/>
  <c r="E32" i="1"/>
  <c r="J32" i="1" s="1"/>
  <c r="E31" i="1"/>
  <c r="J31" i="1" s="1"/>
  <c r="J38" i="1" l="1"/>
  <c r="J42" i="1"/>
  <c r="J46" i="1"/>
  <c r="J37" i="1"/>
  <c r="J41" i="1"/>
  <c r="J34" i="1"/>
  <c r="J45" i="1"/>
  <c r="J49" i="1"/>
  <c r="J33" i="1"/>
  <c r="J43" i="1"/>
  <c r="J35" i="1"/>
  <c r="D39" i="1"/>
  <c r="J39" i="1" s="1"/>
  <c r="D47" i="1"/>
  <c r="J47" i="1" s="1"/>
  <c r="D36" i="1"/>
  <c r="J36" i="1" s="1"/>
  <c r="D40" i="1"/>
  <c r="J40" i="1" s="1"/>
  <c r="D44" i="1"/>
  <c r="J44" i="1" s="1"/>
  <c r="D48" i="1"/>
  <c r="J48" i="1" s="1"/>
  <c r="J50" i="1" l="1"/>
  <c r="E22" i="1" s="1"/>
  <c r="E24" i="1" s="1"/>
  <c r="D50" i="1"/>
  <c r="E25" i="1" l="1"/>
  <c r="G25" i="1"/>
  <c r="E26" i="1"/>
  <c r="E23" i="1"/>
  <c r="N21" i="1"/>
  <c r="N20" i="1"/>
  <c r="E27" i="1" l="1"/>
  <c r="N22" i="1"/>
  <c r="P6" i="1" l="1"/>
  <c r="O12" i="1"/>
  <c r="P12" i="1" s="1"/>
  <c r="O7" i="1" l="1"/>
  <c r="P7" i="1" s="1"/>
  <c r="O10" i="1"/>
  <c r="P10" i="1" s="1"/>
  <c r="O8" i="1"/>
  <c r="P8" i="1"/>
  <c r="O9" i="1"/>
  <c r="P9" i="1"/>
  <c r="O11" i="1"/>
  <c r="P11" i="1"/>
  <c r="P14" i="1" s="1"/>
  <c r="O13" i="1"/>
  <c r="P13" i="1"/>
  <c r="O14" i="1" l="1"/>
</calcChain>
</file>

<file path=xl/sharedStrings.xml><?xml version="1.0" encoding="utf-8"?>
<sst xmlns="http://schemas.openxmlformats.org/spreadsheetml/2006/main" count="365" uniqueCount="334">
  <si>
    <t>Site Code</t>
  </si>
  <si>
    <t>EXE Date</t>
  </si>
  <si>
    <t>Local Broker Invoices</t>
  </si>
  <si>
    <t>State</t>
  </si>
  <si>
    <t>Building Type</t>
  </si>
  <si>
    <t>KBC Broker</t>
  </si>
  <si>
    <t>Deal Type</t>
  </si>
  <si>
    <t>Amazon Rebate</t>
  </si>
  <si>
    <t>Street Address</t>
  </si>
  <si>
    <t>Alabama</t>
  </si>
  <si>
    <t>AR Sortable</t>
  </si>
  <si>
    <t>Lease</t>
  </si>
  <si>
    <t>Yes</t>
  </si>
  <si>
    <t>Bode</t>
  </si>
  <si>
    <t>City</t>
  </si>
  <si>
    <t>KBC Invoices</t>
  </si>
  <si>
    <t>Alaska</t>
  </si>
  <si>
    <t>Traditional Non-sort</t>
  </si>
  <si>
    <t>No</t>
  </si>
  <si>
    <t>Hanson</t>
  </si>
  <si>
    <t>Arizona</t>
  </si>
  <si>
    <t>Arkansas</t>
  </si>
  <si>
    <t>MDS</t>
  </si>
  <si>
    <t>Parking Lot</t>
  </si>
  <si>
    <t>MacMillan</t>
  </si>
  <si>
    <t>Buyer/Tenant</t>
  </si>
  <si>
    <t>California</t>
  </si>
  <si>
    <t>Traditional Sortable</t>
  </si>
  <si>
    <t>Madayag</t>
  </si>
  <si>
    <t>Colorado</t>
  </si>
  <si>
    <t>Receive Center</t>
  </si>
  <si>
    <t>Building Purchase</t>
  </si>
  <si>
    <t>Meldahl</t>
  </si>
  <si>
    <t xml:space="preserve">Bill To: </t>
  </si>
  <si>
    <t>Fee Breakdown</t>
  </si>
  <si>
    <t>Connecticut</t>
  </si>
  <si>
    <t>Returns</t>
  </si>
  <si>
    <t>O'Brien</t>
  </si>
  <si>
    <t>Amazon Rebate?</t>
  </si>
  <si>
    <t>Delaware</t>
  </si>
  <si>
    <t>Uno</t>
  </si>
  <si>
    <t>Roeser</t>
  </si>
  <si>
    <t>Brokerage Cap</t>
  </si>
  <si>
    <t>Florida</t>
  </si>
  <si>
    <t>SnL</t>
  </si>
  <si>
    <t>Temkin</t>
  </si>
  <si>
    <t>Georgia</t>
  </si>
  <si>
    <t>3PL</t>
  </si>
  <si>
    <t>McCoy</t>
  </si>
  <si>
    <t>Trees</t>
  </si>
  <si>
    <t>TOTAL</t>
  </si>
  <si>
    <t>Hawaii</t>
  </si>
  <si>
    <t>Amazon Air</t>
  </si>
  <si>
    <t>Idaho</t>
  </si>
  <si>
    <t>Fulfillment Center</t>
  </si>
  <si>
    <t>Illinois</t>
  </si>
  <si>
    <t>Trailer Parking Lot</t>
  </si>
  <si>
    <t>Mota</t>
  </si>
  <si>
    <t>Rate:</t>
  </si>
  <si>
    <t>Commission</t>
  </si>
  <si>
    <t>Indiana</t>
  </si>
  <si>
    <t>Auto Parking Lot</t>
  </si>
  <si>
    <t>Iowa</t>
  </si>
  <si>
    <t>DSP Parking Lot</t>
  </si>
  <si>
    <t>Kansas</t>
  </si>
  <si>
    <t>AMZL Special Handling</t>
  </si>
  <si>
    <t>Sundet</t>
  </si>
  <si>
    <t>Kentucky</t>
  </si>
  <si>
    <t>Fresh</t>
  </si>
  <si>
    <t>Tam Sing</t>
  </si>
  <si>
    <t>Louisiana</t>
  </si>
  <si>
    <t>AR Non Sortable</t>
  </si>
  <si>
    <t>SCREENSHOT OF COMMISSION AGREEMENT TERMS SECTION</t>
  </si>
  <si>
    <t>Maine</t>
  </si>
  <si>
    <t>Prime Now</t>
  </si>
  <si>
    <t>Maryland</t>
  </si>
  <si>
    <t>Supplemental FC</t>
  </si>
  <si>
    <t>Massachusetts</t>
  </si>
  <si>
    <t>Customer Service</t>
  </si>
  <si>
    <t>Waltier</t>
  </si>
  <si>
    <t>Michigan</t>
  </si>
  <si>
    <t>Special Handling</t>
  </si>
  <si>
    <t>Minnesota</t>
  </si>
  <si>
    <t>Apparel</t>
  </si>
  <si>
    <t>Mississippi</t>
  </si>
  <si>
    <t>Books</t>
  </si>
  <si>
    <t>Missouri</t>
  </si>
  <si>
    <t>Zappos</t>
  </si>
  <si>
    <t>Montana</t>
  </si>
  <si>
    <t>Shoes</t>
  </si>
  <si>
    <t>Nebraska</t>
  </si>
  <si>
    <t>Data Center</t>
  </si>
  <si>
    <t>Nevada</t>
  </si>
  <si>
    <t>Fresh Pickup</t>
  </si>
  <si>
    <t>New Hampshire</t>
  </si>
  <si>
    <t>Local</t>
  </si>
  <si>
    <t>New Jersey</t>
  </si>
  <si>
    <t>Make on Demand</t>
  </si>
  <si>
    <t>New Mexico</t>
  </si>
  <si>
    <t>Mixed</t>
  </si>
  <si>
    <t>SCREENSHOT OF SUBAGENCY AGREEMENT TERMS SECTION</t>
  </si>
  <si>
    <t>New York</t>
  </si>
  <si>
    <t>Pantry</t>
  </si>
  <si>
    <t>North Carolina</t>
  </si>
  <si>
    <t>Treasure Truck</t>
  </si>
  <si>
    <t>North Dakota</t>
  </si>
  <si>
    <t>Quidsi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</si>
  <si>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</si>
  <si>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</si>
  <si>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</si>
  <si>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</si>
  <si>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</si>
  <si>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</si>
  <si>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</si>
  <si>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</si>
  <si>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</si>
  <si>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</si>
  <si>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</si>
  <si>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</si>
  <si>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</si>
  <si>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</si>
  <si>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</si>
  <si>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</si>
  <si>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Canada-BC</t>
  </si>
  <si>
    <t>Canada-ON</t>
  </si>
  <si>
    <t>Canada-QC</t>
  </si>
  <si>
    <t>Mexico</t>
  </si>
  <si>
    <t>Costa Rica</t>
  </si>
  <si>
    <t>Brazil</t>
  </si>
  <si>
    <t>AMZL Delivery Station</t>
  </si>
  <si>
    <t>Sort Center</t>
  </si>
  <si>
    <t>Type Firm (i.e. CBRE, C&amp;W, etc)</t>
  </si>
  <si>
    <t>Select from Dropdown</t>
  </si>
  <si>
    <t>LL</t>
  </si>
  <si>
    <t>KBC</t>
  </si>
  <si>
    <t># of Free Months</t>
  </si>
  <si>
    <t>Annual Rent Increase (%)</t>
  </si>
  <si>
    <t>Lease Term (Months)</t>
  </si>
  <si>
    <t>Local Broker Cap</t>
  </si>
  <si>
    <t>NA</t>
  </si>
  <si>
    <t>Listing Broker</t>
  </si>
  <si>
    <t xml:space="preserve">SCREENSHOT OF LEASE RENT TABLE/PURCHASE PRICE </t>
  </si>
  <si>
    <t>Aust</t>
  </si>
  <si>
    <t>Billipp</t>
  </si>
  <si>
    <t>Blattner</t>
  </si>
  <si>
    <t>Keiser</t>
  </si>
  <si>
    <t>Mahmood</t>
  </si>
  <si>
    <t>Tanner</t>
  </si>
  <si>
    <t>Tuck</t>
  </si>
  <si>
    <t>Mulford</t>
  </si>
  <si>
    <t>Amendment</t>
  </si>
  <si>
    <t>Square Footage</t>
  </si>
  <si>
    <t>McWilliams</t>
  </si>
  <si>
    <t>Mills</t>
  </si>
  <si>
    <t>Bos</t>
  </si>
  <si>
    <t>Escobar</t>
  </si>
  <si>
    <t>Flanigan</t>
  </si>
  <si>
    <t>Peabody</t>
  </si>
  <si>
    <t>IXD</t>
  </si>
  <si>
    <t>Australia</t>
  </si>
  <si>
    <t>Vieser</t>
  </si>
  <si>
    <t>Wagon Wheel</t>
  </si>
  <si>
    <t>Sub Same Day FC</t>
  </si>
  <si>
    <t>XLFC</t>
  </si>
  <si>
    <t>Creme</t>
  </si>
  <si>
    <t>Fulk</t>
  </si>
  <si>
    <t>Goldman</t>
  </si>
  <si>
    <t>Hobart</t>
  </si>
  <si>
    <t>Jaggars</t>
  </si>
  <si>
    <t>Kimmel</t>
  </si>
  <si>
    <t>Petrella</t>
  </si>
  <si>
    <t>Siemsen</t>
  </si>
  <si>
    <t>1st Half Due Date</t>
  </si>
  <si>
    <t>2nd Half Due Date</t>
  </si>
  <si>
    <t>Leave blank if only 1 payment</t>
  </si>
  <si>
    <t>If blank, will use 15 days from invoiced date</t>
  </si>
  <si>
    <t>Damaschino</t>
  </si>
  <si>
    <t>English</t>
  </si>
  <si>
    <t>Higgins</t>
  </si>
  <si>
    <t>Jones</t>
  </si>
  <si>
    <t>O'Leary</t>
  </si>
  <si>
    <t>Seller/Landlord</t>
  </si>
  <si>
    <t>Roy - Mike</t>
  </si>
  <si>
    <t>Skillestad</t>
  </si>
  <si>
    <t>Roy - Andrea</t>
  </si>
  <si>
    <t>Patsch</t>
  </si>
  <si>
    <t>Vacca</t>
  </si>
  <si>
    <t>Hilger</t>
  </si>
  <si>
    <t>Freret</t>
  </si>
  <si>
    <t>Kariba</t>
  </si>
  <si>
    <t>Garton</t>
  </si>
  <si>
    <t>Kirkham</t>
  </si>
  <si>
    <t>Daschbach</t>
  </si>
  <si>
    <t>Blasingame</t>
  </si>
  <si>
    <t>Green</t>
  </si>
  <si>
    <t>Kennick</t>
  </si>
  <si>
    <t>Harrison</t>
  </si>
  <si>
    <t>Fischer</t>
  </si>
  <si>
    <t>Waters</t>
  </si>
  <si>
    <t>Kelly</t>
  </si>
  <si>
    <t>Carney</t>
  </si>
  <si>
    <t>Raymond</t>
  </si>
  <si>
    <t>Stephan</t>
  </si>
  <si>
    <t>Scherer</t>
  </si>
  <si>
    <t>Please send this commission calculation and other commission documents to commissions@kbcadvisors.com!</t>
  </si>
  <si>
    <t>Alexander</t>
  </si>
  <si>
    <t>Berberoglu</t>
  </si>
  <si>
    <t>Bost</t>
  </si>
  <si>
    <t>Broom</t>
  </si>
  <si>
    <t>Dellovade</t>
  </si>
  <si>
    <t>Derby</t>
  </si>
  <si>
    <t>Dougherty</t>
  </si>
  <si>
    <t>Hall</t>
  </si>
  <si>
    <t>Hoobler</t>
  </si>
  <si>
    <t>Lawrence</t>
  </si>
  <si>
    <t>Lewis</t>
  </si>
  <si>
    <t>Maddox</t>
  </si>
  <si>
    <t>McGlamery</t>
  </si>
  <si>
    <t>McMahen</t>
  </si>
  <si>
    <t>Nilan</t>
  </si>
  <si>
    <t>Padgett</t>
  </si>
  <si>
    <t>Postweiler</t>
  </si>
  <si>
    <t>Storm</t>
  </si>
  <si>
    <t>Robertson</t>
  </si>
  <si>
    <t>choose to allocate by % or amount</t>
  </si>
  <si>
    <t>%</t>
  </si>
  <si>
    <t>Amount</t>
  </si>
  <si>
    <t>Broker 1</t>
  </si>
  <si>
    <t>Broker 2</t>
  </si>
  <si>
    <t>Broker 3</t>
  </si>
  <si>
    <t>Broker 4</t>
  </si>
  <si>
    <t>Broker 5</t>
  </si>
  <si>
    <t>Broker 6</t>
  </si>
  <si>
    <t>Broker 7</t>
  </si>
  <si>
    <t>Broker 8</t>
  </si>
  <si>
    <t>For BTS Deals, please complete the below table to provide confirmation total fee should not exceed 600k</t>
  </si>
  <si>
    <t>Tenant Dev Consulting Fee</t>
  </si>
  <si>
    <t>Brokerage Commission</t>
  </si>
  <si>
    <t>Total Commission</t>
  </si>
  <si>
    <t>Acquisition Fee</t>
  </si>
  <si>
    <t>Note: Brokerage Commission is capped at 600k</t>
  </si>
  <si>
    <t>Chubb</t>
  </si>
  <si>
    <t>Coulter</t>
  </si>
  <si>
    <t>Siegenthaler</t>
  </si>
  <si>
    <t>Webb</t>
  </si>
  <si>
    <t>Seller/Landlord - Parent Company</t>
  </si>
  <si>
    <t>Buyer/Tenant - Parent Company</t>
  </si>
  <si>
    <t>Zip Code</t>
  </si>
  <si>
    <t>Cooperating Broker</t>
  </si>
  <si>
    <t>Cooperating Broker Client</t>
  </si>
  <si>
    <t>Cooperating Broker Invoices</t>
  </si>
  <si>
    <t>KBC (&amp; Co-Broker) Client</t>
  </si>
  <si>
    <t>Co-Broker</t>
  </si>
  <si>
    <t>TT</t>
  </si>
  <si>
    <t>Client</t>
  </si>
  <si>
    <t>LL/Seller</t>
  </si>
  <si>
    <t>TT/Buyer</t>
  </si>
  <si>
    <t>Invoicing Office</t>
  </si>
  <si>
    <t>Invoicing Office/KBC Office</t>
  </si>
  <si>
    <t>KBC Advisors LLC</t>
  </si>
  <si>
    <t>KBC Arizona</t>
  </si>
  <si>
    <t>KBC Austin</t>
  </si>
  <si>
    <t>KBC California</t>
  </si>
  <si>
    <t>KBC Capital Markets</t>
  </si>
  <si>
    <t>KBC Georgia</t>
  </si>
  <si>
    <t>KBC Illinois</t>
  </si>
  <si>
    <t>KBC New Jersey</t>
  </si>
  <si>
    <t>KBC New York</t>
  </si>
  <si>
    <t>KBC NorCal</t>
  </si>
  <si>
    <t>KBC Pennsylvania</t>
  </si>
  <si>
    <t>KBC Tennessee</t>
  </si>
  <si>
    <t>KBC Texas</t>
  </si>
  <si>
    <t>KBC Washington</t>
  </si>
  <si>
    <t>KBC Advisors Services LLC</t>
  </si>
  <si>
    <t>Country</t>
  </si>
  <si>
    <t>USA</t>
  </si>
  <si>
    <t>Canada</t>
  </si>
  <si>
    <t>Philippines</t>
  </si>
  <si>
    <t>Colombia</t>
  </si>
  <si>
    <t>Singapore</t>
  </si>
  <si>
    <t>KBC Lead Broker</t>
  </si>
  <si>
    <t>KBC Houston TX</t>
  </si>
  <si>
    <t>CM Fee</t>
  </si>
  <si>
    <t>BTS - Land</t>
  </si>
  <si>
    <t>BTS - Consulting</t>
  </si>
  <si>
    <t>Land (Non-BTS)</t>
  </si>
  <si>
    <t>Idle Asset - Termination</t>
  </si>
  <si>
    <t>Idle Asset - Sublease</t>
  </si>
  <si>
    <t>KBC Ohio</t>
  </si>
  <si>
    <t>Adey</t>
  </si>
  <si>
    <t>Autenreith</t>
  </si>
  <si>
    <t>Balke</t>
  </si>
  <si>
    <t>Bodlovich</t>
  </si>
  <si>
    <t>Butler</t>
  </si>
  <si>
    <t>Caccavo</t>
  </si>
  <si>
    <t>Carpenter</t>
  </si>
  <si>
    <t>Colantuono</t>
  </si>
  <si>
    <t>Hunter</t>
  </si>
  <si>
    <t>Jones - Gray</t>
  </si>
  <si>
    <t>Jones - Maggie</t>
  </si>
  <si>
    <t>Kimener</t>
  </si>
  <si>
    <t>Kuller</t>
  </si>
  <si>
    <t>LeFevere</t>
  </si>
  <si>
    <t>Lydon</t>
  </si>
  <si>
    <t>Perry</t>
  </si>
  <si>
    <t>Rayburn</t>
  </si>
  <si>
    <t>Reid</t>
  </si>
  <si>
    <t>Ridenour</t>
  </si>
  <si>
    <t>Roberts</t>
  </si>
  <si>
    <t>Schuster</t>
  </si>
  <si>
    <t>Schweiker</t>
  </si>
  <si>
    <t>Shirley</t>
  </si>
  <si>
    <t>Steffen</t>
  </si>
  <si>
    <t>Stewart</t>
  </si>
  <si>
    <t>Taggart</t>
  </si>
  <si>
    <t>Thompson</t>
  </si>
  <si>
    <t>Enter Execution Date</t>
  </si>
  <si>
    <t>If applicable</t>
  </si>
  <si>
    <t>Starting Date</t>
  </si>
  <si>
    <t>Webster</t>
  </si>
  <si>
    <t>Wood - Matt</t>
  </si>
  <si>
    <t>Wood - Thomas</t>
  </si>
  <si>
    <t>Zerbe</t>
  </si>
  <si>
    <t>KBC Midland</t>
  </si>
  <si>
    <t>KBC Local Office</t>
  </si>
  <si>
    <t>KBC Local Broker Invoices</t>
  </si>
  <si>
    <t>Non-KBC Local Broker Company</t>
  </si>
  <si>
    <t>KBC Local Broker Office</t>
  </si>
  <si>
    <t>Non-KBC Local Broker Fee</t>
  </si>
  <si>
    <t>Non-KBC Local Broker Invoices</t>
  </si>
  <si>
    <t>Property Size in Acreage</t>
  </si>
  <si>
    <t>Hartzer</t>
  </si>
  <si>
    <t>KBC Advisors</t>
  </si>
  <si>
    <t>Non-KBC Local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</si>
</sst>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B3E42"/>
        <bgColor indexed="64"/>
      </patternFill>
    </fill>
    <fill>
      <patternFill patternType="solid">
        <fgColor rgb="FFD1D3D4"/>
        <bgColor indexed="64"/>
      </patternFill>
    </fill>
    <fill>
      <patternFill patternType="solid">
        <fgColor rgb="FFD1D3D4"/>
        <bgColor rgb="FF0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0" fontId="2" fillId="0" borderId="0" xfId="0" applyFont="1"/>
    <xf numFmtId="44" fontId="0" fillId="0" borderId="0" xfId="2" applyFont="1"/>
    <xf numFmtId="0" fontId="6" fillId="0" borderId="0" xfId="0" applyFont="1" applyAlignment="1">
      <alignment horizontal="center" vertical="center"/>
    </xf>
    <xf numFmtId="0" fontId="5" fillId="0" borderId="0" xfId="0" applyFont="1"/>
    <xf numFmtId="44" fontId="5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1" applyNumberFormat="1" applyFont="1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44" fontId="0" fillId="0" borderId="16" xfId="0" applyNumberFormat="1" applyBorder="1" applyAlignment="1">
      <alignment horizontal="center"/>
    </xf>
    <xf numFmtId="44" fontId="0" fillId="0" borderId="0" xfId="0" applyNumberFormat="1"/>
    <xf numFmtId="0" fontId="0" fillId="0" borderId="17" xfId="0" applyBorder="1" applyAlignment="1">
      <alignment horizontal="center"/>
    </xf>
    <xf numFmtId="44" fontId="0" fillId="0" borderId="17" xfId="0" applyNumberFormat="1" applyBorder="1" applyAlignment="1">
      <alignment horizontal="center"/>
    </xf>
    <xf numFmtId="44" fontId="2" fillId="0" borderId="0" xfId="2" applyFont="1"/>
    <xf numFmtId="44" fontId="0" fillId="0" borderId="21" xfId="0" applyNumberFormat="1" applyBorder="1"/>
    <xf numFmtId="0" fontId="7" fillId="0" borderId="0" xfId="0" applyFo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1" applyNumberFormat="1" applyFont="1" applyBorder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2" fillId="0" borderId="24" xfId="0" applyFont="1" applyBorder="1"/>
    <xf numFmtId="0" fontId="14" fillId="0" borderId="0" xfId="0" applyFont="1" applyAlignment="1">
      <alignment horizontal="center"/>
    </xf>
    <xf numFmtId="10" fontId="0" fillId="0" borderId="0" xfId="3" applyNumberFormat="1" applyFont="1"/>
    <xf numFmtId="0" fontId="15" fillId="0" borderId="0" xfId="0" applyFont="1"/>
    <xf numFmtId="0" fontId="16" fillId="0" borderId="0" xfId="0" applyFont="1"/>
    <xf numFmtId="0" fontId="3" fillId="3" borderId="1" xfId="0" applyFont="1" applyFill="1" applyBorder="1"/>
    <xf numFmtId="0" fontId="3" fillId="3" borderId="3" xfId="0" applyFont="1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23" xfId="0" applyFont="1" applyFill="1" applyBorder="1"/>
    <xf numFmtId="0" fontId="3" fillId="3" borderId="8" xfId="0" applyFont="1" applyFill="1" applyBorder="1"/>
    <xf numFmtId="0" fontId="7" fillId="3" borderId="5" xfId="0" applyFont="1" applyFill="1" applyBorder="1"/>
    <xf numFmtId="0" fontId="2" fillId="4" borderId="4" xfId="0" applyFont="1" applyFill="1" applyBorder="1"/>
    <xf numFmtId="0" fontId="2" fillId="4" borderId="7" xfId="0" applyFont="1" applyFill="1" applyBorder="1"/>
    <xf numFmtId="44" fontId="17" fillId="4" borderId="1" xfId="2" applyFont="1" applyFill="1" applyBorder="1" applyAlignment="1">
      <alignment horizontal="center"/>
    </xf>
    <xf numFmtId="0" fontId="17" fillId="4" borderId="18" xfId="0" applyFont="1" applyFill="1" applyBorder="1" applyAlignment="1">
      <alignment horizontal="center"/>
    </xf>
    <xf numFmtId="44" fontId="17" fillId="4" borderId="18" xfId="2" applyFont="1" applyFill="1" applyBorder="1" applyAlignment="1">
      <alignment horizontal="center"/>
    </xf>
    <xf numFmtId="44" fontId="17" fillId="4" borderId="3" xfId="2" applyFont="1" applyFill="1" applyBorder="1" applyAlignment="1">
      <alignment horizontal="center"/>
    </xf>
    <xf numFmtId="0" fontId="17" fillId="4" borderId="19" xfId="0" applyFont="1" applyFill="1" applyBorder="1" applyAlignment="1">
      <alignment horizontal="center"/>
    </xf>
    <xf numFmtId="44" fontId="17" fillId="4" borderId="19" xfId="2" applyFont="1" applyFill="1" applyBorder="1" applyAlignment="1">
      <alignment horizontal="center"/>
    </xf>
    <xf numFmtId="44" fontId="17" fillId="4" borderId="6" xfId="2" applyFont="1" applyFill="1" applyBorder="1" applyAlignment="1">
      <alignment horizontal="center"/>
    </xf>
    <xf numFmtId="44" fontId="17" fillId="4" borderId="20" xfId="2" applyFont="1" applyFill="1" applyBorder="1" applyAlignment="1">
      <alignment horizontal="center"/>
    </xf>
    <xf numFmtId="10" fontId="2" fillId="4" borderId="2" xfId="0" applyNumberFormat="1" applyFont="1" applyFill="1" applyBorder="1"/>
    <xf numFmtId="14" fontId="2" fillId="4" borderId="2" xfId="0" applyNumberFormat="1" applyFont="1" applyFill="1" applyBorder="1"/>
    <xf numFmtId="14" fontId="2" fillId="4" borderId="7" xfId="0" applyNumberFormat="1" applyFont="1" applyFill="1" applyBorder="1"/>
    <xf numFmtId="10" fontId="2" fillId="4" borderId="18" xfId="3" applyNumberFormat="1" applyFont="1" applyFill="1" applyBorder="1"/>
    <xf numFmtId="10" fontId="2" fillId="4" borderId="19" xfId="3" applyNumberFormat="1" applyFont="1" applyFill="1" applyBorder="1"/>
    <xf numFmtId="10" fontId="2" fillId="4" borderId="20" xfId="3" applyNumberFormat="1" applyFont="1" applyFill="1" applyBorder="1"/>
    <xf numFmtId="44" fontId="2" fillId="4" borderId="25" xfId="2" applyFont="1" applyFill="1" applyBorder="1"/>
    <xf numFmtId="44" fontId="2" fillId="4" borderId="26" xfId="2" applyFont="1" applyFill="1" applyBorder="1"/>
    <xf numFmtId="44" fontId="16" fillId="5" borderId="28" xfId="2" applyFont="1" applyFill="1" applyBorder="1"/>
    <xf numFmtId="44" fontId="16" fillId="5" borderId="29" xfId="2" applyFont="1" applyFill="1" applyBorder="1"/>
    <xf numFmtId="44" fontId="16" fillId="5" borderId="13" xfId="2" applyFont="1" applyFill="1" applyBorder="1"/>
    <xf numFmtId="44" fontId="16" fillId="5" borderId="27" xfId="2" applyFont="1" applyFill="1" applyBorder="1"/>
    <xf numFmtId="44" fontId="16" fillId="5" borderId="20" xfId="2" applyFont="1" applyFill="1" applyBorder="1"/>
    <xf numFmtId="44" fontId="16" fillId="5" borderId="7" xfId="2" applyFont="1" applyFill="1" applyBorder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3" fillId="3" borderId="31" xfId="0" applyFont="1" applyFill="1" applyBorder="1"/>
    <xf numFmtId="0" fontId="2" fillId="4" borderId="22" xfId="0" applyFont="1" applyFill="1" applyBorder="1"/>
    <xf numFmtId="0" fontId="2" fillId="0" borderId="32" xfId="0" applyFont="1" applyBorder="1" applyAlignment="1">
      <alignment horizontal="left"/>
    </xf>
    <xf numFmtId="0" fontId="7" fillId="3" borderId="32" xfId="0" applyFont="1" applyFill="1" applyBorder="1"/>
    <xf numFmtId="0" fontId="8" fillId="3" borderId="31" xfId="0" applyFont="1" applyFill="1" applyBorder="1"/>
    <xf numFmtId="0" fontId="2" fillId="0" borderId="32" xfId="0" applyFont="1" applyBorder="1"/>
    <xf numFmtId="0" fontId="2" fillId="0" borderId="30" xfId="0" applyFont="1" applyBorder="1"/>
    <xf numFmtId="0" fontId="2" fillId="0" borderId="30" xfId="0" applyFont="1" applyBorder="1" applyAlignment="1">
      <alignment horizontal="left"/>
    </xf>
    <xf numFmtId="0" fontId="2" fillId="6" borderId="33" xfId="0" applyFont="1" applyFill="1" applyBorder="1"/>
    <xf numFmtId="0" fontId="2" fillId="0" borderId="33" xfId="0" applyFont="1" applyBorder="1"/>
    <xf numFmtId="0" fontId="2" fillId="6" borderId="34" xfId="0" applyFont="1" applyFill="1" applyBorder="1"/>
    <xf numFmtId="165" fontId="17" fillId="4" borderId="2" xfId="3" applyNumberFormat="1" applyFont="1" applyFill="1" applyBorder="1" applyAlignment="1">
      <alignment horizontal="center"/>
    </xf>
    <xf numFmtId="165" fontId="17" fillId="4" borderId="4" xfId="3" applyNumberFormat="1" applyFont="1" applyFill="1" applyBorder="1" applyAlignment="1">
      <alignment horizontal="center"/>
    </xf>
    <xf numFmtId="165" fontId="17" fillId="4" borderId="7" xfId="3" applyNumberFormat="1" applyFont="1" applyFill="1" applyBorder="1" applyAlignment="1">
      <alignment horizontal="center"/>
    </xf>
    <xf numFmtId="0" fontId="19" fillId="0" borderId="0" xfId="0" applyFont="1"/>
    <xf numFmtId="0" fontId="2" fillId="0" borderId="34" xfId="0" applyFont="1" applyBorder="1"/>
    <xf numFmtId="44" fontId="6" fillId="0" borderId="0" xfId="2" applyFont="1" applyFill="1" applyBorder="1" applyAlignment="1">
      <alignment vertical="center"/>
    </xf>
    <xf numFmtId="0" fontId="3" fillId="3" borderId="35" xfId="0" applyFont="1" applyFill="1" applyBorder="1" applyAlignment="1">
      <alignment horizontal="left"/>
    </xf>
    <xf numFmtId="0" fontId="17" fillId="4" borderId="15" xfId="0" applyFont="1" applyFill="1" applyBorder="1"/>
    <xf numFmtId="0" fontId="17" fillId="4" borderId="36" xfId="0" applyFont="1" applyFill="1" applyBorder="1"/>
    <xf numFmtId="10" fontId="17" fillId="4" borderId="19" xfId="3" applyNumberFormat="1" applyFont="1" applyFill="1" applyBorder="1" applyAlignment="1">
      <alignment horizontal="center"/>
    </xf>
    <xf numFmtId="44" fontId="2" fillId="0" borderId="2" xfId="2" applyFont="1" applyBorder="1" applyAlignment="1"/>
    <xf numFmtId="44" fontId="2" fillId="0" borderId="4" xfId="2" applyFont="1" applyBorder="1" applyAlignment="1"/>
    <xf numFmtId="10" fontId="17" fillId="4" borderId="20" xfId="3" applyNumberFormat="1" applyFont="1" applyFill="1" applyBorder="1" applyAlignment="1">
      <alignment horizontal="center"/>
    </xf>
    <xf numFmtId="44" fontId="2" fillId="0" borderId="7" xfId="2" applyFont="1" applyBorder="1" applyAlignment="1"/>
    <xf numFmtId="0" fontId="20" fillId="0" borderId="0" xfId="0" applyFont="1"/>
    <xf numFmtId="44" fontId="21" fillId="0" borderId="0" xfId="2" applyFont="1"/>
    <xf numFmtId="0" fontId="2" fillId="7" borderId="4" xfId="0" applyFont="1" applyFill="1" applyBorder="1"/>
    <xf numFmtId="10" fontId="5" fillId="0" borderId="0" xfId="0" applyNumberFormat="1" applyFont="1" applyAlignment="1">
      <alignment horizontal="center"/>
    </xf>
    <xf numFmtId="44" fontId="6" fillId="2" borderId="0" xfId="2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4" fontId="22" fillId="4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2" fillId="0" borderId="32" xfId="4" applyFont="1" applyBorder="1" applyAlignment="1">
      <alignment horizontal="left"/>
    </xf>
    <xf numFmtId="0" fontId="3" fillId="0" borderId="0" xfId="0" applyFont="1"/>
    <xf numFmtId="44" fontId="2" fillId="0" borderId="0" xfId="2" applyFont="1" applyFill="1" applyBorder="1"/>
    <xf numFmtId="44" fontId="2" fillId="4" borderId="22" xfId="0" applyNumberFormat="1" applyFont="1" applyFill="1" applyBorder="1"/>
    <xf numFmtId="10" fontId="17" fillId="4" borderId="39" xfId="3" applyNumberFormat="1" applyFont="1" applyFill="1" applyBorder="1" applyAlignment="1">
      <alignment horizontal="center"/>
    </xf>
    <xf numFmtId="44" fontId="2" fillId="0" borderId="38" xfId="2" applyFont="1" applyBorder="1" applyAlignment="1"/>
    <xf numFmtId="0" fontId="23" fillId="8" borderId="37" xfId="0" applyFont="1" applyFill="1" applyBorder="1"/>
    <xf numFmtId="0" fontId="23" fillId="8" borderId="1" xfId="0" applyFont="1" applyFill="1" applyBorder="1"/>
    <xf numFmtId="0" fontId="23" fillId="8" borderId="3" xfId="0" applyFont="1" applyFill="1" applyBorder="1"/>
    <xf numFmtId="0" fontId="23" fillId="8" borderId="6" xfId="0" applyFont="1" applyFill="1" applyBorder="1"/>
    <xf numFmtId="10" fontId="23" fillId="4" borderId="19" xfId="3" applyNumberFormat="1" applyFont="1" applyFill="1" applyBorder="1" applyAlignment="1">
      <alignment horizontal="center"/>
    </xf>
    <xf numFmtId="10" fontId="23" fillId="4" borderId="18" xfId="3" applyNumberFormat="1" applyFont="1" applyFill="1" applyBorder="1" applyAlignment="1">
      <alignment horizontal="center"/>
    </xf>
    <xf numFmtId="0" fontId="2" fillId="4" borderId="40" xfId="0" applyFont="1" applyFill="1" applyBorder="1"/>
    <xf numFmtId="0" fontId="2" fillId="4" borderId="13" xfId="0" applyFont="1" applyFill="1" applyBorder="1"/>
    <xf numFmtId="0" fontId="2" fillId="4" borderId="41" xfId="0" applyFont="1" applyFill="1" applyBorder="1"/>
    <xf numFmtId="0" fontId="2" fillId="4" borderId="42" xfId="0" applyFont="1" applyFill="1" applyBorder="1"/>
    <xf numFmtId="164" fontId="2" fillId="4" borderId="43" xfId="1" applyNumberFormat="1" applyFont="1" applyFill="1" applyBorder="1"/>
    <xf numFmtId="0" fontId="3" fillId="3" borderId="44" xfId="0" applyFont="1" applyFill="1" applyBorder="1"/>
    <xf numFmtId="0" fontId="24" fillId="0" borderId="0" xfId="0" applyFont="1"/>
    <xf numFmtId="0" fontId="25" fillId="0" borderId="0" xfId="0" applyFont="1"/>
  </cellXfs>
  <cellStyles count="5">
    <cellStyle name="Comma" xfId="1" builtinId="3"/>
    <cellStyle name="Currency" xfId="2" builtinId="4"/>
    <cellStyle name="Normal" xfId="0" builtinId="0"/>
    <cellStyle name="Normal 2" xfId="4" xr:uid="{D8DF1968-675F-4352-99FA-E76D26B74015}"/>
    <cellStyle name="Percent" xfId="3" builtinId="5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9999"/>
        </patternFill>
      </fill>
    </dxf>
    <dxf>
      <fill>
        <patternFill>
          <bgColor theme="9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2B3E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2B3E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2B3E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top style="thin">
          <color indexed="64"/>
        </top>
        <bottom style="thin">
          <color theme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2B3E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2B3E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indexed="64"/>
        </top>
        <bottom style="thin">
          <color theme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2B3E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2B3E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2B3E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2B3E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2B3E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2B3E42"/>
        </patternFill>
      </fill>
    </dxf>
  </dxfs>
  <tableStyles count="0" defaultTableStyle="TableStyleMedium2" defaultPivotStyle="PivotStyleLight16"/>
  <colors>
    <mruColors>
      <color rgb="FFD1D3D4"/>
      <color rgb="FF2B3E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List_DealType" displayName="List_DealType" ref="AF5:AF14" totalsRowShown="0" headerRowDxfId="65" dataDxfId="63" headerRowBorderDxfId="64">
  <autoFilter ref="AF5:AF14" xr:uid="{00000000-0009-0000-0100-00000A000000}"/>
  <tableColumns count="1">
    <tableColumn id="1" xr3:uid="{00000000-0010-0000-0000-000001000000}" name="Deal Type" dataDxfId="6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List_States" displayName="List_States" ref="AB5:AB62" totalsRowShown="0" headerRowDxfId="61" dataDxfId="59" headerRowBorderDxfId="60">
  <autoFilter ref="AB5:AB62" xr:uid="{00000000-0009-0000-0100-00000B000000}"/>
  <tableColumns count="1">
    <tableColumn id="1" xr3:uid="{00000000-0010-0000-0100-000001000000}" name="State" dataDxfId="58" totalsRowDxfId="5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List_BuildingType" displayName="List_BuildingType" ref="AD5:AD45" totalsRowShown="0" headerRowDxfId="56" dataDxfId="54" headerRowBorderDxfId="55">
  <autoFilter ref="AD5:AD45" xr:uid="{00000000-0009-0000-0100-00000C000000}"/>
  <sortState xmlns:xlrd2="http://schemas.microsoft.com/office/spreadsheetml/2017/richdata2" ref="AD6:AD45">
    <sortCondition ref="AD5:AD45"/>
  </sortState>
  <tableColumns count="1">
    <tableColumn id="1" xr3:uid="{00000000-0010-0000-0200-000001000000}" name="Building Type" dataDxfId="5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List_Brokers" displayName="List_Brokers" ref="AE5:AE123" totalsRowShown="0" headerRowDxfId="52" dataDxfId="50" headerRowBorderDxfId="51">
  <autoFilter ref="AE5:AE123" xr:uid="{00000000-0009-0000-0100-00000D000000}"/>
  <sortState xmlns:xlrd2="http://schemas.microsoft.com/office/spreadsheetml/2017/richdata2" ref="AE6:AE123">
    <sortCondition ref="AE5:AE123"/>
  </sortState>
  <tableColumns count="1">
    <tableColumn id="1" xr3:uid="{00000000-0010-0000-0300-000001000000}" name="KBC Broker" dataDxfId="4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13A99-C303-406B-B320-B04C4C3EA2F3}" name="List_CooperatingBrokerInvoices" displayName="List_CooperatingBrokerInvoices" ref="AJ5:AJ10" totalsRowShown="0" headerRowDxfId="48" dataDxfId="46" headerRowBorderDxfId="47" tableBorderDxfId="45" totalsRowBorderDxfId="44">
  <autoFilter ref="AJ5:AJ10" xr:uid="{09D13A99-C303-406B-B320-B04C4C3EA2F3}"/>
  <tableColumns count="1">
    <tableColumn id="1" xr3:uid="{F5774E17-D286-42FD-ADD1-702DA133FEF1}" name="Cooperating Broker Invoices" dataDxfId="43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D959E8-B3FC-48D3-8CD9-CE433D91CACE}" name="List_AmazonRebate" displayName="List_AmazonRebate" ref="AG5:AG7" totalsRowShown="0" headerRowDxfId="42" headerRowBorderDxfId="41" tableBorderDxfId="40" totalsRowBorderDxfId="39">
  <autoFilter ref="AG5:AG7" xr:uid="{39D959E8-B3FC-48D3-8CD9-CE433D91CACE}"/>
  <tableColumns count="1">
    <tableColumn id="1" xr3:uid="{E7A69AFB-EF91-4E33-93FC-7A499FFAAC1E}" name="Amazon Rebat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8D70FA-FC4F-4163-ACF5-90053A18D06B}" name="List_LocalBrokerInvoices" displayName="List_LocalBrokerInvoices" ref="AH5:AH9" totalsRowShown="0" headerRowDxfId="38" dataDxfId="36" headerRowBorderDxfId="37" tableBorderDxfId="35" totalsRowBorderDxfId="34">
  <autoFilter ref="AH5:AH9" xr:uid="{6E8D70FA-FC4F-4163-ACF5-90053A18D06B}"/>
  <tableColumns count="1">
    <tableColumn id="1" xr3:uid="{228218CA-847C-4FD3-98ED-C071358CB70E}" name="Local Broker Invoices" dataDxfId="33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4EB307-B3E0-4F1D-AAC0-6DC31F00A814}" name="List_KBCInvoices" displayName="List_KBCInvoices" ref="AI5:AI9" totalsRowShown="0" headerRowDxfId="32" headerRowBorderDxfId="31" tableBorderDxfId="30" totalsRowBorderDxfId="29">
  <autoFilter ref="AI5:AI9" xr:uid="{844EB307-B3E0-4F1D-AAC0-6DC31F00A814}"/>
  <tableColumns count="1">
    <tableColumn id="1" xr3:uid="{FE09AC6C-35AB-4748-902A-2B182CD58D00}" name="KBC Invoice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51F98F-E9F0-4630-AE44-AFB86C0BCCA1}" name="List_Client" displayName="List_Client" ref="AK5:AK7" totalsRowShown="0" headerRowDxfId="28" dataDxfId="26" headerRowBorderDxfId="27" tableBorderDxfId="25" totalsRowBorderDxfId="24">
  <autoFilter ref="AK5:AK7" xr:uid="{A651F98F-E9F0-4630-AE44-AFB86C0BCCA1}"/>
  <tableColumns count="1">
    <tableColumn id="1" xr3:uid="{720CC805-38D2-487C-9710-7B1CE5DE144D}" name="Client" dataDxfId="23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AD046D-D998-4247-A39F-6A6E7C13D1C4}" name="List_KBCOffice" displayName="List_KBCOffice" ref="AA5:AA23" totalsRowShown="0" headerRowDxfId="22" dataDxfId="20" headerRowBorderDxfId="21" tableBorderDxfId="19" totalsRowBorderDxfId="18">
  <autoFilter ref="AA5:AA23" xr:uid="{C4AD046D-D998-4247-A39F-6A6E7C13D1C4}"/>
  <sortState xmlns:xlrd2="http://schemas.microsoft.com/office/spreadsheetml/2017/richdata2" ref="AA6:AA23">
    <sortCondition ref="AA5:AA23"/>
  </sortState>
  <tableColumns count="1">
    <tableColumn id="1" xr3:uid="{F27E8DB3-5596-45F4-9F13-6518A8ED97E6}" name="Invoicing Office/KBC Office" dataDxfId="17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30773-0764-4C09-B639-114AF1FAB132}" name="List_Country" displayName="List_Country" ref="AC5:AC14" totalsRowShown="0" headerRowDxfId="16" dataDxfId="14" headerRowBorderDxfId="15" tableBorderDxfId="13" totalsRowBorderDxfId="12">
  <autoFilter ref="AC5:AC14" xr:uid="{FC730773-0764-4C09-B639-114AF1FAB132}"/>
  <tableColumns count="1">
    <tableColumn id="1" xr3:uid="{1247A57C-2C0E-4114-A8E5-F6912ACBEDF2}" name="Country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0015-649E-42DA-9587-6C00FDDEF093}">
  <dimension ref="A1"/>
  <sheetViews>
    <sheetView workbookViewId="0">
      <selection activeCell="Q11" sqref="Q11"/>
    </sheetView>
  </sheetViews>
  <sheetFormatPr defaultRowHeight="14.6" x14ac:dyDescent="0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3"/>
  <sheetViews>
    <sheetView showGridLines="0" tabSelected="1" zoomScaleNormal="100" workbookViewId="0">
      <pane ySplit="4" topLeftCell="A5" activePane="bottomLeft" state="frozen"/>
      <selection pane="bottomLeft" activeCell="L40" sqref="L40"/>
    </sheetView>
  </sheetViews>
  <sheetFormatPr defaultRowHeight="14.6" x14ac:dyDescent="0.4"/>
  <cols>
    <col min="1" max="1" width="6" customWidth="1"/>
    <col min="2" max="2" width="27.53515625" bestFit="1" customWidth="1"/>
    <col min="3" max="3" width="22.53515625" customWidth="1"/>
    <col min="4" max="4" width="26.15234375" bestFit="1" customWidth="1"/>
    <col min="5" max="5" width="23.69140625" bestFit="1" customWidth="1"/>
    <col min="6" max="6" width="2.53515625" customWidth="1"/>
    <col min="7" max="7" width="14.15234375" style="1" customWidth="1"/>
    <col min="8" max="8" width="13.84375" style="2" customWidth="1"/>
    <col min="9" max="9" width="2.84375" style="2" customWidth="1"/>
    <col min="10" max="10" width="25.84375" bestFit="1" customWidth="1"/>
    <col min="11" max="11" width="17" customWidth="1"/>
    <col min="12" max="12" width="30.3828125" bestFit="1" customWidth="1"/>
    <col min="13" max="13" width="21.84375" customWidth="1"/>
    <col min="14" max="16" width="21.3046875" customWidth="1"/>
    <col min="27" max="27" width="23.15234375" bestFit="1" customWidth="1"/>
    <col min="28" max="29" width="13.3828125" style="3" customWidth="1"/>
    <col min="30" max="30" width="19.15234375" style="3" customWidth="1"/>
    <col min="31" max="31" width="11.69140625" style="3" customWidth="1"/>
    <col min="32" max="32" width="18.84375" style="3" bestFit="1" customWidth="1"/>
    <col min="33" max="33" width="15.3828125" customWidth="1"/>
    <col min="34" max="34" width="19.3046875" customWidth="1"/>
    <col min="35" max="35" width="18.3828125" customWidth="1"/>
    <col min="36" max="36" width="24.15234375" bestFit="1" customWidth="1"/>
    <col min="37" max="37" width="15.53515625" customWidth="1"/>
  </cols>
  <sheetData>
    <row r="1" spans="2:37" ht="7" customHeight="1" x14ac:dyDescent="0.4"/>
    <row r="2" spans="2:37" x14ac:dyDescent="0.4">
      <c r="B2" s="85" t="s">
        <v>204</v>
      </c>
    </row>
    <row r="3" spans="2:37" ht="7" customHeight="1" thickBot="1" x14ac:dyDescent="0.45"/>
    <row r="4" spans="2:37" ht="15" thickBot="1" x14ac:dyDescent="0.45">
      <c r="D4" s="40" t="s">
        <v>257</v>
      </c>
      <c r="E4" s="72"/>
      <c r="F4" s="19" t="s">
        <v>132</v>
      </c>
      <c r="J4" s="105"/>
      <c r="K4" s="106"/>
    </row>
    <row r="5" spans="2:37" ht="15" thickBot="1" x14ac:dyDescent="0.45">
      <c r="J5" s="105"/>
      <c r="K5" s="106"/>
      <c r="M5" s="122" t="s">
        <v>224</v>
      </c>
      <c r="N5" s="30" t="s">
        <v>225</v>
      </c>
      <c r="O5" s="30" t="s">
        <v>225</v>
      </c>
      <c r="P5" s="30" t="s">
        <v>226</v>
      </c>
      <c r="AA5" s="71" t="s">
        <v>258</v>
      </c>
      <c r="AB5" s="74" t="s">
        <v>3</v>
      </c>
      <c r="AC5" s="75" t="s">
        <v>274</v>
      </c>
      <c r="AD5" s="42" t="s">
        <v>4</v>
      </c>
      <c r="AE5" s="42" t="s">
        <v>5</v>
      </c>
      <c r="AF5" s="42" t="s">
        <v>6</v>
      </c>
      <c r="AG5" s="71" t="s">
        <v>7</v>
      </c>
      <c r="AH5" s="71" t="s">
        <v>2</v>
      </c>
      <c r="AI5" s="71" t="s">
        <v>15</v>
      </c>
      <c r="AJ5" s="71" t="s">
        <v>250</v>
      </c>
      <c r="AK5" s="71" t="s">
        <v>254</v>
      </c>
    </row>
    <row r="6" spans="2:37" x14ac:dyDescent="0.4">
      <c r="B6" s="34" t="s">
        <v>0</v>
      </c>
      <c r="C6" s="118"/>
      <c r="D6" s="34" t="s">
        <v>1</v>
      </c>
      <c r="E6" s="54"/>
      <c r="F6" s="19" t="s">
        <v>316</v>
      </c>
      <c r="J6" s="105"/>
      <c r="K6" s="106"/>
      <c r="M6" s="34" t="s">
        <v>227</v>
      </c>
      <c r="N6" s="56"/>
      <c r="O6" s="56" t="str">
        <f t="shared" ref="O6:O13" si="0">IF($N$5="","",IF($N$5="%","",IFERROR(P6/$E$25,"")))</f>
        <v/>
      </c>
      <c r="P6" s="59" t="str">
        <f t="shared" ref="P6:P13" si="1">IF($N$5="","",IF($N$5="Amount","",IFERROR(O6*$E$25,"")))</f>
        <v/>
      </c>
      <c r="AA6" s="73" t="s">
        <v>259</v>
      </c>
      <c r="AB6" s="3" t="s">
        <v>9</v>
      </c>
      <c r="AC6" s="76" t="s">
        <v>275</v>
      </c>
      <c r="AD6" s="3" t="s">
        <v>47</v>
      </c>
      <c r="AE6" s="28" t="s">
        <v>289</v>
      </c>
      <c r="AF6" s="3" t="s">
        <v>11</v>
      </c>
      <c r="AG6" s="79" t="s">
        <v>12</v>
      </c>
      <c r="AH6" s="76" t="s">
        <v>133</v>
      </c>
      <c r="AI6" s="79" t="s">
        <v>133</v>
      </c>
      <c r="AJ6" s="73" t="s">
        <v>133</v>
      </c>
      <c r="AK6" s="73" t="s">
        <v>255</v>
      </c>
    </row>
    <row r="7" spans="2:37" ht="15" thickBot="1" x14ac:dyDescent="0.45">
      <c r="B7" s="35" t="s">
        <v>8</v>
      </c>
      <c r="C7" s="119"/>
      <c r="D7" s="35" t="s">
        <v>6</v>
      </c>
      <c r="E7" s="43"/>
      <c r="F7" s="19" t="s">
        <v>132</v>
      </c>
      <c r="M7" s="35" t="s">
        <v>228</v>
      </c>
      <c r="N7" s="57"/>
      <c r="O7" s="57" t="str">
        <f t="shared" si="0"/>
        <v/>
      </c>
      <c r="P7" s="59" t="str">
        <f t="shared" si="1"/>
        <v/>
      </c>
      <c r="AA7" s="73" t="s">
        <v>260</v>
      </c>
      <c r="AB7" s="3" t="s">
        <v>16</v>
      </c>
      <c r="AC7" s="76" t="s">
        <v>276</v>
      </c>
      <c r="AD7" s="3" t="s">
        <v>52</v>
      </c>
      <c r="AE7" s="3" t="s">
        <v>205</v>
      </c>
      <c r="AF7" s="3" t="s">
        <v>285</v>
      </c>
      <c r="AG7" s="86" t="s">
        <v>18</v>
      </c>
      <c r="AH7" s="76" t="s">
        <v>140</v>
      </c>
      <c r="AI7" s="78" t="s">
        <v>253</v>
      </c>
      <c r="AJ7" s="78" t="s">
        <v>253</v>
      </c>
      <c r="AK7" s="78" t="s">
        <v>256</v>
      </c>
    </row>
    <row r="8" spans="2:37" ht="15" thickBot="1" x14ac:dyDescent="0.45">
      <c r="B8" s="35" t="s">
        <v>14</v>
      </c>
      <c r="C8" s="119"/>
      <c r="D8" s="35" t="s">
        <v>4</v>
      </c>
      <c r="E8" s="43"/>
      <c r="F8" s="19" t="s">
        <v>132</v>
      </c>
      <c r="J8" s="34" t="s">
        <v>136</v>
      </c>
      <c r="K8" s="53" t="str">
        <f>IFERROR(IF(B30=0,(B32-B31)/B31,(B31-B30)/B30),"")</f>
        <v/>
      </c>
      <c r="M8" s="35" t="s">
        <v>229</v>
      </c>
      <c r="N8" s="57"/>
      <c r="O8" s="57" t="str">
        <f t="shared" si="0"/>
        <v/>
      </c>
      <c r="P8" s="59" t="str">
        <f t="shared" si="1"/>
        <v/>
      </c>
      <c r="AA8" s="73" t="s">
        <v>261</v>
      </c>
      <c r="AB8" s="3" t="s">
        <v>20</v>
      </c>
      <c r="AC8" s="76" t="s">
        <v>159</v>
      </c>
      <c r="AD8" s="3" t="s">
        <v>129</v>
      </c>
      <c r="AE8" s="28" t="s">
        <v>142</v>
      </c>
      <c r="AF8" s="3" t="s">
        <v>283</v>
      </c>
      <c r="AG8" s="3"/>
      <c r="AH8" s="76" t="s">
        <v>332</v>
      </c>
      <c r="AI8" s="80" t="s">
        <v>333</v>
      </c>
      <c r="AJ8" s="73" t="s">
        <v>134</v>
      </c>
    </row>
    <row r="9" spans="2:37" ht="15" thickBot="1" x14ac:dyDescent="0.45">
      <c r="B9" s="35" t="s">
        <v>3</v>
      </c>
      <c r="C9" s="119"/>
      <c r="D9" s="35" t="s">
        <v>248</v>
      </c>
      <c r="E9" s="43"/>
      <c r="F9" s="19" t="s">
        <v>131</v>
      </c>
      <c r="J9" s="34" t="s">
        <v>135</v>
      </c>
      <c r="K9" s="43"/>
      <c r="M9" s="35" t="s">
        <v>230</v>
      </c>
      <c r="N9" s="57"/>
      <c r="O9" s="57" t="str">
        <f t="shared" si="0"/>
        <v/>
      </c>
      <c r="P9" s="59" t="str">
        <f t="shared" si="1"/>
        <v/>
      </c>
      <c r="AA9" s="73" t="s">
        <v>262</v>
      </c>
      <c r="AB9" s="3" t="s">
        <v>21</v>
      </c>
      <c r="AC9" s="76" t="s">
        <v>126</v>
      </c>
      <c r="AD9" s="3" t="s">
        <v>65</v>
      </c>
      <c r="AE9" s="3" t="s">
        <v>290</v>
      </c>
      <c r="AF9" s="3" t="s">
        <v>284</v>
      </c>
      <c r="AG9" s="3"/>
      <c r="AH9" s="77" t="s">
        <v>333</v>
      </c>
      <c r="AI9" s="81" t="s">
        <v>140</v>
      </c>
      <c r="AJ9" s="73" t="s">
        <v>252</v>
      </c>
    </row>
    <row r="10" spans="2:37" ht="15" thickBot="1" x14ac:dyDescent="0.45">
      <c r="B10" s="35" t="s">
        <v>274</v>
      </c>
      <c r="C10" s="119"/>
      <c r="D10" s="35" t="s">
        <v>249</v>
      </c>
      <c r="E10" s="43"/>
      <c r="F10" s="19" t="s">
        <v>132</v>
      </c>
      <c r="J10" s="34" t="s">
        <v>137</v>
      </c>
      <c r="K10" s="44"/>
      <c r="M10" s="35" t="s">
        <v>231</v>
      </c>
      <c r="N10" s="57"/>
      <c r="O10" s="57" t="str">
        <f t="shared" si="0"/>
        <v/>
      </c>
      <c r="P10" s="59" t="str">
        <f t="shared" si="1"/>
        <v/>
      </c>
      <c r="AA10" s="73" t="s">
        <v>263</v>
      </c>
      <c r="AB10" s="3" t="s">
        <v>26</v>
      </c>
      <c r="AC10" s="76" t="s">
        <v>127</v>
      </c>
      <c r="AD10" s="3" t="s">
        <v>83</v>
      </c>
      <c r="AE10" s="3" t="s">
        <v>291</v>
      </c>
      <c r="AF10" s="3" t="s">
        <v>150</v>
      </c>
      <c r="AG10" s="3"/>
      <c r="AH10" s="18"/>
      <c r="AI10" s="18"/>
      <c r="AJ10" s="73" t="s">
        <v>139</v>
      </c>
    </row>
    <row r="11" spans="2:37" x14ac:dyDescent="0.4">
      <c r="B11" s="35" t="s">
        <v>247</v>
      </c>
      <c r="C11" s="119"/>
      <c r="D11" s="35" t="s">
        <v>250</v>
      </c>
      <c r="E11" s="43"/>
      <c r="F11" s="19" t="s">
        <v>132</v>
      </c>
      <c r="M11" s="35" t="s">
        <v>232</v>
      </c>
      <c r="N11" s="57"/>
      <c r="O11" s="57" t="str">
        <f t="shared" si="0"/>
        <v/>
      </c>
      <c r="P11" s="59" t="str">
        <f t="shared" si="1"/>
        <v/>
      </c>
      <c r="AA11" s="73" t="s">
        <v>264</v>
      </c>
      <c r="AB11" s="3" t="s">
        <v>29</v>
      </c>
      <c r="AC11" s="76" t="s">
        <v>277</v>
      </c>
      <c r="AD11" s="3" t="s">
        <v>71</v>
      </c>
      <c r="AE11" s="3" t="s">
        <v>206</v>
      </c>
      <c r="AF11" s="3" t="s">
        <v>23</v>
      </c>
      <c r="AG11" s="3"/>
      <c r="AI11" s="18"/>
    </row>
    <row r="12" spans="2:37" x14ac:dyDescent="0.4">
      <c r="B12" s="35" t="s">
        <v>181</v>
      </c>
      <c r="C12" s="119"/>
      <c r="D12" s="35" t="s">
        <v>280</v>
      </c>
      <c r="E12" s="98"/>
      <c r="F12" s="19" t="s">
        <v>132</v>
      </c>
      <c r="M12" s="35" t="s">
        <v>233</v>
      </c>
      <c r="N12" s="57"/>
      <c r="O12" s="57" t="str">
        <f t="shared" si="0"/>
        <v/>
      </c>
      <c r="P12" s="59" t="str">
        <f t="shared" si="1"/>
        <v/>
      </c>
      <c r="AA12" s="73" t="s">
        <v>281</v>
      </c>
      <c r="AB12" s="3" t="s">
        <v>35</v>
      </c>
      <c r="AC12" s="76" t="s">
        <v>128</v>
      </c>
      <c r="AD12" s="3" t="s">
        <v>10</v>
      </c>
      <c r="AE12" s="3" t="s">
        <v>143</v>
      </c>
      <c r="AF12" s="3" t="s">
        <v>31</v>
      </c>
    </row>
    <row r="13" spans="2:37" ht="15" thickBot="1" x14ac:dyDescent="0.45">
      <c r="B13" s="35" t="s">
        <v>245</v>
      </c>
      <c r="C13" s="119"/>
      <c r="D13" s="35" t="s">
        <v>15</v>
      </c>
      <c r="E13" s="116"/>
      <c r="F13" s="19" t="s">
        <v>132</v>
      </c>
      <c r="I13" s="5"/>
      <c r="L13" s="23"/>
      <c r="M13" s="36" t="s">
        <v>234</v>
      </c>
      <c r="N13" s="58"/>
      <c r="O13" s="58" t="str">
        <f t="shared" si="0"/>
        <v/>
      </c>
      <c r="P13" s="60" t="str">
        <f t="shared" si="1"/>
        <v/>
      </c>
      <c r="AA13" s="73" t="s">
        <v>265</v>
      </c>
      <c r="AB13" s="3" t="s">
        <v>39</v>
      </c>
      <c r="AC13" s="76" t="s">
        <v>278</v>
      </c>
      <c r="AD13" s="3" t="s">
        <v>61</v>
      </c>
      <c r="AE13" s="3" t="s">
        <v>193</v>
      </c>
      <c r="AF13" s="3" t="s">
        <v>286</v>
      </c>
    </row>
    <row r="14" spans="2:37" x14ac:dyDescent="0.4">
      <c r="B14" s="35" t="s">
        <v>25</v>
      </c>
      <c r="C14" s="119"/>
      <c r="D14" s="35" t="s">
        <v>327</v>
      </c>
      <c r="E14" s="43"/>
      <c r="F14" s="19" t="s">
        <v>132</v>
      </c>
      <c r="I14" s="5"/>
      <c r="O14" s="31">
        <f>SUM(O6:O13)</f>
        <v>0</v>
      </c>
      <c r="P14" s="4">
        <f>SUM(P6:P13)</f>
        <v>0</v>
      </c>
      <c r="AA14" s="73" t="s">
        <v>323</v>
      </c>
      <c r="AB14" s="3" t="s">
        <v>43</v>
      </c>
      <c r="AC14" s="76" t="s">
        <v>279</v>
      </c>
      <c r="AD14" s="3" t="s">
        <v>85</v>
      </c>
      <c r="AE14" s="28" t="s">
        <v>144</v>
      </c>
      <c r="AF14" s="3" t="s">
        <v>287</v>
      </c>
    </row>
    <row r="15" spans="2:37" x14ac:dyDescent="0.4">
      <c r="B15" s="35" t="s">
        <v>246</v>
      </c>
      <c r="C15" s="119"/>
      <c r="D15" s="35" t="s">
        <v>325</v>
      </c>
      <c r="E15" s="117"/>
      <c r="F15" s="19" t="s">
        <v>132</v>
      </c>
      <c r="I15" s="5"/>
      <c r="J15" s="105"/>
      <c r="K15" s="105"/>
      <c r="M15" s="19"/>
      <c r="AA15" s="73" t="s">
        <v>266</v>
      </c>
      <c r="AB15" s="3" t="s">
        <v>46</v>
      </c>
      <c r="AD15" s="3" t="s">
        <v>78</v>
      </c>
      <c r="AE15" s="28" t="s">
        <v>13</v>
      </c>
    </row>
    <row r="16" spans="2:37" ht="15" thickBot="1" x14ac:dyDescent="0.45">
      <c r="B16" s="36" t="s">
        <v>151</v>
      </c>
      <c r="C16" s="120"/>
      <c r="D16" s="35" t="s">
        <v>326</v>
      </c>
      <c r="E16" s="43"/>
      <c r="F16" s="19" t="s">
        <v>131</v>
      </c>
      <c r="I16" s="9"/>
      <c r="N16" s="33"/>
      <c r="O16" s="33"/>
      <c r="P16" s="33"/>
      <c r="AA16" s="73" t="s">
        <v>267</v>
      </c>
      <c r="AB16" s="3" t="s">
        <v>51</v>
      </c>
      <c r="AD16" s="3" t="s">
        <v>91</v>
      </c>
      <c r="AE16" s="28" t="s">
        <v>292</v>
      </c>
    </row>
    <row r="17" spans="1:31" ht="15" thickBot="1" x14ac:dyDescent="0.45">
      <c r="B17" s="121" t="s">
        <v>330</v>
      </c>
      <c r="C17" s="120"/>
      <c r="D17" s="35" t="s">
        <v>329</v>
      </c>
      <c r="E17" s="43"/>
      <c r="F17" s="19" t="s">
        <v>132</v>
      </c>
      <c r="M17" s="32" t="s">
        <v>235</v>
      </c>
      <c r="N17" s="33"/>
      <c r="O17" s="33"/>
      <c r="P17" s="33"/>
      <c r="AA17" s="73" t="s">
        <v>268</v>
      </c>
      <c r="AB17" s="3" t="s">
        <v>53</v>
      </c>
      <c r="AD17" s="3" t="s">
        <v>63</v>
      </c>
      <c r="AE17" s="3" t="s">
        <v>154</v>
      </c>
    </row>
    <row r="18" spans="1:31" ht="15.75" customHeight="1" thickBot="1" x14ac:dyDescent="0.45">
      <c r="D18" s="36" t="s">
        <v>251</v>
      </c>
      <c r="E18" s="44"/>
      <c r="F18" s="19" t="s">
        <v>132</v>
      </c>
      <c r="AA18" s="73" t="s">
        <v>288</v>
      </c>
      <c r="AB18" s="3" t="s">
        <v>55</v>
      </c>
      <c r="AD18" s="3" t="s">
        <v>68</v>
      </c>
      <c r="AE18" s="22" t="s">
        <v>207</v>
      </c>
    </row>
    <row r="19" spans="1:31" ht="15" thickBot="1" x14ac:dyDescent="0.45">
      <c r="M19" s="41"/>
      <c r="N19" s="39" t="s">
        <v>238</v>
      </c>
      <c r="O19" s="39" t="s">
        <v>7</v>
      </c>
      <c r="P19" s="39" t="s">
        <v>237</v>
      </c>
      <c r="AA19" s="73" t="s">
        <v>269</v>
      </c>
      <c r="AB19" s="3" t="s">
        <v>60</v>
      </c>
      <c r="AD19" s="3" t="s">
        <v>93</v>
      </c>
      <c r="AE19" s="3" t="s">
        <v>208</v>
      </c>
    </row>
    <row r="20" spans="1:31" ht="15" thickBot="1" x14ac:dyDescent="0.45">
      <c r="I20" s="9"/>
      <c r="J20" s="34" t="s">
        <v>172</v>
      </c>
      <c r="K20" s="54"/>
      <c r="L20" s="24" t="s">
        <v>175</v>
      </c>
      <c r="M20" s="41" t="s">
        <v>239</v>
      </c>
      <c r="N20" s="61">
        <f>SUM(O20:P20)</f>
        <v>0</v>
      </c>
      <c r="O20" s="62"/>
      <c r="P20" s="63"/>
      <c r="AA20" s="73" t="s">
        <v>270</v>
      </c>
      <c r="AB20" s="3" t="s">
        <v>62</v>
      </c>
      <c r="AD20" s="3" t="s">
        <v>54</v>
      </c>
      <c r="AE20" s="28" t="s">
        <v>293</v>
      </c>
    </row>
    <row r="21" spans="1:31" ht="15" thickBot="1" x14ac:dyDescent="0.45">
      <c r="B21" s="88" t="s">
        <v>33</v>
      </c>
      <c r="C21" s="67"/>
      <c r="D21" s="68" t="s">
        <v>34</v>
      </c>
      <c r="E21" s="69"/>
      <c r="I21" s="9"/>
      <c r="J21" s="36" t="s">
        <v>173</v>
      </c>
      <c r="K21" s="55"/>
      <c r="L21" s="24" t="s">
        <v>174</v>
      </c>
      <c r="M21" s="41" t="s">
        <v>236</v>
      </c>
      <c r="N21" s="64">
        <f>SUM(O21:P21)</f>
        <v>0</v>
      </c>
      <c r="O21" s="65"/>
      <c r="P21" s="66"/>
      <c r="AA21" s="73" t="s">
        <v>271</v>
      </c>
      <c r="AB21" s="3" t="s">
        <v>64</v>
      </c>
      <c r="AD21" s="22" t="s">
        <v>158</v>
      </c>
      <c r="AE21" s="28" t="s">
        <v>294</v>
      </c>
    </row>
    <row r="22" spans="1:31" ht="15" thickBot="1" x14ac:dyDescent="0.45">
      <c r="B22" s="89"/>
      <c r="C22" s="110" t="s">
        <v>7</v>
      </c>
      <c r="D22" s="108">
        <f>IF(H22="No",0,50%)</f>
        <v>0.5</v>
      </c>
      <c r="E22" s="109">
        <f>IF(H22="No",0,MAX(($D$22)*$J$50,$J$50-$G$23))</f>
        <v>0</v>
      </c>
      <c r="F22" s="87"/>
      <c r="G22" s="70" t="s">
        <v>38</v>
      </c>
      <c r="H22" s="5" t="s">
        <v>12</v>
      </c>
      <c r="M22" s="33"/>
      <c r="N22" s="4">
        <f>SUM(N20:N21)</f>
        <v>0</v>
      </c>
      <c r="O22" s="4">
        <f>SUM(O20:O21)</f>
        <v>0</v>
      </c>
      <c r="P22" s="4">
        <f>SUM(P20:P21)</f>
        <v>0</v>
      </c>
      <c r="AA22" s="73" t="s">
        <v>272</v>
      </c>
      <c r="AB22" s="3" t="s">
        <v>67</v>
      </c>
      <c r="AD22" s="25" t="s">
        <v>189</v>
      </c>
      <c r="AE22" s="28" t="s">
        <v>200</v>
      </c>
    </row>
    <row r="23" spans="1:31" x14ac:dyDescent="0.4">
      <c r="B23" s="89"/>
      <c r="C23" s="111" t="s">
        <v>259</v>
      </c>
      <c r="D23" s="115">
        <v>0.2</v>
      </c>
      <c r="E23" s="92">
        <f>D23*($J$50-$E$22)</f>
        <v>0</v>
      </c>
      <c r="F23" s="3"/>
      <c r="G23" s="100">
        <f>IF($E$7=$AF$10,300000,600000)</f>
        <v>600000</v>
      </c>
      <c r="H23" s="101" t="s">
        <v>42</v>
      </c>
      <c r="M23" s="33"/>
      <c r="N23" s="33"/>
      <c r="P23" s="32" t="s">
        <v>240</v>
      </c>
      <c r="AA23" s="104" t="s">
        <v>273</v>
      </c>
      <c r="AB23" s="3" t="s">
        <v>70</v>
      </c>
      <c r="AD23" s="3" t="s">
        <v>95</v>
      </c>
      <c r="AE23" s="22" t="s">
        <v>295</v>
      </c>
    </row>
    <row r="24" spans="1:31" x14ac:dyDescent="0.4">
      <c r="B24" s="89"/>
      <c r="C24" s="112" t="s">
        <v>282</v>
      </c>
      <c r="D24" s="91">
        <v>0</v>
      </c>
      <c r="E24" s="93">
        <f>D24*(J50-E22)</f>
        <v>0</v>
      </c>
      <c r="F24" s="3"/>
      <c r="G24" s="100"/>
      <c r="H24" s="101"/>
      <c r="J24" s="13"/>
      <c r="M24" s="33"/>
      <c r="N24" s="33"/>
      <c r="P24" s="32"/>
      <c r="AB24" s="3" t="s">
        <v>73</v>
      </c>
      <c r="AD24" s="3" t="s">
        <v>97</v>
      </c>
      <c r="AE24" s="3" t="s">
        <v>241</v>
      </c>
    </row>
    <row r="25" spans="1:31" ht="15" thickBot="1" x14ac:dyDescent="0.45">
      <c r="B25" s="89"/>
      <c r="C25" s="112" t="s">
        <v>324</v>
      </c>
      <c r="D25" s="114">
        <f>1-D26-D23-D24</f>
        <v>0.8</v>
      </c>
      <c r="E25" s="93">
        <f>D25*($J$50-$E$22)+(D26*($J$50-$E$22)-MIN(D26*($J$50-$E$22),H26))</f>
        <v>0</v>
      </c>
      <c r="F25" s="3"/>
      <c r="G25" s="20" t="str">
        <f>IF(J50&gt;=H25,"Over","Under")</f>
        <v>Under</v>
      </c>
      <c r="H25" s="21">
        <f>IF(H22="No",G23,G23*2)</f>
        <v>1200000</v>
      </c>
      <c r="AB25" s="3" t="s">
        <v>75</v>
      </c>
      <c r="AD25" s="3" t="s">
        <v>22</v>
      </c>
      <c r="AE25" s="3" t="s">
        <v>296</v>
      </c>
    </row>
    <row r="26" spans="1:31" ht="15" thickBot="1" x14ac:dyDescent="0.45">
      <c r="B26" s="90"/>
      <c r="C26" s="113" t="s">
        <v>328</v>
      </c>
      <c r="D26" s="94">
        <v>0</v>
      </c>
      <c r="E26" s="95">
        <f>MIN(D26*($J$50-$E$22),H26)</f>
        <v>0</v>
      </c>
      <c r="G26" s="40" t="s">
        <v>138</v>
      </c>
      <c r="H26" s="107"/>
      <c r="J26" s="24" t="s">
        <v>317</v>
      </c>
      <c r="M26" s="96" t="s">
        <v>141</v>
      </c>
      <c r="AB26" s="3" t="s">
        <v>77</v>
      </c>
      <c r="AD26" s="3" t="s">
        <v>99</v>
      </c>
      <c r="AE26" s="3" t="s">
        <v>242</v>
      </c>
    </row>
    <row r="27" spans="1:31" x14ac:dyDescent="0.4">
      <c r="B27" s="6"/>
      <c r="C27" s="6" t="s">
        <v>50</v>
      </c>
      <c r="D27" s="99">
        <f>SUM(D23:D26)</f>
        <v>1</v>
      </c>
      <c r="E27" s="7">
        <f>SUM(E22:E26)</f>
        <v>0</v>
      </c>
      <c r="G27" s="8"/>
      <c r="H27" s="9"/>
      <c r="M27" s="13"/>
      <c r="AB27" s="3" t="s">
        <v>80</v>
      </c>
      <c r="AD27" s="3" t="s">
        <v>102</v>
      </c>
      <c r="AE27" s="28" t="s">
        <v>164</v>
      </c>
    </row>
    <row r="28" spans="1:31" ht="15" thickBot="1" x14ac:dyDescent="0.45">
      <c r="G28" s="103" t="s">
        <v>318</v>
      </c>
      <c r="H28" s="102"/>
      <c r="AB28" s="3" t="s">
        <v>82</v>
      </c>
      <c r="AD28" s="3" t="s">
        <v>74</v>
      </c>
      <c r="AE28" s="25" t="s">
        <v>176</v>
      </c>
    </row>
    <row r="29" spans="1:31" ht="15" thickBot="1" x14ac:dyDescent="0.45">
      <c r="B29" s="37" t="str">
        <f>IF(OR($E$7=$AF$7,$E$7=$AF$8,$E$7=$AF$12),"","Monthly Rent")</f>
        <v>Monthly Rent</v>
      </c>
      <c r="C29" s="37" t="str">
        <f>IF(OR($E$7=$AF$7,$E$7=$AF$8,$E$7=$AF$12),"","Months in Period")</f>
        <v>Months in Period</v>
      </c>
      <c r="D29" s="37" t="str">
        <f>IF(OR($E$7=$AF$7,$E$7=$AF$8,$E$7=$AF$12),"Purchase Price","Annual Rent")</f>
        <v>Annual Rent</v>
      </c>
      <c r="E29" s="37" t="s">
        <v>58</v>
      </c>
      <c r="G29" s="38" t="str">
        <f>IF(OR($E$7=$AF$7,$E$7=$AF$8,$E$7=$AF$12),"","Months")</f>
        <v>Months</v>
      </c>
      <c r="J29" s="39" t="s">
        <v>59</v>
      </c>
      <c r="K29" s="4"/>
      <c r="AB29" s="3" t="s">
        <v>84</v>
      </c>
      <c r="AD29" s="3" t="s">
        <v>106</v>
      </c>
      <c r="AE29" s="3" t="s">
        <v>192</v>
      </c>
    </row>
    <row r="30" spans="1:31" x14ac:dyDescent="0.4">
      <c r="A30" s="3">
        <v>1</v>
      </c>
      <c r="B30" s="45">
        <v>0</v>
      </c>
      <c r="C30" s="46">
        <f>IF(OR($E$7=$AF$7,$E$7=$AF$8,$E$7=$AF$12),"N/A",12)</f>
        <v>12</v>
      </c>
      <c r="D30" s="47">
        <f>IF(C30="N/A","",B30*C30)</f>
        <v>0</v>
      </c>
      <c r="E30" s="82">
        <v>0.04</v>
      </c>
      <c r="G30" s="10" t="str">
        <f>IF($G$29="","N/A",IF(SUM(C29:C29)+1-SUM($C$30:C30)=0,C30,SUM($C$29:C29)+1&amp;"—"&amp;SUM($C$30:C30)))</f>
        <v>1—12</v>
      </c>
      <c r="J30" s="12">
        <f t="shared" ref="J30:J49" si="2">IFERROR(D30*E30,"")</f>
        <v>0</v>
      </c>
      <c r="K30" s="4"/>
      <c r="AB30" s="3" t="s">
        <v>86</v>
      </c>
      <c r="AD30" s="3" t="s">
        <v>30</v>
      </c>
      <c r="AE30" s="3" t="s">
        <v>209</v>
      </c>
    </row>
    <row r="31" spans="1:31" x14ac:dyDescent="0.4">
      <c r="A31" s="3">
        <v>2</v>
      </c>
      <c r="B31" s="48">
        <v>0</v>
      </c>
      <c r="C31" s="49">
        <f>IF(OR($E$7=$AF$7,$E$7=$AF$8,$E$7=$AF$12),"N/A",12)</f>
        <v>12</v>
      </c>
      <c r="D31" s="50">
        <f t="shared" ref="D31:D49" si="3">IF(C31="N/A","",B31*C31)</f>
        <v>0</v>
      </c>
      <c r="E31" s="83">
        <f t="shared" ref="E31:E49" si="4">$E$30</f>
        <v>0.04</v>
      </c>
      <c r="G31" s="11" t="str">
        <f>IF($G$29="","N/A",IF(SUM(C30:C30)+1-SUM($C$30:C31)=0,C31,SUM($C$29:C30)+1&amp;"—"&amp;SUM($C$30:C31)))</f>
        <v>13—24</v>
      </c>
      <c r="J31" s="12">
        <f t="shared" si="2"/>
        <v>0</v>
      </c>
      <c r="K31" s="4"/>
      <c r="AB31" s="3" t="s">
        <v>88</v>
      </c>
      <c r="AD31" s="3" t="s">
        <v>36</v>
      </c>
      <c r="AE31" s="3" t="s">
        <v>210</v>
      </c>
    </row>
    <row r="32" spans="1:31" x14ac:dyDescent="0.4">
      <c r="A32" s="3">
        <v>3</v>
      </c>
      <c r="B32" s="48">
        <v>0</v>
      </c>
      <c r="C32" s="49">
        <f t="shared" ref="C32:C49" si="5">IF(OR($E$7=$AF$7,$E$7=$AF$8,$E$7=$AF$12),"N/A",12)</f>
        <v>12</v>
      </c>
      <c r="D32" s="50">
        <f t="shared" si="3"/>
        <v>0</v>
      </c>
      <c r="E32" s="83">
        <f t="shared" si="4"/>
        <v>0.04</v>
      </c>
      <c r="G32" s="11" t="str">
        <f>IF($G$29="","N/A",IF(SUM(C31:C31)+1-SUM($C$30:C32)=0,C32,SUM($C$29:C31)+1&amp;"—"&amp;SUM($C$30:C32)))</f>
        <v>25—36</v>
      </c>
      <c r="J32" s="12">
        <f t="shared" si="2"/>
        <v>0</v>
      </c>
      <c r="AB32" s="3" t="s">
        <v>90</v>
      </c>
      <c r="AD32" s="3" t="s">
        <v>89</v>
      </c>
      <c r="AE32" s="27" t="s">
        <v>211</v>
      </c>
    </row>
    <row r="33" spans="1:32" x14ac:dyDescent="0.4">
      <c r="A33" s="3">
        <v>4</v>
      </c>
      <c r="B33" s="48">
        <v>0</v>
      </c>
      <c r="C33" s="49">
        <f t="shared" si="5"/>
        <v>12</v>
      </c>
      <c r="D33" s="50">
        <f t="shared" si="3"/>
        <v>0</v>
      </c>
      <c r="E33" s="83">
        <f t="shared" si="4"/>
        <v>0.04</v>
      </c>
      <c r="G33" s="11" t="str">
        <f>IF($G$29="","N/A",IF(SUM(C32:C32)+1-SUM($C$30:C33)=0,C33,SUM($C$29:C32)+1&amp;"—"&amp;SUM($C$30:C33)))</f>
        <v>37—48</v>
      </c>
      <c r="J33" s="12">
        <f t="shared" si="2"/>
        <v>0</v>
      </c>
      <c r="AB33" s="3" t="s">
        <v>92</v>
      </c>
      <c r="AD33" s="3" t="s">
        <v>44</v>
      </c>
      <c r="AE33" s="28" t="s">
        <v>177</v>
      </c>
      <c r="AF33" s="16"/>
    </row>
    <row r="34" spans="1:32" ht="16.75" x14ac:dyDescent="0.65">
      <c r="A34" s="3">
        <v>5</v>
      </c>
      <c r="B34" s="48">
        <v>0</v>
      </c>
      <c r="C34" s="49">
        <f t="shared" si="5"/>
        <v>12</v>
      </c>
      <c r="D34" s="50">
        <f t="shared" si="3"/>
        <v>0</v>
      </c>
      <c r="E34" s="83">
        <f t="shared" si="4"/>
        <v>0.04</v>
      </c>
      <c r="G34" s="11" t="str">
        <f>IF($G$29="","N/A",IF(SUM(C33:C33)+1-SUM($C$30:C34)=0,C34,SUM($C$29:C33)+1&amp;"—"&amp;SUM($C$30:C34)))</f>
        <v>49—60</v>
      </c>
      <c r="J34" s="12">
        <f t="shared" si="2"/>
        <v>0</v>
      </c>
      <c r="M34" s="97" t="s">
        <v>72</v>
      </c>
      <c r="AB34" s="3" t="s">
        <v>94</v>
      </c>
      <c r="AD34" s="18" t="s">
        <v>130</v>
      </c>
      <c r="AE34" s="3" t="s">
        <v>155</v>
      </c>
      <c r="AF34"/>
    </row>
    <row r="35" spans="1:32" x14ac:dyDescent="0.4">
      <c r="A35" s="3">
        <v>6</v>
      </c>
      <c r="B35" s="48">
        <v>0</v>
      </c>
      <c r="C35" s="49">
        <f t="shared" si="5"/>
        <v>12</v>
      </c>
      <c r="D35" s="50">
        <f t="shared" si="3"/>
        <v>0</v>
      </c>
      <c r="E35" s="83">
        <f t="shared" si="4"/>
        <v>0.04</v>
      </c>
      <c r="G35" s="11" t="str">
        <f>IF($G$29="","N/A",IF(SUM(C34:C34)+1-SUM($C$30:C35)=0,C35,SUM($C$29:C34)+1&amp;"—"&amp;SUM($C$30:C35)))</f>
        <v>61—72</v>
      </c>
      <c r="J35" s="12">
        <f t="shared" si="2"/>
        <v>0</v>
      </c>
      <c r="AB35" s="3" t="s">
        <v>96</v>
      </c>
      <c r="AD35" s="3" t="s">
        <v>81</v>
      </c>
      <c r="AE35" s="3" t="s">
        <v>197</v>
      </c>
      <c r="AF35"/>
    </row>
    <row r="36" spans="1:32" x14ac:dyDescent="0.4">
      <c r="A36" s="3">
        <v>7</v>
      </c>
      <c r="B36" s="48">
        <v>0</v>
      </c>
      <c r="C36" s="49">
        <f t="shared" si="5"/>
        <v>12</v>
      </c>
      <c r="D36" s="50">
        <f t="shared" si="3"/>
        <v>0</v>
      </c>
      <c r="E36" s="83">
        <f t="shared" si="4"/>
        <v>0.04</v>
      </c>
      <c r="G36" s="11" t="str">
        <f>IF($G$29="","N/A",IF(SUM(C35:C35)+1-SUM($C$30:C36)=0,C36,SUM($C$29:C35)+1&amp;"—"&amp;SUM($C$30:C36)))</f>
        <v>73—84</v>
      </c>
      <c r="J36" s="12">
        <f t="shared" si="2"/>
        <v>0</v>
      </c>
      <c r="AB36" s="3" t="s">
        <v>98</v>
      </c>
      <c r="AD36" s="3" t="s">
        <v>162</v>
      </c>
      <c r="AE36" s="3" t="s">
        <v>156</v>
      </c>
      <c r="AF36"/>
    </row>
    <row r="37" spans="1:32" x14ac:dyDescent="0.4">
      <c r="A37" s="3">
        <v>8</v>
      </c>
      <c r="B37" s="48">
        <v>0</v>
      </c>
      <c r="C37" s="49">
        <f t="shared" si="5"/>
        <v>12</v>
      </c>
      <c r="D37" s="50">
        <f t="shared" si="3"/>
        <v>0</v>
      </c>
      <c r="E37" s="83">
        <f t="shared" si="4"/>
        <v>0.04</v>
      </c>
      <c r="G37" s="11" t="str">
        <f>IF($G$29="","N/A",IF(SUM(C36:C36)+1-SUM($C$30:C37)=0,C37,SUM($C$29:C36)+1&amp;"—"&amp;SUM($C$30:C37)))</f>
        <v>85—96</v>
      </c>
      <c r="J37" s="12">
        <f t="shared" si="2"/>
        <v>0</v>
      </c>
      <c r="AB37" s="3" t="s">
        <v>101</v>
      </c>
      <c r="AD37" s="3" t="s">
        <v>76</v>
      </c>
      <c r="AE37" s="22" t="s">
        <v>188</v>
      </c>
      <c r="AF37"/>
    </row>
    <row r="38" spans="1:32" x14ac:dyDescent="0.4">
      <c r="A38" s="3">
        <v>9</v>
      </c>
      <c r="B38" s="48">
        <v>0</v>
      </c>
      <c r="C38" s="49">
        <f t="shared" si="5"/>
        <v>12</v>
      </c>
      <c r="D38" s="50">
        <f t="shared" si="3"/>
        <v>0</v>
      </c>
      <c r="E38" s="83">
        <f t="shared" si="4"/>
        <v>0.04</v>
      </c>
      <c r="G38" s="11" t="str">
        <f>IF($G$29="","N/A",IF(SUM(C37:C37)+1-SUM($C$30:C38)=0,C38,SUM($C$29:C37)+1&amp;"—"&amp;SUM($C$30:C38)))</f>
        <v>97—108</v>
      </c>
      <c r="J38" s="12">
        <f t="shared" si="2"/>
        <v>0</v>
      </c>
      <c r="AB38" s="3" t="s">
        <v>103</v>
      </c>
      <c r="AD38" s="3" t="s">
        <v>17</v>
      </c>
      <c r="AE38" s="3" t="s">
        <v>165</v>
      </c>
      <c r="AF38"/>
    </row>
    <row r="39" spans="1:32" x14ac:dyDescent="0.4">
      <c r="A39" s="3">
        <v>10</v>
      </c>
      <c r="B39" s="48">
        <v>0</v>
      </c>
      <c r="C39" s="49">
        <f t="shared" si="5"/>
        <v>12</v>
      </c>
      <c r="D39" s="50">
        <f t="shared" si="3"/>
        <v>0</v>
      </c>
      <c r="E39" s="83">
        <f t="shared" si="4"/>
        <v>0.04</v>
      </c>
      <c r="G39" s="11" t="str">
        <f>IF($G$29="","N/A",IF(SUM(C38:C38)+1-SUM($C$30:C39)=0,C39,SUM($C$29:C38)+1&amp;"—"&amp;SUM($C$30:C39)))</f>
        <v>109—120</v>
      </c>
      <c r="J39" s="12">
        <f t="shared" si="2"/>
        <v>0</v>
      </c>
      <c r="AB39" s="3" t="s">
        <v>105</v>
      </c>
      <c r="AD39" s="3" t="s">
        <v>27</v>
      </c>
      <c r="AE39" s="3" t="s">
        <v>190</v>
      </c>
    </row>
    <row r="40" spans="1:32" x14ac:dyDescent="0.4">
      <c r="A40" s="3">
        <v>11</v>
      </c>
      <c r="B40" s="48">
        <v>0</v>
      </c>
      <c r="C40" s="49">
        <f t="shared" si="5"/>
        <v>12</v>
      </c>
      <c r="D40" s="50">
        <f t="shared" si="3"/>
        <v>0</v>
      </c>
      <c r="E40" s="83">
        <f t="shared" si="4"/>
        <v>0.04</v>
      </c>
      <c r="G40" s="11" t="str">
        <f>IF($G$29="","N/A",IF(SUM(C39:C39)+1-SUM($C$30:C40)=0,C40,SUM($C$29:C39)+1&amp;"—"&amp;SUM($C$30:C40)))</f>
        <v>121—132</v>
      </c>
      <c r="J40" s="12">
        <f t="shared" si="2"/>
        <v>0</v>
      </c>
      <c r="AB40" s="3" t="s">
        <v>107</v>
      </c>
      <c r="AD40" s="3" t="s">
        <v>56</v>
      </c>
      <c r="AE40" s="28" t="s">
        <v>166</v>
      </c>
    </row>
    <row r="41" spans="1:32" x14ac:dyDescent="0.4">
      <c r="A41" s="3">
        <v>12</v>
      </c>
      <c r="B41" s="48">
        <v>0</v>
      </c>
      <c r="C41" s="49">
        <f t="shared" si="5"/>
        <v>12</v>
      </c>
      <c r="D41" s="50">
        <f t="shared" si="3"/>
        <v>0</v>
      </c>
      <c r="E41" s="83">
        <f t="shared" si="4"/>
        <v>0.04</v>
      </c>
      <c r="G41" s="11" t="str">
        <f>IF($G$29="","N/A",IF(SUM(C40:C40)+1-SUM($C$30:C41)=0,C41,SUM($C$29:C40)+1&amp;"—"&amp;SUM($C$30:C41)))</f>
        <v>133—144</v>
      </c>
      <c r="J41" s="12">
        <f t="shared" si="2"/>
        <v>0</v>
      </c>
      <c r="AB41" s="3" t="s">
        <v>108</v>
      </c>
      <c r="AD41" s="3" t="s">
        <v>104</v>
      </c>
      <c r="AE41" s="28" t="s">
        <v>194</v>
      </c>
    </row>
    <row r="42" spans="1:32" x14ac:dyDescent="0.4">
      <c r="A42" s="3">
        <v>13</v>
      </c>
      <c r="B42" s="48">
        <v>0</v>
      </c>
      <c r="C42" s="49">
        <f t="shared" si="5"/>
        <v>12</v>
      </c>
      <c r="D42" s="50">
        <f t="shared" si="3"/>
        <v>0</v>
      </c>
      <c r="E42" s="83">
        <f t="shared" si="4"/>
        <v>0.04</v>
      </c>
      <c r="G42" s="11" t="str">
        <f>IF($G$29="","N/A",IF(SUM(C41:C41)+1-SUM($C$30:C42)=0,C42,SUM($C$29:C41)+1&amp;"—"&amp;SUM($C$30:C42)))</f>
        <v>145—156</v>
      </c>
      <c r="J42" s="12">
        <f t="shared" si="2"/>
        <v>0</v>
      </c>
      <c r="M42" s="96" t="s">
        <v>100</v>
      </c>
      <c r="AB42" s="3" t="s">
        <v>109</v>
      </c>
      <c r="AD42" s="3" t="s">
        <v>40</v>
      </c>
      <c r="AE42" s="3" t="s">
        <v>212</v>
      </c>
    </row>
    <row r="43" spans="1:32" x14ac:dyDescent="0.4">
      <c r="A43" s="3">
        <v>14</v>
      </c>
      <c r="B43" s="48">
        <v>0</v>
      </c>
      <c r="C43" s="49">
        <f t="shared" si="5"/>
        <v>12</v>
      </c>
      <c r="D43" s="50">
        <f t="shared" si="3"/>
        <v>0</v>
      </c>
      <c r="E43" s="83">
        <f t="shared" si="4"/>
        <v>0.04</v>
      </c>
      <c r="G43" s="11" t="str">
        <f>IF($G$29="","N/A",IF(SUM(C42:C42)+1-SUM($C$30:C43)=0,C43,SUM($C$29:C42)+1&amp;"—"&amp;SUM($C$30:C43)))</f>
        <v>157—168</v>
      </c>
      <c r="J43" s="12">
        <f t="shared" si="2"/>
        <v>0</v>
      </c>
      <c r="AB43" s="3" t="s">
        <v>110</v>
      </c>
      <c r="AD43" s="22" t="s">
        <v>161</v>
      </c>
      <c r="AE43" s="22" t="s">
        <v>19</v>
      </c>
    </row>
    <row r="44" spans="1:32" x14ac:dyDescent="0.4">
      <c r="A44" s="3">
        <v>15</v>
      </c>
      <c r="B44" s="48">
        <v>0</v>
      </c>
      <c r="C44" s="49">
        <f t="shared" si="5"/>
        <v>12</v>
      </c>
      <c r="D44" s="50">
        <f t="shared" si="3"/>
        <v>0</v>
      </c>
      <c r="E44" s="83">
        <f t="shared" si="4"/>
        <v>0.04</v>
      </c>
      <c r="G44" s="11" t="str">
        <f>IF($G$29="","N/A",IF(SUM(C43:C43)+1-SUM($C$30:C44)=0,C44,SUM($C$29:C43)+1&amp;"—"&amp;SUM($C$30:C44)))</f>
        <v>169—180</v>
      </c>
      <c r="J44" s="12">
        <f t="shared" si="2"/>
        <v>0</v>
      </c>
      <c r="AB44" s="3" t="s">
        <v>111</v>
      </c>
      <c r="AD44" s="22" t="s">
        <v>163</v>
      </c>
      <c r="AE44" s="3" t="s">
        <v>196</v>
      </c>
    </row>
    <row r="45" spans="1:32" x14ac:dyDescent="0.4">
      <c r="A45" s="3">
        <v>16</v>
      </c>
      <c r="B45" s="48">
        <v>0</v>
      </c>
      <c r="C45" s="49">
        <f t="shared" si="5"/>
        <v>12</v>
      </c>
      <c r="D45" s="50">
        <f t="shared" si="3"/>
        <v>0</v>
      </c>
      <c r="E45" s="83">
        <f t="shared" si="4"/>
        <v>0.04</v>
      </c>
      <c r="G45" s="11" t="str">
        <f>IF($G$29="","N/A",IF(SUM(C44:C44)+1-SUM($C$30:C45)=0,C45,SUM($C$29:C44)+1&amp;"—"&amp;SUM($C$30:C45)))</f>
        <v>181—192</v>
      </c>
      <c r="J45" s="12">
        <f t="shared" si="2"/>
        <v>0</v>
      </c>
      <c r="AB45" s="3" t="s">
        <v>112</v>
      </c>
      <c r="AD45" s="3" t="s">
        <v>87</v>
      </c>
      <c r="AE45" s="123" t="s">
        <v>331</v>
      </c>
    </row>
    <row r="46" spans="1:32" x14ac:dyDescent="0.4">
      <c r="A46" s="3">
        <v>17</v>
      </c>
      <c r="B46" s="48">
        <v>0</v>
      </c>
      <c r="C46" s="49">
        <f t="shared" si="5"/>
        <v>12</v>
      </c>
      <c r="D46" s="50">
        <f t="shared" si="3"/>
        <v>0</v>
      </c>
      <c r="E46" s="83">
        <f t="shared" si="4"/>
        <v>0.04</v>
      </c>
      <c r="G46" s="11" t="str">
        <f>IF($G$29="","N/A",IF(SUM(C45:C45)+1-SUM($C$30:C46)=0,C46,SUM($C$29:C45)+1&amp;"—"&amp;SUM($C$30:C46)))</f>
        <v>193—204</v>
      </c>
      <c r="J46" s="12">
        <f t="shared" si="2"/>
        <v>0</v>
      </c>
      <c r="AB46" s="3" t="s">
        <v>113</v>
      </c>
      <c r="AE46" s="28" t="s">
        <v>178</v>
      </c>
    </row>
    <row r="47" spans="1:32" x14ac:dyDescent="0.4">
      <c r="A47" s="3">
        <v>18</v>
      </c>
      <c r="B47" s="48">
        <v>0</v>
      </c>
      <c r="C47" s="49">
        <f t="shared" si="5"/>
        <v>12</v>
      </c>
      <c r="D47" s="50">
        <f t="shared" si="3"/>
        <v>0</v>
      </c>
      <c r="E47" s="83">
        <f t="shared" si="4"/>
        <v>0.04</v>
      </c>
      <c r="G47" s="11" t="str">
        <f>IF($G$29="","N/A",IF(SUM(C46:C46)+1-SUM($C$30:C47)=0,C47,SUM($C$29:C46)+1&amp;"—"&amp;SUM($C$30:C47)))</f>
        <v>205—216</v>
      </c>
      <c r="J47" s="12">
        <f t="shared" si="2"/>
        <v>0</v>
      </c>
      <c r="AB47" s="3" t="s">
        <v>114</v>
      </c>
      <c r="AE47" s="3" t="s">
        <v>187</v>
      </c>
    </row>
    <row r="48" spans="1:32" x14ac:dyDescent="0.4">
      <c r="A48" s="3">
        <v>19</v>
      </c>
      <c r="B48" s="48">
        <v>0</v>
      </c>
      <c r="C48" s="49">
        <f t="shared" si="5"/>
        <v>12</v>
      </c>
      <c r="D48" s="50">
        <f t="shared" si="3"/>
        <v>0</v>
      </c>
      <c r="E48" s="83">
        <f t="shared" si="4"/>
        <v>0.04</v>
      </c>
      <c r="G48" s="11" t="str">
        <f>IF($G$29="","N/A",IF(SUM(C47:C47)+1-SUM($C$30:C48)=0,C48,SUM($C$29:C47)+1&amp;"—"&amp;SUM($C$30:C48)))</f>
        <v>217—228</v>
      </c>
      <c r="J48" s="12">
        <f t="shared" si="2"/>
        <v>0</v>
      </c>
      <c r="AB48" s="3" t="s">
        <v>115</v>
      </c>
      <c r="AE48" s="3" t="s">
        <v>167</v>
      </c>
    </row>
    <row r="49" spans="1:31" ht="15" thickBot="1" x14ac:dyDescent="0.45">
      <c r="A49" s="3">
        <v>20</v>
      </c>
      <c r="B49" s="51">
        <v>0</v>
      </c>
      <c r="C49" s="49">
        <f t="shared" si="5"/>
        <v>12</v>
      </c>
      <c r="D49" s="52">
        <f t="shared" si="3"/>
        <v>0</v>
      </c>
      <c r="E49" s="84">
        <f t="shared" si="4"/>
        <v>0.04</v>
      </c>
      <c r="G49" s="14" t="str">
        <f>IF($G$29="","N/A",IF(SUM(C48:C48)+1-SUM($C$30:C49)=0,C49,SUM($C$29:C48)+1&amp;"—"&amp;SUM($C$30:C49)))</f>
        <v>229—240</v>
      </c>
      <c r="J49" s="15">
        <f t="shared" si="2"/>
        <v>0</v>
      </c>
      <c r="AB49" s="3" t="s">
        <v>116</v>
      </c>
      <c r="AE49" s="3" t="s">
        <v>213</v>
      </c>
    </row>
    <row r="50" spans="1:31" ht="15" thickBot="1" x14ac:dyDescent="0.45">
      <c r="D50" s="17">
        <f>SUM(D30:D49)</f>
        <v>0</v>
      </c>
      <c r="J50" s="17">
        <f>SUM(J30:J49)</f>
        <v>0</v>
      </c>
      <c r="AB50" s="3" t="s">
        <v>117</v>
      </c>
      <c r="AE50" s="3" t="s">
        <v>297</v>
      </c>
    </row>
    <row r="51" spans="1:31" ht="15" thickTop="1" x14ac:dyDescent="0.4">
      <c r="AB51" s="3" t="s">
        <v>118</v>
      </c>
      <c r="AE51" s="28" t="s">
        <v>168</v>
      </c>
    </row>
    <row r="52" spans="1:31" x14ac:dyDescent="0.4">
      <c r="AB52" s="3" t="s">
        <v>119</v>
      </c>
      <c r="AE52" s="28" t="s">
        <v>179</v>
      </c>
    </row>
    <row r="53" spans="1:31" x14ac:dyDescent="0.4">
      <c r="AB53" s="3" t="s">
        <v>120</v>
      </c>
      <c r="AE53" s="3" t="s">
        <v>298</v>
      </c>
    </row>
    <row r="54" spans="1:31" x14ac:dyDescent="0.4">
      <c r="K54" s="13"/>
      <c r="AB54" s="3" t="s">
        <v>121</v>
      </c>
      <c r="AE54" s="3" t="s">
        <v>299</v>
      </c>
    </row>
    <row r="55" spans="1:31" x14ac:dyDescent="0.4">
      <c r="AB55" s="3" t="s">
        <v>122</v>
      </c>
      <c r="AE55" s="28" t="s">
        <v>145</v>
      </c>
    </row>
    <row r="56" spans="1:31" x14ac:dyDescent="0.4">
      <c r="AB56" s="3" t="s">
        <v>123</v>
      </c>
      <c r="AE56" s="3" t="s">
        <v>199</v>
      </c>
    </row>
    <row r="57" spans="1:31" x14ac:dyDescent="0.4">
      <c r="AB57" s="3" t="s">
        <v>124</v>
      </c>
      <c r="AE57" s="3" t="s">
        <v>195</v>
      </c>
    </row>
    <row r="58" spans="1:31" x14ac:dyDescent="0.4">
      <c r="AB58" s="3" t="s">
        <v>125</v>
      </c>
      <c r="AE58" s="28" t="s">
        <v>300</v>
      </c>
    </row>
    <row r="59" spans="1:31" x14ac:dyDescent="0.4">
      <c r="AB59" s="3" t="s">
        <v>126</v>
      </c>
      <c r="AE59" s="28" t="s">
        <v>169</v>
      </c>
    </row>
    <row r="60" spans="1:31" x14ac:dyDescent="0.4">
      <c r="AB60" s="3" t="s">
        <v>127</v>
      </c>
      <c r="AC60" s="22"/>
      <c r="AE60" s="3" t="s">
        <v>191</v>
      </c>
    </row>
    <row r="61" spans="1:31" x14ac:dyDescent="0.4">
      <c r="AB61" s="3" t="s">
        <v>128</v>
      </c>
      <c r="AE61" s="3" t="s">
        <v>301</v>
      </c>
    </row>
    <row r="62" spans="1:31" x14ac:dyDescent="0.4">
      <c r="AB62" s="22" t="s">
        <v>159</v>
      </c>
      <c r="AE62" s="3" t="s">
        <v>214</v>
      </c>
    </row>
    <row r="63" spans="1:31" x14ac:dyDescent="0.4">
      <c r="AE63" s="29" t="s">
        <v>302</v>
      </c>
    </row>
    <row r="64" spans="1:31" x14ac:dyDescent="0.4">
      <c r="AE64" s="3" t="s">
        <v>215</v>
      </c>
    </row>
    <row r="65" spans="31:31" x14ac:dyDescent="0.4">
      <c r="AE65" s="28" t="s">
        <v>303</v>
      </c>
    </row>
    <row r="66" spans="31:31" x14ac:dyDescent="0.4">
      <c r="AE66" s="28" t="s">
        <v>24</v>
      </c>
    </row>
    <row r="67" spans="31:31" x14ac:dyDescent="0.4">
      <c r="AE67" s="3" t="s">
        <v>28</v>
      </c>
    </row>
    <row r="68" spans="31:31" x14ac:dyDescent="0.4">
      <c r="AE68" s="22" t="s">
        <v>216</v>
      </c>
    </row>
    <row r="69" spans="31:31" x14ac:dyDescent="0.4">
      <c r="AE69" s="3" t="s">
        <v>146</v>
      </c>
    </row>
    <row r="70" spans="31:31" x14ac:dyDescent="0.4">
      <c r="AE70" s="28" t="s">
        <v>48</v>
      </c>
    </row>
    <row r="71" spans="31:31" x14ac:dyDescent="0.4">
      <c r="AE71" s="25" t="s">
        <v>217</v>
      </c>
    </row>
    <row r="72" spans="31:31" x14ac:dyDescent="0.4">
      <c r="AE72" s="3" t="s">
        <v>218</v>
      </c>
    </row>
    <row r="73" spans="31:31" x14ac:dyDescent="0.4">
      <c r="AE73" s="3" t="s">
        <v>152</v>
      </c>
    </row>
    <row r="74" spans="31:31" x14ac:dyDescent="0.4">
      <c r="AE74" s="28" t="s">
        <v>32</v>
      </c>
    </row>
    <row r="75" spans="31:31" x14ac:dyDescent="0.4">
      <c r="AE75" s="28" t="s">
        <v>153</v>
      </c>
    </row>
    <row r="76" spans="31:31" x14ac:dyDescent="0.4">
      <c r="AE76" s="28" t="s">
        <v>57</v>
      </c>
    </row>
    <row r="77" spans="31:31" x14ac:dyDescent="0.4">
      <c r="AE77" s="3" t="s">
        <v>149</v>
      </c>
    </row>
    <row r="78" spans="31:31" x14ac:dyDescent="0.4">
      <c r="AE78" s="3" t="s">
        <v>219</v>
      </c>
    </row>
    <row r="79" spans="31:31" x14ac:dyDescent="0.4">
      <c r="AE79" s="26" t="s">
        <v>37</v>
      </c>
    </row>
    <row r="80" spans="31:31" x14ac:dyDescent="0.4">
      <c r="AE80" s="28" t="s">
        <v>180</v>
      </c>
    </row>
    <row r="81" spans="31:31" x14ac:dyDescent="0.4">
      <c r="AE81" s="3" t="s">
        <v>220</v>
      </c>
    </row>
    <row r="82" spans="31:31" x14ac:dyDescent="0.4">
      <c r="AE82" s="26" t="s">
        <v>185</v>
      </c>
    </row>
    <row r="83" spans="31:31" x14ac:dyDescent="0.4">
      <c r="AE83" s="28" t="s">
        <v>157</v>
      </c>
    </row>
    <row r="84" spans="31:31" x14ac:dyDescent="0.4">
      <c r="AE84" s="28" t="s">
        <v>304</v>
      </c>
    </row>
    <row r="85" spans="31:31" x14ac:dyDescent="0.4">
      <c r="AE85" s="3" t="s">
        <v>170</v>
      </c>
    </row>
    <row r="86" spans="31:31" x14ac:dyDescent="0.4">
      <c r="AE86" s="3" t="s">
        <v>221</v>
      </c>
    </row>
    <row r="87" spans="31:31" x14ac:dyDescent="0.4">
      <c r="AE87" s="3" t="s">
        <v>305</v>
      </c>
    </row>
    <row r="88" spans="31:31" x14ac:dyDescent="0.4">
      <c r="AE88" s="3" t="s">
        <v>201</v>
      </c>
    </row>
    <row r="89" spans="31:31" x14ac:dyDescent="0.4">
      <c r="AE89" s="3" t="s">
        <v>306</v>
      </c>
    </row>
    <row r="90" spans="31:31" x14ac:dyDescent="0.4">
      <c r="AE90" s="3" t="s">
        <v>307</v>
      </c>
    </row>
    <row r="91" spans="31:31" x14ac:dyDescent="0.4">
      <c r="AE91" s="3" t="s">
        <v>308</v>
      </c>
    </row>
    <row r="92" spans="31:31" x14ac:dyDescent="0.4">
      <c r="AE92" s="3" t="s">
        <v>223</v>
      </c>
    </row>
    <row r="93" spans="31:31" x14ac:dyDescent="0.4">
      <c r="AE93" s="3" t="s">
        <v>41</v>
      </c>
    </row>
    <row r="94" spans="31:31" x14ac:dyDescent="0.4">
      <c r="AE94" s="3" t="s">
        <v>184</v>
      </c>
    </row>
    <row r="95" spans="31:31" x14ac:dyDescent="0.4">
      <c r="AE95" s="3" t="s">
        <v>182</v>
      </c>
    </row>
    <row r="96" spans="31:31" x14ac:dyDescent="0.4">
      <c r="AE96" s="3" t="s">
        <v>203</v>
      </c>
    </row>
    <row r="97" spans="31:31" x14ac:dyDescent="0.4">
      <c r="AE97" s="3" t="s">
        <v>309</v>
      </c>
    </row>
    <row r="98" spans="31:31" x14ac:dyDescent="0.4">
      <c r="AE98" s="3" t="s">
        <v>310</v>
      </c>
    </row>
    <row r="99" spans="31:31" x14ac:dyDescent="0.4">
      <c r="AE99" s="3" t="s">
        <v>311</v>
      </c>
    </row>
    <row r="100" spans="31:31" x14ac:dyDescent="0.4">
      <c r="AE100" s="3" t="s">
        <v>243</v>
      </c>
    </row>
    <row r="101" spans="31:31" x14ac:dyDescent="0.4">
      <c r="AE101" s="3" t="s">
        <v>171</v>
      </c>
    </row>
    <row r="102" spans="31:31" x14ac:dyDescent="0.4">
      <c r="AE102" s="3" t="s">
        <v>183</v>
      </c>
    </row>
    <row r="103" spans="31:31" x14ac:dyDescent="0.4">
      <c r="AE103" s="3" t="s">
        <v>312</v>
      </c>
    </row>
    <row r="104" spans="31:31" x14ac:dyDescent="0.4">
      <c r="AE104" s="3" t="s">
        <v>202</v>
      </c>
    </row>
    <row r="105" spans="31:31" x14ac:dyDescent="0.4">
      <c r="AE105" s="3" t="s">
        <v>313</v>
      </c>
    </row>
    <row r="106" spans="31:31" x14ac:dyDescent="0.4">
      <c r="AE106" s="3" t="s">
        <v>222</v>
      </c>
    </row>
    <row r="107" spans="31:31" x14ac:dyDescent="0.4">
      <c r="AE107" s="3" t="s">
        <v>66</v>
      </c>
    </row>
    <row r="108" spans="31:31" x14ac:dyDescent="0.4">
      <c r="AE108" s="3" t="s">
        <v>314</v>
      </c>
    </row>
    <row r="109" spans="31:31" x14ac:dyDescent="0.4">
      <c r="AE109" s="3" t="s">
        <v>69</v>
      </c>
    </row>
    <row r="110" spans="31:31" x14ac:dyDescent="0.4">
      <c r="AE110" s="3" t="s">
        <v>147</v>
      </c>
    </row>
    <row r="111" spans="31:31" x14ac:dyDescent="0.4">
      <c r="AE111" s="3" t="s">
        <v>45</v>
      </c>
    </row>
    <row r="112" spans="31:31" x14ac:dyDescent="0.4">
      <c r="AE112" s="3" t="s">
        <v>315</v>
      </c>
    </row>
    <row r="113" spans="31:31" x14ac:dyDescent="0.4">
      <c r="AE113" s="3" t="s">
        <v>49</v>
      </c>
    </row>
    <row r="114" spans="31:31" x14ac:dyDescent="0.4">
      <c r="AE114" s="3" t="s">
        <v>148</v>
      </c>
    </row>
    <row r="115" spans="31:31" x14ac:dyDescent="0.4">
      <c r="AE115" s="3" t="s">
        <v>186</v>
      </c>
    </row>
    <row r="116" spans="31:31" x14ac:dyDescent="0.4">
      <c r="AE116" s="123" t="s">
        <v>160</v>
      </c>
    </row>
    <row r="117" spans="31:31" x14ac:dyDescent="0.4">
      <c r="AE117" s="123" t="s">
        <v>79</v>
      </c>
    </row>
    <row r="118" spans="31:31" x14ac:dyDescent="0.4">
      <c r="AE118" s="123" t="s">
        <v>198</v>
      </c>
    </row>
    <row r="119" spans="31:31" x14ac:dyDescent="0.4">
      <c r="AE119" s="123" t="s">
        <v>244</v>
      </c>
    </row>
    <row r="120" spans="31:31" x14ac:dyDescent="0.4">
      <c r="AE120" s="123" t="s">
        <v>319</v>
      </c>
    </row>
    <row r="121" spans="31:31" x14ac:dyDescent="0.4">
      <c r="AE121" s="123" t="s">
        <v>320</v>
      </c>
    </row>
    <row r="122" spans="31:31" x14ac:dyDescent="0.4">
      <c r="AE122" s="123" t="s">
        <v>321</v>
      </c>
    </row>
    <row r="123" spans="31:31" x14ac:dyDescent="0.4">
      <c r="AE123" s="123" t="s">
        <v>322</v>
      </c>
    </row>
  </sheetData>
  <conditionalFormatting sqref="B22">
    <cfRule type="containsBlanks" dxfId="10" priority="62">
      <formula>LEN(TRIM(B22))=0</formula>
    </cfRule>
  </conditionalFormatting>
  <conditionalFormatting sqref="D27">
    <cfRule type="cellIs" dxfId="9" priority="5" operator="greaterThan">
      <formula>1</formula>
    </cfRule>
  </conditionalFormatting>
  <conditionalFormatting sqref="D30">
    <cfRule type="containsBlanks" dxfId="8" priority="20">
      <formula>LEN(TRIM(D30))=0</formula>
    </cfRule>
  </conditionalFormatting>
  <conditionalFormatting sqref="E27">
    <cfRule type="cellIs" dxfId="7" priority="34" operator="notEqual">
      <formula>$J$50</formula>
    </cfRule>
  </conditionalFormatting>
  <conditionalFormatting sqref="O14">
    <cfRule type="cellIs" dxfId="6" priority="12" operator="lessThan">
      <formula>100%</formula>
    </cfRule>
    <cfRule type="cellIs" dxfId="5" priority="13" operator="greaterThan">
      <formula>100%</formula>
    </cfRule>
  </conditionalFormatting>
  <conditionalFormatting sqref="P14">
    <cfRule type="cellIs" dxfId="4" priority="73" operator="lessThan">
      <formula>$E$25</formula>
    </cfRule>
    <cfRule type="cellIs" dxfId="3" priority="74" operator="greaterThan">
      <formula>$E$25</formula>
    </cfRule>
  </conditionalFormatting>
  <conditionalFormatting sqref="P22">
    <cfRule type="cellIs" dxfId="2" priority="6" operator="greaterThan">
      <formula>600000</formula>
    </cfRule>
  </conditionalFormatting>
  <conditionalFormatting sqref="AE95">
    <cfRule type="duplicateValues" dxfId="1" priority="14"/>
  </conditionalFormatting>
  <conditionalFormatting sqref="AE123:AE1048576 AK1:AK1048576 AE1:AE115">
    <cfRule type="duplicateValues" dxfId="0" priority="75"/>
  </conditionalFormatting>
  <dataValidations count="13">
    <dataValidation type="list" allowBlank="1" showInputMessage="1" showErrorMessage="1" sqref="H22" xr:uid="{00000000-0002-0000-0000-000000000000}">
      <formula1>$AG$6:$AG$7</formula1>
    </dataValidation>
    <dataValidation type="list" allowBlank="1" showInputMessage="1" showErrorMessage="1" sqref="C9" xr:uid="{00000000-0002-0000-0000-000001000000}">
      <formula1>$AB$6:$AB$66</formula1>
    </dataValidation>
    <dataValidation type="list" allowBlank="1" showInputMessage="1" showErrorMessage="1" sqref="E7" xr:uid="{00000000-0002-0000-0000-000002000000}">
      <formula1>INDIRECT("List_DealType")</formula1>
    </dataValidation>
    <dataValidation type="list" allowBlank="1" showInputMessage="1" showErrorMessage="1" sqref="E15 E17" xr:uid="{00000000-0002-0000-0000-000003000000}">
      <formula1>INDIRECT("List_LocalBrokerInvoices")</formula1>
    </dataValidation>
    <dataValidation type="list" allowBlank="1" showInputMessage="1" showErrorMessage="1" sqref="E13" xr:uid="{00000000-0002-0000-0000-000004000000}">
      <formula1>INDIRECT("List_KBCInvoices")</formula1>
    </dataValidation>
    <dataValidation type="list" allowBlank="1" showInputMessage="1" showErrorMessage="1" sqref="E8" xr:uid="{00000000-0002-0000-0000-000005000000}">
      <formula1>INDIRECT("List_BuildingType")</formula1>
    </dataValidation>
    <dataValidation type="list" allowBlank="1" showInputMessage="1" showErrorMessage="1" sqref="N5" xr:uid="{F07D0993-8413-458C-8818-750E043677B8}">
      <formula1>$O$5:$P$5</formula1>
    </dataValidation>
    <dataValidation type="list" allowBlank="1" showInputMessage="1" showErrorMessage="1" sqref="E11" xr:uid="{E376FC05-E808-4140-A36A-2C3B03E174CF}">
      <formula1>INDIRECT("List_CooperatingBrokerInvoices")</formula1>
    </dataValidation>
    <dataValidation type="list" allowBlank="1" showInputMessage="1" showErrorMessage="1" sqref="E10 E18" xr:uid="{0766A432-A48E-4E43-870E-5BB18CA83469}">
      <formula1>INDIRECT("List_Client")</formula1>
    </dataValidation>
    <dataValidation type="list" allowBlank="1" showInputMessage="1" showErrorMessage="1" sqref="E4 E14" xr:uid="{3453BFB1-D873-4BD3-90C4-E2ED55055B0B}">
      <formula1>INDIRECT("List_KBCOffice")</formula1>
    </dataValidation>
    <dataValidation type="list" allowBlank="1" showInputMessage="1" showErrorMessage="1" sqref="C10" xr:uid="{9D88505E-3A23-44FB-A060-BCA9159D0338}">
      <formula1>INDIRECT("List_Country")</formula1>
    </dataValidation>
    <dataValidation type="list" allowBlank="1" showInputMessage="1" showErrorMessage="1" sqref="N6:N13" xr:uid="{4E41FA82-D1C4-457D-9306-0A3EE3C89977}">
      <formula1>$AE$7:$AE$96</formula1>
    </dataValidation>
    <dataValidation type="list" allowBlank="1" showInputMessage="1" showErrorMessage="1" sqref="E12" xr:uid="{00000000-0002-0000-0000-000006000000}">
      <formula1>$AE$6:$AE$123</formula1>
    </dataValidation>
  </dataValidations>
  <pageMargins left="0.7" right="0.7" top="0.75" bottom="0.75" header="0.3" footer="0.3"/>
  <pageSetup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66AD6793F04848BB076F720D211B59" ma:contentTypeVersion="11" ma:contentTypeDescription="Create a new document." ma:contentTypeScope="" ma:versionID="299445a5a3f9405eff7568a423e10ae0">
  <xsd:schema xmlns:xsd="http://www.w3.org/2001/XMLSchema" xmlns:xs="http://www.w3.org/2001/XMLSchema" xmlns:p="http://schemas.microsoft.com/office/2006/metadata/properties" xmlns:ns2="46045bfa-be94-4795-80b9-900d521a9139" xmlns:ns3="756da57d-9672-4d2d-b53d-435c3ceca1c7" targetNamespace="http://schemas.microsoft.com/office/2006/metadata/properties" ma:root="true" ma:fieldsID="45aba4000f2234e54ff5b9b68996d44c" ns2:_="" ns3:_="">
    <xsd:import namespace="46045bfa-be94-4795-80b9-900d521a9139"/>
    <xsd:import namespace="756da57d-9672-4d2d-b53d-435c3ceca1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45bfa-be94-4795-80b9-900d521a9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3c4ce00-bc67-4462-b941-e8e00ceecc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da57d-9672-4d2d-b53d-435c3ceca1c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c540126-67cc-41bd-bde7-4dcf7b4ce2db}" ma:internalName="TaxCatchAll" ma:showField="CatchAllData" ma:web="756da57d-9672-4d2d-b53d-435c3ceca1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6da57d-9672-4d2d-b53d-435c3ceca1c7" xsi:nil="true"/>
    <lcf76f155ced4ddcb4097134ff3c332f xmlns="46045bfa-be94-4795-80b9-900d521a91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109C9-A506-4D03-8765-1C8D2772F706}"/>
</file>

<file path=customXml/itemProps2.xml><?xml version="1.0" encoding="utf-8"?>
<ds:datastoreItem xmlns:ds="http://schemas.openxmlformats.org/officeDocument/2006/customXml" ds:itemID="{CB16F9CC-A89F-4A49-BFB7-7468BD976162}"/>
</file>

<file path=customXml/itemProps3.xml><?xml version="1.0" encoding="utf-8"?>
<ds:datastoreItem xmlns:ds="http://schemas.openxmlformats.org/officeDocument/2006/customXml" ds:itemID="{C613A159-443A-47CC-BCD8-AA4EACEAB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Input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Waltier, Anthony</dc:creator>
  <cp:lastModifiedBy>Mike Hwang</cp:lastModifiedBy>
  <dcterms:created xsi:type="dcterms:W3CDTF">2020-03-10T18:22:12Z</dcterms:created>
  <dcterms:modified xsi:type="dcterms:W3CDTF">2025-10-10T22:26:05Z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0x010100C966AD6793F04848BB076F720D211B59</vt:lpwstr>
  </property>
</Properties>
</file>