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51840" windowHeight="21120" tabRatio="600" firstSheet="5" activeTab="6" autoFilterDateGrouping="1"/>
  </bookViews>
  <sheets>
    <sheet xmlns:r="http://schemas.openxmlformats.org/officeDocument/2006/relationships" name="Site Selection Scorecard" sheetId="1" state="hidden" r:id="rId1"/>
    <sheet xmlns:r="http://schemas.openxmlformats.org/officeDocument/2006/relationships" name="CAR Approval Page 0" sheetId="2" state="visible" r:id="rId2"/>
    <sheet xmlns:r="http://schemas.openxmlformats.org/officeDocument/2006/relationships" name="FA Inputs" sheetId="3" state="hidden" r:id="rId3"/>
    <sheet xmlns:r="http://schemas.openxmlformats.org/officeDocument/2006/relationships" name="Topology Map" sheetId="4" state="visible" r:id="rId4"/>
    <sheet xmlns:r="http://schemas.openxmlformats.org/officeDocument/2006/relationships" name="Dropdowns (Hidden)" sheetId="5" state="hidden" r:id="rId5"/>
    <sheet xmlns:r="http://schemas.openxmlformats.org/officeDocument/2006/relationships" name="Cash Flow" sheetId="6" state="visible" r:id="rId6"/>
    <sheet xmlns:r="http://schemas.openxmlformats.org/officeDocument/2006/relationships" name="Comps" sheetId="7" state="visible" r:id="rId7"/>
    <sheet xmlns:r="http://schemas.openxmlformats.org/officeDocument/2006/relationships" name="Cost Estimation" sheetId="8" state="visible" r:id="rId8"/>
    <sheet xmlns:r="http://schemas.openxmlformats.org/officeDocument/2006/relationships" name="Startup Templates" sheetId="9" state="visible" r:id="rId9"/>
    <sheet xmlns:r="http://schemas.openxmlformats.org/officeDocument/2006/relationships" name="Design" sheetId="10" state="visible" r:id="rId10"/>
    <sheet xmlns:r="http://schemas.openxmlformats.org/officeDocument/2006/relationships" name="Site Pictures" sheetId="11" state="visible" r:id="rId11"/>
    <sheet xmlns:r="http://schemas.openxmlformats.org/officeDocument/2006/relationships" name="Landlord Work" sheetId="12" state="visible" r:id="rId12"/>
    <sheet xmlns:r="http://schemas.openxmlformats.org/officeDocument/2006/relationships" name="Change Log" sheetId="13" state="hidden" r:id="rId13"/>
    <sheet xmlns:r="http://schemas.openxmlformats.org/officeDocument/2006/relationships" name="Scorecard Category_Definitions" sheetId="14" state="hidden" r:id="rId14"/>
  </sheets>
  <definedNames/>
  <calcPr calcId="191029" fullCalcOnLoad="1"/>
</workbook>
</file>

<file path=xl/styles.xml><?xml version="1.0" encoding="utf-8"?>
<styleSheet xmlns="http://schemas.openxmlformats.org/spreadsheetml/2006/main">
  <numFmts count="15">
    <numFmt numFmtId="164" formatCode="&quot;$&quot;#,##0.00"/>
    <numFmt numFmtId="165" formatCode="&quot;$&quot;#,##0_);[Red]\(&quot;$&quot;#,##0\)"/>
    <numFmt numFmtId="166" formatCode="_(&quot;$&quot;* #,##0.00_);_(&quot;$&quot;* \(#,##0.00\);_(&quot;$&quot;* &quot;-&quot;??_);_(@_)"/>
    <numFmt numFmtId="167" formatCode="0.000%"/>
    <numFmt numFmtId="168" formatCode="_(* #,##0_);_(* \(#,##0\);_(* &quot;-&quot;??_);_(@_)"/>
    <numFmt numFmtId="169" formatCode="0.0%"/>
    <numFmt numFmtId="170" formatCode="_(&quot;$&quot;* #,##0.000_);_(&quot;$&quot;* \(#,##0.000\);_(&quot;$&quot;* &quot;-&quot;??_);_(@_)"/>
    <numFmt numFmtId="171" formatCode="&quot;$&quot;#,##0.00_);\(&quot;$&quot;#,##0.00\)"/>
    <numFmt numFmtId="172" formatCode="_(* #,##0.000000_);_(* \(#,##0.000000\);_(* &quot;-&quot;??_);_(@_)"/>
    <numFmt numFmtId="173" formatCode="&quot;$&quot;#,##0"/>
    <numFmt numFmtId="174" formatCode="_(&quot;$&quot;* #,##0.0000_);_(&quot;$&quot;* \(#,##0.0000\);_(&quot;$&quot;* &quot;-&quot;??_);_(@_)"/>
    <numFmt numFmtId="175" formatCode="&quot;$&quot;#,##0_);\(&quot;$&quot;#,##0\)"/>
    <numFmt numFmtId="176" formatCode="_(&quot;$&quot;* #,##0_);_(&quot;$&quot;* \(#,##0\);_(&quot;$&quot;* &quot;-&quot;??_);_(@_)"/>
    <numFmt numFmtId="177" formatCode="0.0"/>
    <numFmt numFmtId="178" formatCode="&quot;$&quot;#,##0.00_);[Red]\(&quot;$&quot;#,##0.00\)"/>
  </numFmts>
  <fonts count="5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theme="1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family val="2"/>
      <b val="1"/>
      <color theme="0"/>
      <sz val="12"/>
      <scheme val="minor"/>
    </font>
    <font>
      <name val="Aptos Narrow"/>
      <family val="2"/>
      <color theme="0"/>
      <sz val="12"/>
      <scheme val="minor"/>
    </font>
    <font>
      <name val="Aptos Narrow"/>
      <family val="2"/>
      <color rgb="FF006100"/>
      <sz val="11"/>
      <scheme val="minor"/>
    </font>
    <font>
      <name val="Aptos Narrow"/>
      <family val="2"/>
      <color rgb="FF9C0006"/>
      <sz val="11"/>
      <scheme val="minor"/>
    </font>
    <font>
      <name val="Aptos Narrow"/>
      <family val="2"/>
      <color rgb="FF9C5700"/>
      <sz val="11"/>
      <scheme val="minor"/>
    </font>
    <font>
      <name val="Aptos Narrow"/>
      <family val="2"/>
      <color rgb="FF3F3F76"/>
      <sz val="11"/>
      <scheme val="minor"/>
    </font>
    <font>
      <name val="Aptos Narrow"/>
      <family val="2"/>
      <color theme="0"/>
      <sz val="11"/>
      <scheme val="minor"/>
    </font>
    <font>
      <name val="Aptos Narrow"/>
      <family val="2"/>
      <b val="1"/>
      <color theme="1"/>
      <sz val="20"/>
      <scheme val="minor"/>
    </font>
    <font>
      <name val="Aptos Narrow"/>
      <family val="2"/>
      <color theme="1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b val="1"/>
      <color theme="0"/>
      <sz val="10"/>
      <scheme val="minor"/>
    </font>
    <font>
      <name val="Aptos Narrow"/>
      <family val="2"/>
      <sz val="11"/>
      <scheme val="minor"/>
    </font>
    <font>
      <name val="Aptos Narrow"/>
      <family val="2"/>
      <color theme="1"/>
      <sz val="10"/>
      <scheme val="minor"/>
    </font>
    <font>
      <name val="Aptos Narrow"/>
      <family val="2"/>
      <b val="1"/>
      <color rgb="FFFF0000"/>
      <sz val="11"/>
      <scheme val="minor"/>
    </font>
    <font>
      <name val="Aptos Narrow"/>
      <family val="2"/>
      <i val="1"/>
      <color rgb="FFFF0000"/>
      <sz val="11"/>
      <scheme val="minor"/>
    </font>
    <font>
      <name val="Aptos Narrow"/>
      <family val="2"/>
      <color rgb="FF000000"/>
      <sz val="11"/>
      <scheme val="minor"/>
    </font>
    <font>
      <name val="Aptos Narrow"/>
      <family val="2"/>
      <i val="1"/>
      <color theme="1"/>
      <sz val="11"/>
      <scheme val="minor"/>
    </font>
    <font>
      <name val="Aptos Narrow"/>
      <family val="2"/>
      <sz val="12"/>
      <scheme val="minor"/>
    </font>
    <font>
      <name val="Montserrat"/>
      <family val="3"/>
      <b val="1"/>
      <sz val="10"/>
    </font>
    <font>
      <name val="Montserrat"/>
      <family val="3"/>
      <b val="1"/>
      <sz val="16"/>
    </font>
    <font>
      <name val="Montserrat"/>
      <family val="3"/>
      <sz val="10"/>
    </font>
    <font>
      <name val="Montserrat"/>
      <family val="3"/>
      <sz val="8"/>
    </font>
    <font>
      <name val="Montserrat"/>
      <family val="3"/>
      <b val="1"/>
      <sz val="8"/>
    </font>
    <font>
      <name val="Montserrat Light"/>
      <family val="3"/>
      <sz val="8"/>
    </font>
    <font>
      <name val="Montserrat Light"/>
      <family val="3"/>
      <color rgb="FFD1BD94"/>
      <sz val="8"/>
    </font>
    <font>
      <name val="Montserrat"/>
      <family val="3"/>
      <b val="1"/>
      <color rgb="FFD1BD94"/>
      <sz val="10"/>
    </font>
    <font>
      <name val="Montserrat Light"/>
      <family val="3"/>
      <color rgb="FF000000"/>
      <sz val="8"/>
    </font>
    <font>
      <name val="Montserrat Light"/>
      <family val="3"/>
      <b val="1"/>
      <sz val="8"/>
    </font>
    <font>
      <name val="Arial"/>
      <family val="2"/>
      <sz val="10"/>
    </font>
    <font>
      <name val="Montserrat"/>
      <family val="3"/>
      <color theme="0"/>
      <sz val="10"/>
    </font>
    <font>
      <name val="Montserrat"/>
      <family val="3"/>
      <b val="1"/>
      <sz val="10"/>
      <u val="single"/>
    </font>
    <font>
      <name val="Montserrat"/>
      <family val="3"/>
      <b val="1"/>
      <color theme="0"/>
      <sz val="10"/>
    </font>
    <font>
      <name val="Montserrat "/>
      <b val="1"/>
      <sz val="8"/>
    </font>
    <font>
      <name val="Aptos Narrow"/>
      <family val="2"/>
      <b val="1"/>
      <sz val="10"/>
      <scheme val="minor"/>
    </font>
    <font>
      <name val="Aptos Narrow"/>
      <family val="2"/>
      <sz val="10"/>
      <scheme val="minor"/>
    </font>
    <font>
      <name val="Montserrat Light "/>
      <sz val="8"/>
    </font>
    <font>
      <name val="Aptos Narrow"/>
      <family val="2"/>
      <i val="1"/>
      <sz val="10"/>
      <scheme val="minor"/>
    </font>
    <font>
      <name val="Aptos Narrow"/>
      <family val="2"/>
      <color theme="0"/>
      <sz val="10"/>
      <scheme val="minor"/>
    </font>
    <font>
      <name val="Montserrat Light "/>
      <b val="1"/>
      <color rgb="FFFF0000"/>
      <sz val="8"/>
    </font>
    <font>
      <name val="Montserrat Light "/>
      <color rgb="FF000000"/>
      <sz val="8"/>
    </font>
    <font>
      <name val="Montserrat Light "/>
      <b val="1"/>
      <sz val="8"/>
    </font>
    <font>
      <name val="Montserrat"/>
      <family val="3"/>
      <b val="1"/>
      <color theme="0"/>
      <sz val="8"/>
    </font>
    <font>
      <name val="Aptos Narrow"/>
      <family val="2"/>
      <b val="1"/>
      <color rgb="FFD1BD94"/>
      <sz val="16"/>
      <scheme val="minor"/>
    </font>
    <font>
      <name val="Aptos Narrow"/>
      <family val="2"/>
      <color rgb="FF000000"/>
      <sz val="11"/>
    </font>
    <font>
      <name val="Aptos Narrow"/>
      <family val="2"/>
      <sz val="11"/>
    </font>
    <font>
      <name val="Arial Narrow"/>
      <family val="2"/>
      <sz val="10"/>
    </font>
    <font>
      <name val="Aptos Narrow"/>
      <color rgb="FF000000"/>
      <sz val="11"/>
    </font>
    <font>
      <name val="Aptos Narrow"/>
      <b val="1"/>
      <color rgb="FFFFFFFF"/>
      <sz val="12"/>
      <scheme val="minor"/>
    </font>
    <font>
      <name val="Aptos Narrow"/>
      <charset val="1"/>
      <color rgb="FF242424"/>
      <sz val="11"/>
    </font>
    <font>
      <name val="Nunito Sans"/>
      <charset val="1"/>
      <color rgb="FF07040D"/>
      <sz val="11"/>
    </font>
  </fonts>
  <fills count="20">
    <fill>
      <patternFill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rgb="FFD1D3D4"/>
        <bgColor indexed="64"/>
      </patternFill>
    </fill>
    <fill>
      <patternFill patternType="solid">
        <fgColor rgb="FF94A6D0"/>
        <bgColor indexed="64"/>
      </patternFill>
    </fill>
    <fill>
      <patternFill patternType="solid">
        <fgColor rgb="FFFFFFFF"/>
        <bgColor rgb="FF000000"/>
      </patternFill>
    </fill>
  </fills>
  <borders count="96">
    <border>
      <left/>
      <right/>
      <top/>
      <bottom/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/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dotted">
        <color theme="0" tint="-0.499984740745262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dotted">
        <color theme="0" tint="-0.499984740745262"/>
      </right>
      <top style="thin">
        <color indexed="64"/>
      </top>
      <bottom/>
      <diagonal/>
    </border>
    <border>
      <left/>
      <right style="dotted">
        <color theme="0" tint="-0.499984740745262"/>
      </right>
      <top style="thin">
        <color indexed="64"/>
      </top>
      <bottom/>
      <diagonal/>
    </border>
    <border>
      <left style="hair">
        <color indexed="64"/>
      </left>
      <right style="dotted">
        <color theme="0" tint="-0.499984740745262"/>
      </right>
      <top/>
      <bottom/>
      <diagonal/>
    </border>
    <border>
      <left/>
      <right style="dotted">
        <color theme="0" tint="-0.499984740745262"/>
      </right>
      <top/>
      <bottom/>
      <diagonal/>
    </border>
    <border>
      <left style="dotted">
        <color theme="0" tint="-0.499984740745262"/>
      </left>
      <right/>
      <top/>
      <bottom/>
      <diagonal/>
    </border>
    <border>
      <left style="hair">
        <color indexed="64"/>
      </left>
      <right style="dotted">
        <color theme="0" tint="-0.499984740745262"/>
      </right>
      <top/>
      <bottom style="hair">
        <color indexed="64"/>
      </bottom>
      <diagonal/>
    </border>
    <border>
      <left/>
      <right style="dotted">
        <color theme="0" tint="-0.499984740745262"/>
      </right>
      <top/>
      <bottom style="hair">
        <color indexed="64"/>
      </bottom>
      <diagonal/>
    </border>
    <border>
      <left/>
      <right style="dotted">
        <color theme="0" tint="-0.499984740745262"/>
      </right>
      <top style="hair">
        <color indexed="64"/>
      </top>
      <bottom style="thin">
        <color indexed="64"/>
      </bottom>
      <diagonal/>
    </border>
    <border>
      <left/>
      <right style="dotted">
        <color theme="0" tint="-0.499984740745262"/>
      </right>
      <top/>
      <bottom style="thin">
        <color indexed="64"/>
      </bottom>
      <diagonal/>
    </border>
    <border>
      <left style="dotted">
        <color theme="0" tint="-0.499984740745262"/>
      </left>
      <right/>
      <top/>
      <bottom style="thin">
        <color indexed="64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hair">
        <color indexed="64"/>
      </left>
      <right style="dotted">
        <color theme="0" tint="-0.499984740745262"/>
      </right>
      <top style="thin">
        <color indexed="64"/>
      </top>
      <bottom style="thin">
        <color indexed="64"/>
      </bottom>
      <diagonal/>
    </border>
    <border>
      <left style="dotted">
        <color theme="0" tint="-0.499984740745262"/>
      </left>
      <right style="dotted">
        <color theme="0" tint="-0.499984740745262"/>
      </right>
      <top style="thin">
        <color indexed="64"/>
      </top>
      <bottom style="thin">
        <color indexed="64"/>
      </bottom>
      <diagonal/>
    </border>
    <border>
      <left style="dotted">
        <color theme="0" tint="-0.499984740745262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hair">
        <color indexed="64"/>
      </top>
      <bottom/>
      <diagonal/>
    </border>
  </borders>
  <cellStyleXfs count="17">
    <xf numFmtId="0" fontId="13" fillId="0" borderId="0"/>
    <xf numFmtId="0" fontId="3" fillId="0" borderId="0"/>
    <xf numFmtId="0" fontId="7" fillId="5" borderId="0"/>
    <xf numFmtId="0" fontId="8" fillId="6" borderId="0"/>
    <xf numFmtId="0" fontId="9" fillId="7" borderId="0"/>
    <xf numFmtId="0" fontId="10" fillId="8" borderId="24"/>
    <xf numFmtId="44" fontId="13" fillId="0" borderId="0"/>
    <xf numFmtId="43" fontId="13" fillId="0" borderId="0"/>
    <xf numFmtId="9" fontId="13" fillId="0" borderId="0"/>
    <xf numFmtId="0" fontId="33" fillId="0" borderId="0"/>
    <xf numFmtId="43" fontId="33" fillId="0" borderId="0"/>
    <xf numFmtId="0" fontId="33" fillId="0" borderId="0"/>
    <xf numFmtId="44" fontId="33" fillId="0" borderId="0"/>
    <xf numFmtId="0" fontId="33" fillId="0" borderId="0"/>
    <xf numFmtId="44" fontId="33" fillId="0" borderId="0"/>
    <xf numFmtId="0" fontId="33" fillId="0" borderId="0"/>
    <xf numFmtId="44" fontId="13" fillId="0" borderId="0"/>
  </cellStyleXfs>
  <cellXfs count="716">
    <xf numFmtId="0" fontId="0" fillId="0" borderId="0" pivotButton="0" quotePrefix="0" xfId="0"/>
    <xf numFmtId="0" fontId="3" fillId="0" borderId="0" applyAlignment="1" pivotButton="0" quotePrefix="0" xfId="1">
      <alignment wrapText="1"/>
    </xf>
    <xf numFmtId="164" fontId="4" fillId="0" borderId="0" applyAlignment="1" pivotButton="0" quotePrefix="0" xfId="1">
      <alignment horizontal="center" vertical="center" wrapText="1"/>
    </xf>
    <xf numFmtId="0" fontId="4" fillId="0" borderId="0" applyAlignment="1" pivotButton="0" quotePrefix="0" xfId="1">
      <alignment horizontal="left" vertical="center" wrapText="1"/>
    </xf>
    <xf numFmtId="164" fontId="3" fillId="0" borderId="0" applyAlignment="1" pivotButton="0" quotePrefix="0" xfId="1">
      <alignment horizontal="center" vertical="center" wrapText="1"/>
    </xf>
    <xf numFmtId="0" fontId="6" fillId="0" borderId="0" applyAlignment="1" pivotButton="0" quotePrefix="0" xfId="1">
      <alignment wrapText="1"/>
    </xf>
    <xf numFmtId="0" fontId="3" fillId="0" borderId="2" applyAlignment="1" pivotButton="0" quotePrefix="0" xfId="1">
      <alignment wrapText="1"/>
    </xf>
    <xf numFmtId="0" fontId="2" fillId="2" borderId="1" applyAlignment="1" pivotButton="0" quotePrefix="0" xfId="0">
      <alignment horizontal="left" vertical="center" wrapText="1"/>
    </xf>
    <xf numFmtId="0" fontId="0" fillId="0" borderId="5" applyAlignment="1" pivotButton="0" quotePrefix="0" xfId="0">
      <alignment horizontal="left" vertical="center" wrapText="1"/>
    </xf>
    <xf numFmtId="0" fontId="0" fillId="0" borderId="6" applyAlignment="1" pivotButton="0" quotePrefix="0" xfId="0">
      <alignment horizontal="left" vertical="center" wrapText="1"/>
    </xf>
    <xf numFmtId="0" fontId="0" fillId="0" borderId="7" applyAlignment="1" pivotButton="0" quotePrefix="0" xfId="0">
      <alignment horizontal="left" vertical="center" wrapText="1"/>
    </xf>
    <xf numFmtId="0" fontId="0" fillId="0" borderId="8" applyAlignment="1" pivotButton="0" quotePrefix="0" xfId="0">
      <alignment horizontal="left" vertical="center" wrapText="1"/>
    </xf>
    <xf numFmtId="0" fontId="4" fillId="0" borderId="2" applyAlignment="1" pivotButton="0" quotePrefix="0" xfId="1">
      <alignment horizontal="center" vertical="center" wrapText="1"/>
    </xf>
    <xf numFmtId="164" fontId="4" fillId="4" borderId="2" applyAlignment="1" pivotButton="0" quotePrefix="0" xfId="1">
      <alignment horizontal="center" vertical="center" wrapText="1"/>
    </xf>
    <xf numFmtId="164" fontId="4" fillId="0" borderId="2" applyAlignment="1" pivotButton="0" quotePrefix="0" xfId="1">
      <alignment horizontal="center" vertical="center" wrapText="1"/>
    </xf>
    <xf numFmtId="0" fontId="3" fillId="0" borderId="2" applyAlignment="1" pivotButton="0" quotePrefix="0" xfId="1">
      <alignment horizontal="center" vertical="center" wrapText="1"/>
    </xf>
    <xf numFmtId="0" fontId="5" fillId="2" borderId="2" applyAlignment="1" pivotButton="0" quotePrefix="0" xfId="1">
      <alignment wrapText="1"/>
    </xf>
    <xf numFmtId="0" fontId="6" fillId="3" borderId="5" applyAlignment="1" pivotButton="0" quotePrefix="0" xfId="1">
      <alignment horizontal="left" wrapText="1"/>
    </xf>
    <xf numFmtId="0" fontId="6" fillId="3" borderId="5" applyAlignment="1" pivotButton="0" quotePrefix="0" xfId="1">
      <alignment horizontal="center" vertical="center" wrapText="1"/>
    </xf>
    <xf numFmtId="164" fontId="3" fillId="0" borderId="6" applyAlignment="1" pivotButton="0" quotePrefix="0" xfId="1">
      <alignment horizontal="center" vertical="center" wrapText="1"/>
    </xf>
    <xf numFmtId="164" fontId="4" fillId="0" borderId="6" applyAlignment="1" pivotButton="0" quotePrefix="0" xfId="1">
      <alignment horizontal="center" vertical="center" wrapText="1"/>
    </xf>
    <xf numFmtId="0" fontId="4" fillId="0" borderId="12" applyAlignment="1" pivotButton="0" quotePrefix="0" xfId="1">
      <alignment horizontal="center" vertical="center" wrapText="1"/>
    </xf>
    <xf numFmtId="0" fontId="0" fillId="0" borderId="2" pivotButton="0" quotePrefix="0" xfId="0"/>
    <xf numFmtId="0" fontId="0" fillId="0" borderId="2" applyAlignment="1" pivotButton="0" quotePrefix="0" xfId="0">
      <alignment wrapText="1"/>
    </xf>
    <xf numFmtId="0" fontId="5" fillId="3" borderId="12" applyAlignment="1" pivotButton="0" quotePrefix="0" xfId="1">
      <alignment horizontal="left" vertical="center" wrapText="1"/>
    </xf>
    <xf numFmtId="164" fontId="3" fillId="0" borderId="22" applyAlignment="1" pivotButton="0" quotePrefix="0" xfId="1">
      <alignment horizontal="center" vertical="center" wrapText="1"/>
    </xf>
    <xf numFmtId="3" fontId="3" fillId="0" borderId="12" applyAlignment="1" pivotButton="0" quotePrefix="0" xfId="1">
      <alignment horizontal="center" vertical="center" wrapText="1"/>
    </xf>
    <xf numFmtId="164" fontId="4" fillId="2" borderId="12" applyAlignment="1" pivotButton="0" quotePrefix="0" xfId="1">
      <alignment horizontal="center" vertical="center" wrapText="1"/>
    </xf>
    <xf numFmtId="164" fontId="4" fillId="2" borderId="11" applyAlignment="1" pivotButton="0" quotePrefix="0" xfId="1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2" borderId="2" applyAlignment="1" pivotButton="0" quotePrefix="0" xfId="0">
      <alignment horizontal="center"/>
    </xf>
    <xf numFmtId="0" fontId="0" fillId="0" borderId="10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wrapText="1"/>
    </xf>
    <xf numFmtId="0" fontId="0" fillId="0" borderId="2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/>
    </xf>
    <xf numFmtId="0" fontId="0" fillId="0" borderId="2" applyAlignment="1" pivotButton="0" quotePrefix="1" xfId="0">
      <alignment horizontal="center" vertical="center"/>
    </xf>
    <xf numFmtId="10" fontId="0" fillId="0" borderId="2" applyAlignment="1" pivotButton="0" quotePrefix="0" xfId="0">
      <alignment horizontal="center" vertical="center"/>
    </xf>
    <xf numFmtId="0" fontId="2" fillId="2" borderId="4" applyAlignment="1" pivotButton="0" quotePrefix="0" xfId="0">
      <alignment horizontal="center" vertical="center" wrapText="1"/>
    </xf>
    <xf numFmtId="0" fontId="2" fillId="2" borderId="9" applyAlignment="1" pivotButton="0" quotePrefix="0" xfId="0">
      <alignment horizontal="center" vertical="center" wrapText="1"/>
    </xf>
    <xf numFmtId="0" fontId="2" fillId="2" borderId="9" applyAlignment="1" pivotButton="0" quotePrefix="0" xfId="0">
      <alignment horizontal="center" vertical="center"/>
    </xf>
    <xf numFmtId="0" fontId="7" fillId="5" borderId="2" pivotButton="0" quotePrefix="0" xfId="2"/>
    <xf numFmtId="0" fontId="9" fillId="7" borderId="2" pivotButton="0" quotePrefix="0" xfId="4"/>
    <xf numFmtId="0" fontId="8" fillId="6" borderId="2" pivotButton="0" quotePrefix="0" xfId="3"/>
    <xf numFmtId="0" fontId="2" fillId="2" borderId="2" pivotButton="0" quotePrefix="0" xfId="0"/>
    <xf numFmtId="0" fontId="0" fillId="9" borderId="2" pivotButton="0" quotePrefix="0" xfId="0"/>
    <xf numFmtId="0" fontId="3" fillId="10" borderId="0" applyAlignment="1" pivotButton="0" quotePrefix="0" xfId="1">
      <alignment wrapText="1"/>
    </xf>
    <xf numFmtId="0" fontId="6" fillId="2" borderId="28" applyAlignment="1" pivotButton="0" quotePrefix="0" xfId="1">
      <alignment wrapText="1"/>
    </xf>
    <xf numFmtId="0" fontId="3" fillId="2" borderId="29" applyAlignment="1" pivotButton="0" quotePrefix="0" xfId="1">
      <alignment wrapText="1"/>
    </xf>
    <xf numFmtId="0" fontId="3" fillId="2" borderId="30" applyAlignment="1" pivotButton="0" quotePrefix="0" xfId="1">
      <alignment wrapText="1"/>
    </xf>
    <xf numFmtId="164" fontId="0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left" vertical="center"/>
    </xf>
    <xf numFmtId="164" fontId="0" fillId="10" borderId="2" applyAlignment="1" pivotButton="0" quotePrefix="0" xfId="0">
      <alignment horizontal="center" vertical="center"/>
    </xf>
    <xf numFmtId="0" fontId="2" fillId="2" borderId="2" applyAlignment="1" pivotButton="0" quotePrefix="0" xfId="0">
      <alignment wrapText="1"/>
    </xf>
    <xf numFmtId="0" fontId="0" fillId="0" borderId="20" applyAlignment="1" pivotButton="0" quotePrefix="0" xfId="0">
      <alignment wrapText="1"/>
    </xf>
    <xf numFmtId="0" fontId="1" fillId="0" borderId="0" applyAlignment="1" pivotButton="0" quotePrefix="0" xfId="0">
      <alignment vertical="center" wrapText="1"/>
    </xf>
    <xf numFmtId="0" fontId="1" fillId="0" borderId="0" pivotButton="0" quotePrefix="0" xfId="0"/>
    <xf numFmtId="0" fontId="2" fillId="2" borderId="31" pivotButton="0" quotePrefix="0" xfId="0"/>
    <xf numFmtId="0" fontId="2" fillId="2" borderId="27" pivotButton="0" quotePrefix="0" xfId="0"/>
    <xf numFmtId="164" fontId="0" fillId="2" borderId="2" applyAlignment="1" pivotButton="0" quotePrefix="0" xfId="0">
      <alignment horizontal="center" vertical="center"/>
    </xf>
    <xf numFmtId="0" fontId="0" fillId="10" borderId="2" pivotButton="0" quotePrefix="0" xfId="0"/>
    <xf numFmtId="10" fontId="10" fillId="8" borderId="2" applyAlignment="1" applyProtection="1" pivotButton="0" quotePrefix="0" xfId="5">
      <alignment horizontal="center" vertical="center" wrapText="1"/>
      <protection locked="0" hidden="0"/>
    </xf>
    <xf numFmtId="0" fontId="10" fillId="8" borderId="2" applyAlignment="1" applyProtection="1" pivotButton="0" quotePrefix="0" xfId="5">
      <alignment horizontal="center" vertical="center" wrapText="1"/>
      <protection locked="0" hidden="0"/>
    </xf>
    <xf numFmtId="164" fontId="10" fillId="8" borderId="2" applyAlignment="1" applyProtection="1" pivotButton="0" quotePrefix="0" xfId="5">
      <alignment horizontal="center" vertical="center" wrapText="1"/>
      <protection locked="0" hidden="0"/>
    </xf>
    <xf numFmtId="0" fontId="10" fillId="8" borderId="10" applyAlignment="1" applyProtection="1" pivotButton="0" quotePrefix="0" xfId="5">
      <alignment horizontal="center" vertical="center" wrapText="1"/>
      <protection locked="0" hidden="0"/>
    </xf>
    <xf numFmtId="0" fontId="0" fillId="0" borderId="2" applyProtection="1" pivotButton="0" quotePrefix="0" xfId="0">
      <protection locked="0" hidden="0"/>
    </xf>
    <xf numFmtId="164" fontId="0" fillId="0" borderId="2" applyAlignment="1" applyProtection="1" pivotButton="0" quotePrefix="0" xfId="0">
      <alignment horizontal="right"/>
      <protection locked="0" hidden="0"/>
    </xf>
    <xf numFmtId="0" fontId="0" fillId="0" borderId="2" applyAlignment="1" applyProtection="1" pivotButton="0" quotePrefix="0" xfId="0">
      <alignment horizontal="center"/>
      <protection locked="0" hidden="0"/>
    </xf>
    <xf numFmtId="164" fontId="0" fillId="0" borderId="2" applyAlignment="1" applyProtection="1" pivotButton="0" quotePrefix="0" xfId="0">
      <alignment horizontal="right" wrapText="1"/>
      <protection locked="0" hidden="0"/>
    </xf>
    <xf numFmtId="164" fontId="0" fillId="0" borderId="2" applyAlignment="1" applyProtection="1" pivotButton="0" quotePrefix="0" xfId="0">
      <alignment horizontal="right" vertical="top" wrapText="1"/>
      <protection locked="0" hidden="0"/>
    </xf>
    <xf numFmtId="0" fontId="2" fillId="2" borderId="32" applyAlignment="1" pivotButton="0" quotePrefix="0" xfId="0">
      <alignment horizontal="center" vertical="center" wrapText="1"/>
    </xf>
    <xf numFmtId="164" fontId="0" fillId="0" borderId="17" applyAlignment="1" pivotButton="0" quotePrefix="0" xfId="0">
      <alignment horizontal="center" vertical="center"/>
    </xf>
    <xf numFmtId="164" fontId="0" fillId="10" borderId="17" applyAlignment="1" pivotButton="0" quotePrefix="0" xfId="0">
      <alignment horizontal="center" vertical="center"/>
    </xf>
    <xf numFmtId="164" fontId="0" fillId="2" borderId="17" applyAlignment="1" pivotButton="0" quotePrefix="0" xfId="0">
      <alignment horizontal="center" vertical="center"/>
    </xf>
    <xf numFmtId="0" fontId="2" fillId="2" borderId="17" pivotButton="0" quotePrefix="0" xfId="0"/>
    <xf numFmtId="0" fontId="0" fillId="0" borderId="17" applyAlignment="1" applyProtection="1" pivotButton="0" quotePrefix="0" xfId="0">
      <alignment horizontal="center" vertical="center"/>
      <protection locked="0" hidden="0"/>
    </xf>
    <xf numFmtId="0" fontId="0" fillId="0" borderId="2" applyAlignment="1" pivotButton="0" quotePrefix="0" xfId="0">
      <alignment horizontal="left" vertical="center" wrapText="1"/>
    </xf>
    <xf numFmtId="0" fontId="0" fillId="0" borderId="2" applyAlignment="1" pivotButton="0" quotePrefix="0" xfId="0">
      <alignment horizontal="left" wrapText="1"/>
    </xf>
    <xf numFmtId="0" fontId="0" fillId="0" borderId="2" applyAlignment="1" pivotButton="0" quotePrefix="0" xfId="0">
      <alignment horizontal="left"/>
    </xf>
    <xf numFmtId="0" fontId="0" fillId="0" borderId="33" applyAlignment="1" applyProtection="1" pivotButton="0" quotePrefix="0" xfId="0">
      <alignment horizontal="center" vertical="center"/>
      <protection locked="0" hidden="0"/>
    </xf>
    <xf numFmtId="0" fontId="1" fillId="0" borderId="20" pivotButton="0" quotePrefix="0" xfId="0"/>
    <xf numFmtId="0" fontId="0" fillId="0" borderId="0" applyAlignment="1" pivotButton="0" quotePrefix="0" xfId="0">
      <alignment horizontal="left" vertical="center"/>
    </xf>
    <xf numFmtId="10" fontId="10" fillId="8" borderId="24" applyProtection="1" pivotButton="0" quotePrefix="0" xfId="5">
      <protection locked="0" hidden="0"/>
    </xf>
    <xf numFmtId="0" fontId="0" fillId="0" borderId="5" applyAlignment="1" pivotButton="0" quotePrefix="0" xfId="0">
      <alignment horizontal="center" vertical="center"/>
    </xf>
    <xf numFmtId="0" fontId="2" fillId="2" borderId="26" applyAlignment="1" pivotButton="0" quotePrefix="0" xfId="0">
      <alignment horizontal="center" vertical="center"/>
    </xf>
    <xf numFmtId="0" fontId="2" fillId="2" borderId="21" applyAlignment="1" pivotButton="0" quotePrefix="0" xfId="0">
      <alignment horizontal="center" vertical="center"/>
    </xf>
    <xf numFmtId="0" fontId="11" fillId="2" borderId="2" pivotButton="0" quotePrefix="0" xfId="0"/>
    <xf numFmtId="164" fontId="10" fillId="10" borderId="34" applyAlignment="1" pivotButton="0" quotePrefix="0" xfId="5">
      <alignment horizontal="center" vertical="center" wrapText="1"/>
    </xf>
    <xf numFmtId="0" fontId="1" fillId="0" borderId="0" applyAlignment="1" pivotButton="0" quotePrefix="0" xfId="0">
      <alignment horizontal="center"/>
    </xf>
    <xf numFmtId="0" fontId="0" fillId="9" borderId="35" pivotButton="0" quotePrefix="0" xfId="0"/>
    <xf numFmtId="0" fontId="0" fillId="2" borderId="32" pivotButton="0" quotePrefix="0" xfId="0"/>
    <xf numFmtId="0" fontId="0" fillId="2" borderId="0" pivotButton="0" quotePrefix="0" xfId="0"/>
    <xf numFmtId="0" fontId="8" fillId="6" borderId="2" applyAlignment="1" pivotButton="0" quotePrefix="0" xfId="3">
      <alignment wrapText="1"/>
    </xf>
    <xf numFmtId="0" fontId="11" fillId="2" borderId="22" pivotButton="0" quotePrefix="0" xfId="0"/>
    <xf numFmtId="0" fontId="0" fillId="0" borderId="21" pivotButton="0" quotePrefix="0" xfId="0"/>
    <xf numFmtId="0" fontId="0" fillId="0" borderId="21" applyAlignment="1" pivotButton="0" quotePrefix="0" xfId="0">
      <alignment wrapText="1"/>
    </xf>
    <xf numFmtId="0" fontId="11" fillId="2" borderId="22" applyAlignment="1" pivotButton="0" quotePrefix="0" xfId="0">
      <alignment wrapText="1"/>
    </xf>
    <xf numFmtId="0" fontId="0" fillId="0" borderId="12" pivotButton="0" quotePrefix="0" xfId="0"/>
    <xf numFmtId="0" fontId="0" fillId="0" borderId="17" applyAlignment="1" pivotButton="0" quotePrefix="0" xfId="0">
      <alignment horizontal="center"/>
    </xf>
    <xf numFmtId="0" fontId="0" fillId="0" borderId="17" applyAlignment="1" pivotButton="0" quotePrefix="0" xfId="0">
      <alignment horizontal="center" vertical="center"/>
    </xf>
    <xf numFmtId="0" fontId="0" fillId="0" borderId="17" applyAlignment="1" pivotButton="0" quotePrefix="0" xfId="0">
      <alignment horizontal="center" wrapText="1"/>
    </xf>
    <xf numFmtId="164" fontId="3" fillId="10" borderId="2" applyAlignment="1" pivotButton="0" quotePrefix="0" xfId="1">
      <alignment horizontal="center" vertical="center" wrapText="1"/>
    </xf>
    <xf numFmtId="0" fontId="11" fillId="2" borderId="2" applyAlignment="1" pivotButton="0" quotePrefix="0" xfId="0">
      <alignment wrapText="1"/>
    </xf>
    <xf numFmtId="164" fontId="0" fillId="0" borderId="21" pivotButton="0" quotePrefix="0" xfId="0"/>
    <xf numFmtId="0" fontId="7" fillId="5" borderId="2" applyAlignment="1" pivotButton="0" quotePrefix="0" xfId="2">
      <alignment wrapText="1"/>
    </xf>
    <xf numFmtId="0" fontId="9" fillId="7" borderId="2" applyAlignment="1" pivotButton="0" quotePrefix="0" xfId="4">
      <alignment wrapText="1"/>
    </xf>
    <xf numFmtId="0" fontId="0" fillId="0" borderId="17" applyAlignment="1" applyProtection="1" pivotButton="0" quotePrefix="0" xfId="0">
      <alignment horizontal="center" vertical="center" wrapText="1"/>
      <protection locked="0" hidden="0"/>
    </xf>
    <xf numFmtId="0" fontId="15" fillId="2" borderId="2" applyAlignment="1" pivotButton="0" quotePrefix="0" xfId="0">
      <alignment horizontal="center"/>
    </xf>
    <xf numFmtId="0" fontId="16" fillId="11" borderId="2" pivotButton="0" quotePrefix="0" xfId="0"/>
    <xf numFmtId="0" fontId="0" fillId="12" borderId="2" applyAlignment="1" pivotButton="0" quotePrefix="0" xfId="0">
      <alignment horizontal="left"/>
    </xf>
    <xf numFmtId="0" fontId="17" fillId="10" borderId="2" applyAlignment="1" pivotButton="0" quotePrefix="0" xfId="0">
      <alignment horizontal="center"/>
    </xf>
    <xf numFmtId="0" fontId="0" fillId="13" borderId="2" applyAlignment="1" pivotButton="0" quotePrefix="0" xfId="0">
      <alignment horizontal="left"/>
    </xf>
    <xf numFmtId="0" fontId="18" fillId="10" borderId="2" pivotButton="0" quotePrefix="0" xfId="0"/>
    <xf numFmtId="14" fontId="0" fillId="13" borderId="2" applyAlignment="1" pivotButton="0" quotePrefix="0" xfId="0">
      <alignment horizontal="left"/>
    </xf>
    <xf numFmtId="0" fontId="19" fillId="10" borderId="2" pivotButton="0" quotePrefix="0" xfId="0"/>
    <xf numFmtId="165" fontId="20" fillId="13" borderId="2" applyAlignment="1" pivotButton="0" quotePrefix="0" xfId="0">
      <alignment horizontal="left"/>
    </xf>
    <xf numFmtId="165" fontId="0" fillId="13" borderId="2" applyAlignment="1" pivotButton="0" quotePrefix="0" xfId="0">
      <alignment horizontal="left"/>
    </xf>
    <xf numFmtId="0" fontId="14" fillId="10" borderId="2" pivotButton="0" quotePrefix="0" xfId="0"/>
    <xf numFmtId="1" fontId="0" fillId="10" borderId="2" applyAlignment="1" pivotButton="0" quotePrefix="0" xfId="0">
      <alignment horizontal="left"/>
    </xf>
    <xf numFmtId="0" fontId="21" fillId="10" borderId="2" pivotButton="0" quotePrefix="0" xfId="0"/>
    <xf numFmtId="166" fontId="0" fillId="13" borderId="2" applyAlignment="1" pivotButton="0" quotePrefix="0" xfId="6">
      <alignment horizontal="left"/>
    </xf>
    <xf numFmtId="9" fontId="0" fillId="13" borderId="2" applyAlignment="1" pivotButton="0" quotePrefix="0" xfId="0">
      <alignment horizontal="left"/>
    </xf>
    <xf numFmtId="3" fontId="0" fillId="13" borderId="2" applyAlignment="1" pivotButton="0" quotePrefix="0" xfId="0">
      <alignment horizontal="left"/>
    </xf>
    <xf numFmtId="167" fontId="0" fillId="13" borderId="2" applyAlignment="1" pivotButton="0" quotePrefix="0" xfId="0">
      <alignment horizontal="left"/>
    </xf>
    <xf numFmtId="0" fontId="4" fillId="0" borderId="0" applyAlignment="1" pivotButton="0" quotePrefix="0" xfId="1">
      <alignment horizontal="center" vertical="center" wrapText="1"/>
    </xf>
    <xf numFmtId="0" fontId="0" fillId="14" borderId="0" pivotButton="0" quotePrefix="0" xfId="0"/>
    <xf numFmtId="0" fontId="0" fillId="9" borderId="0" pivotButton="0" quotePrefix="0" xfId="0"/>
    <xf numFmtId="0" fontId="0" fillId="15" borderId="0" pivotButton="0" quotePrefix="0" xfId="0"/>
    <xf numFmtId="0" fontId="0" fillId="14" borderId="2" applyAlignment="1" pivotButton="0" quotePrefix="0" xfId="0">
      <alignment horizontal="center" vertical="center"/>
    </xf>
    <xf numFmtId="0" fontId="0" fillId="15" borderId="2" applyAlignment="1" pivotButton="0" quotePrefix="0" xfId="0">
      <alignment horizontal="center" vertical="center"/>
    </xf>
    <xf numFmtId="164" fontId="10" fillId="15" borderId="2" applyAlignment="1" applyProtection="1" pivotButton="0" quotePrefix="0" xfId="5">
      <alignment horizontal="center" vertical="center" wrapText="1"/>
      <protection locked="0" hidden="0"/>
    </xf>
    <xf numFmtId="0" fontId="0" fillId="10" borderId="2" applyAlignment="1" pivotButton="0" quotePrefix="0" xfId="0">
      <alignment horizontal="center" vertical="center" wrapText="1"/>
    </xf>
    <xf numFmtId="0" fontId="7" fillId="5" borderId="2" applyAlignment="1" pivotButton="0" quotePrefix="0" xfId="2">
      <alignment horizontal="center" vertical="center" wrapText="1"/>
    </xf>
    <xf numFmtId="0" fontId="9" fillId="7" borderId="2" applyAlignment="1" pivotButton="0" quotePrefix="0" xfId="4">
      <alignment horizontal="center" vertical="center" wrapText="1"/>
    </xf>
    <xf numFmtId="0" fontId="8" fillId="6" borderId="2" applyAlignment="1" pivotButton="0" quotePrefix="0" xfId="3">
      <alignment horizontal="center" vertical="center" wrapText="1"/>
    </xf>
    <xf numFmtId="0" fontId="3" fillId="10" borderId="2" applyAlignment="1" pivotButton="0" quotePrefix="0" xfId="1">
      <alignment wrapText="1"/>
    </xf>
    <xf numFmtId="0" fontId="3" fillId="2" borderId="0" applyAlignment="1" pivotButton="0" quotePrefix="0" xfId="1">
      <alignment wrapText="1"/>
    </xf>
    <xf numFmtId="0" fontId="23" fillId="2" borderId="0" applyAlignment="1" applyProtection="1" pivotButton="0" quotePrefix="0" xfId="9">
      <alignment vertical="center"/>
      <protection locked="0" hidden="0"/>
    </xf>
    <xf numFmtId="0" fontId="23" fillId="0" borderId="0" applyAlignment="1" applyProtection="1" pivotButton="0" quotePrefix="0" xfId="9">
      <alignment vertical="center"/>
      <protection locked="0" hidden="0"/>
    </xf>
    <xf numFmtId="0" fontId="24" fillId="0" borderId="0" applyProtection="1" pivotButton="0" quotePrefix="0" xfId="9">
      <protection locked="0" hidden="0"/>
    </xf>
    <xf numFmtId="0" fontId="25" fillId="0" borderId="0" applyProtection="1" pivotButton="0" quotePrefix="0" xfId="9">
      <protection locked="0" hidden="0"/>
    </xf>
    <xf numFmtId="0" fontId="27" fillId="0" borderId="0" applyAlignment="1" applyProtection="1" pivotButton="0" quotePrefix="0" xfId="9">
      <alignment vertical="center"/>
      <protection locked="0" hidden="0"/>
    </xf>
    <xf numFmtId="0" fontId="26" fillId="0" borderId="0" applyProtection="1" pivotButton="0" quotePrefix="0" xfId="9">
      <protection locked="0" hidden="0"/>
    </xf>
    <xf numFmtId="0" fontId="26" fillId="0" borderId="0" applyAlignment="1" applyProtection="1" pivotButton="0" quotePrefix="0" xfId="9">
      <alignment vertical="center"/>
      <protection locked="0" hidden="0"/>
    </xf>
    <xf numFmtId="0" fontId="34" fillId="0" borderId="0" applyProtection="1" pivotButton="0" quotePrefix="0" xfId="9">
      <protection locked="0" hidden="0"/>
    </xf>
    <xf numFmtId="0" fontId="30" fillId="2" borderId="17" applyAlignment="1" applyProtection="1" pivotButton="0" quotePrefix="0" xfId="9">
      <alignment vertical="center"/>
      <protection locked="0" hidden="0"/>
    </xf>
    <xf numFmtId="0" fontId="35" fillId="2" borderId="18" applyAlignment="1" applyProtection="1" pivotButton="0" quotePrefix="0" xfId="9">
      <alignment vertical="center"/>
      <protection locked="0" hidden="0"/>
    </xf>
    <xf numFmtId="0" fontId="23" fillId="2" borderId="18" applyAlignment="1" applyProtection="1" pivotButton="0" quotePrefix="0" xfId="9">
      <alignment vertical="center"/>
      <protection locked="0" hidden="0"/>
    </xf>
    <xf numFmtId="0" fontId="23" fillId="2" borderId="19" applyAlignment="1" applyProtection="1" pivotButton="0" quotePrefix="0" xfId="9">
      <alignment vertical="center"/>
      <protection locked="0" hidden="0"/>
    </xf>
    <xf numFmtId="0" fontId="23" fillId="0" borderId="35" applyAlignment="1" applyProtection="1" pivotButton="0" quotePrefix="0" xfId="9">
      <alignment vertical="center"/>
      <protection locked="0" hidden="0"/>
    </xf>
    <xf numFmtId="0" fontId="36" fillId="0" borderId="0" applyAlignment="1" applyProtection="1" pivotButton="0" quotePrefix="0" xfId="9">
      <alignment vertical="center"/>
      <protection locked="0" hidden="0"/>
    </xf>
    <xf numFmtId="168" fontId="23" fillId="0" borderId="0" applyAlignment="1" applyProtection="1" pivotButton="0" quotePrefix="0" xfId="10">
      <alignment horizontal="center" vertical="center"/>
      <protection locked="0" hidden="0"/>
    </xf>
    <xf numFmtId="168" fontId="28" fillId="16" borderId="40" applyProtection="1" pivotButton="0" quotePrefix="0" xfId="7">
      <protection locked="0" hidden="0"/>
    </xf>
    <xf numFmtId="0" fontId="27" fillId="0" borderId="0" applyProtection="1" pivotButton="0" quotePrefix="0" xfId="11">
      <protection locked="0" hidden="0"/>
    </xf>
    <xf numFmtId="0" fontId="27" fillId="17" borderId="17" applyAlignment="1" applyProtection="1" pivotButton="0" quotePrefix="0" xfId="9">
      <alignment horizontal="center" vertical="center" wrapText="1"/>
      <protection locked="0" hidden="0"/>
    </xf>
    <xf numFmtId="0" fontId="27" fillId="17" borderId="18" applyAlignment="1" applyProtection="1" pivotButton="0" quotePrefix="0" xfId="9">
      <alignment horizontal="center" vertical="center" wrapText="1"/>
      <protection locked="0" hidden="0"/>
    </xf>
    <xf numFmtId="0" fontId="27" fillId="17" borderId="19" applyAlignment="1" applyProtection="1" pivotButton="0" quotePrefix="0" xfId="9">
      <alignment horizontal="center" vertical="center" wrapText="1"/>
      <protection locked="0" hidden="0"/>
    </xf>
    <xf numFmtId="0" fontId="38" fillId="0" borderId="0" applyAlignment="1" applyProtection="1" pivotButton="0" quotePrefix="0" xfId="9">
      <alignment horizontal="center" vertical="center" wrapText="1"/>
      <protection locked="0" hidden="0"/>
    </xf>
    <xf numFmtId="0" fontId="15" fillId="0" borderId="0" applyAlignment="1" applyProtection="1" pivotButton="0" quotePrefix="0" xfId="9">
      <alignment horizontal="center" vertical="center"/>
      <protection locked="0" hidden="0"/>
    </xf>
    <xf numFmtId="0" fontId="39" fillId="0" borderId="0" applyProtection="1" pivotButton="0" quotePrefix="0" xfId="9">
      <protection locked="0" hidden="0"/>
    </xf>
    <xf numFmtId="166" fontId="28" fillId="16" borderId="41" applyAlignment="1" applyProtection="1" pivotButton="0" quotePrefix="0" xfId="6">
      <alignment horizontal="right" vertical="center"/>
      <protection locked="0" hidden="0"/>
    </xf>
    <xf numFmtId="169" fontId="40" fillId="0" borderId="0" applyAlignment="1" applyProtection="1" pivotButton="0" quotePrefix="0" xfId="11">
      <alignment horizontal="right" vertical="center"/>
      <protection locked="0" hidden="0"/>
    </xf>
    <xf numFmtId="0" fontId="28" fillId="10" borderId="42" applyAlignment="1" pivotButton="0" quotePrefix="0" xfId="9">
      <alignment vertical="center"/>
    </xf>
    <xf numFmtId="0" fontId="28" fillId="10" borderId="43" applyAlignment="1" pivotButton="0" quotePrefix="0" xfId="9">
      <alignment vertical="center"/>
    </xf>
    <xf numFmtId="166" fontId="28" fillId="10" borderId="44" applyAlignment="1" pivotButton="0" quotePrefix="0" xfId="12">
      <alignment vertical="center"/>
    </xf>
    <xf numFmtId="0" fontId="41" fillId="0" borderId="32" applyAlignment="1" applyProtection="1" pivotButton="0" quotePrefix="0" xfId="9">
      <alignment vertical="center"/>
      <protection locked="0" hidden="0"/>
    </xf>
    <xf numFmtId="0" fontId="41" fillId="0" borderId="0" applyAlignment="1" applyProtection="1" pivotButton="0" quotePrefix="0" xfId="9">
      <alignment vertical="center"/>
      <protection locked="0" hidden="0"/>
    </xf>
    <xf numFmtId="168" fontId="39" fillId="0" borderId="0" applyAlignment="1" applyProtection="1" pivotButton="0" quotePrefix="0" xfId="10">
      <alignment horizontal="center" vertical="center"/>
      <protection locked="0" hidden="0"/>
    </xf>
    <xf numFmtId="0" fontId="38" fillId="0" borderId="0" applyAlignment="1" applyProtection="1" pivotButton="0" quotePrefix="0" xfId="13">
      <alignment horizontal="center" vertical="center"/>
      <protection locked="0" hidden="0"/>
    </xf>
    <xf numFmtId="0" fontId="39" fillId="0" borderId="0" applyAlignment="1" applyProtection="1" pivotButton="0" quotePrefix="0" xfId="9">
      <alignment vertical="center"/>
      <protection locked="0" hidden="0"/>
    </xf>
    <xf numFmtId="0" fontId="38" fillId="0" borderId="0" applyAlignment="1" pivotButton="0" quotePrefix="0" xfId="9">
      <alignment horizontal="right"/>
    </xf>
    <xf numFmtId="166" fontId="39" fillId="0" borderId="0" pivotButton="0" quotePrefix="0" xfId="6"/>
    <xf numFmtId="0" fontId="38" fillId="0" borderId="0" pivotButton="0" quotePrefix="0" xfId="9"/>
    <xf numFmtId="10" fontId="28" fillId="16" borderId="41" applyAlignment="1" applyProtection="1" pivotButton="0" quotePrefix="0" xfId="11">
      <alignment horizontal="right" vertical="center"/>
      <protection locked="0" hidden="0"/>
    </xf>
    <xf numFmtId="0" fontId="28" fillId="10" borderId="45" applyAlignment="1" applyProtection="1" pivotButton="0" quotePrefix="0" xfId="9">
      <alignment vertical="center"/>
      <protection locked="0" hidden="0"/>
    </xf>
    <xf numFmtId="0" fontId="28" fillId="10" borderId="46" applyAlignment="1" applyProtection="1" pivotButton="0" quotePrefix="0" xfId="9">
      <alignment vertical="center"/>
      <protection locked="0" hidden="0"/>
    </xf>
    <xf numFmtId="166" fontId="28" fillId="10" borderId="41" applyAlignment="1" pivotButton="0" quotePrefix="0" xfId="14">
      <alignment vertical="center"/>
    </xf>
    <xf numFmtId="0" fontId="42" fillId="0" borderId="0" applyAlignment="1" applyProtection="1" pivotButton="0" quotePrefix="0" xfId="9">
      <alignment vertical="center"/>
      <protection locked="0" hidden="0"/>
    </xf>
    <xf numFmtId="0" fontId="39" fillId="0" borderId="0" applyAlignment="1" applyProtection="1" pivotButton="0" quotePrefix="0" xfId="12">
      <alignment vertical="center"/>
      <protection locked="0" hidden="0"/>
    </xf>
    <xf numFmtId="170" fontId="28" fillId="0" borderId="0" applyAlignment="1" pivotButton="0" quotePrefix="0" xfId="9">
      <alignment vertical="center"/>
    </xf>
    <xf numFmtId="170" fontId="28" fillId="17" borderId="41" applyAlignment="1" pivotButton="0" quotePrefix="0" xfId="6">
      <alignment horizontal="right" vertical="center"/>
    </xf>
    <xf numFmtId="171" fontId="43" fillId="0" borderId="0" applyAlignment="1" pivotButton="0" quotePrefix="0" xfId="14">
      <alignment horizontal="center" vertical="center"/>
    </xf>
    <xf numFmtId="166" fontId="28" fillId="10" borderId="41" applyAlignment="1" pivotButton="0" quotePrefix="0" xfId="12">
      <alignment vertical="center"/>
    </xf>
    <xf numFmtId="168" fontId="39" fillId="0" borderId="0" applyAlignment="1" applyProtection="1" pivotButton="0" quotePrefix="0" xfId="10">
      <alignment vertical="center"/>
      <protection locked="0" hidden="0"/>
    </xf>
    <xf numFmtId="0" fontId="38" fillId="0" borderId="0" applyAlignment="1" pivotButton="0" quotePrefix="0" xfId="9">
      <alignment horizontal="center"/>
    </xf>
    <xf numFmtId="0" fontId="28" fillId="0" borderId="0" applyAlignment="1" applyProtection="1" pivotButton="0" quotePrefix="0" xfId="9">
      <alignment horizontal="right" vertical="center"/>
      <protection locked="0" hidden="0"/>
    </xf>
    <xf numFmtId="170" fontId="28" fillId="16" borderId="41" applyAlignment="1" applyProtection="1" pivotButton="0" quotePrefix="0" xfId="6">
      <alignment horizontal="right" vertical="center"/>
      <protection locked="0" hidden="0"/>
    </xf>
    <xf numFmtId="169" fontId="40" fillId="0" borderId="0" applyAlignment="1" applyProtection="1" pivotButton="0" quotePrefix="0" xfId="13">
      <alignment horizontal="right" vertical="center"/>
      <protection locked="0" hidden="0"/>
    </xf>
    <xf numFmtId="172" fontId="39" fillId="0" borderId="0" applyAlignment="1" applyProtection="1" pivotButton="0" quotePrefix="0" xfId="10">
      <alignment vertical="center"/>
      <protection locked="0" hidden="0"/>
    </xf>
    <xf numFmtId="0" fontId="38" fillId="0" borderId="0" applyAlignment="1" pivotButton="0" quotePrefix="0" xfId="9">
      <alignment horizontal="left"/>
    </xf>
    <xf numFmtId="173" fontId="38" fillId="0" borderId="0" applyAlignment="1" pivotButton="0" quotePrefix="0" xfId="9">
      <alignment horizontal="center"/>
    </xf>
    <xf numFmtId="0" fontId="40" fillId="0" borderId="0" applyAlignment="1" applyProtection="1" pivotButton="0" quotePrefix="0" xfId="13">
      <alignment horizontal="right" vertical="center"/>
      <protection locked="0" hidden="0"/>
    </xf>
    <xf numFmtId="166" fontId="42" fillId="0" borderId="0" applyAlignment="1" applyProtection="1" pivotButton="0" quotePrefix="0" xfId="12">
      <alignment vertical="center"/>
      <protection locked="0" hidden="0"/>
    </xf>
    <xf numFmtId="170" fontId="28" fillId="16" borderId="41" applyAlignment="1" applyProtection="1" pivotButton="0" quotePrefix="0" xfId="6">
      <alignment vertical="center"/>
      <protection locked="0" hidden="0"/>
    </xf>
    <xf numFmtId="0" fontId="40" fillId="0" borderId="0" applyAlignment="1" applyProtection="1" pivotButton="0" quotePrefix="0" xfId="13">
      <alignment vertical="center"/>
      <protection locked="0" hidden="0"/>
    </xf>
    <xf numFmtId="174" fontId="39" fillId="0" borderId="0" applyAlignment="1" applyProtection="1" pivotButton="0" quotePrefix="0" xfId="6">
      <alignment vertical="center"/>
      <protection locked="0" hidden="0"/>
    </xf>
    <xf numFmtId="0" fontId="39" fillId="0" borderId="16" applyAlignment="1" applyProtection="1" pivotButton="0" quotePrefix="0" xfId="9">
      <alignment vertical="center"/>
      <protection locked="0" hidden="0"/>
    </xf>
    <xf numFmtId="169" fontId="28" fillId="16" borderId="47" applyAlignment="1" applyProtection="1" pivotButton="0" quotePrefix="0" xfId="8">
      <alignment vertical="center"/>
      <protection locked="0" hidden="0"/>
    </xf>
    <xf numFmtId="10" fontId="28" fillId="16" borderId="17" applyAlignment="1" applyProtection="1" pivotButton="0" quotePrefix="0" xfId="8">
      <alignment horizontal="center" vertical="center"/>
      <protection locked="0" hidden="0"/>
    </xf>
    <xf numFmtId="0" fontId="28" fillId="16" borderId="44" applyAlignment="1" applyProtection="1" pivotButton="0" quotePrefix="0" xfId="9">
      <alignment horizontal="center" vertical="center"/>
      <protection locked="0" hidden="0"/>
    </xf>
    <xf numFmtId="174" fontId="28" fillId="17" borderId="41" applyAlignment="1" pivotButton="0" quotePrefix="0" xfId="6">
      <alignment horizontal="right" vertical="center"/>
    </xf>
    <xf numFmtId="0" fontId="40" fillId="0" borderId="0" applyAlignment="1" applyProtection="1" pivotButton="0" quotePrefix="0" xfId="10">
      <alignment horizontal="right" vertical="center"/>
      <protection locked="0" hidden="0"/>
    </xf>
    <xf numFmtId="10" fontId="28" fillId="16" borderId="16" applyAlignment="1" applyProtection="1" pivotButton="0" quotePrefix="0" xfId="8">
      <alignment horizontal="center" vertical="center"/>
      <protection locked="0" hidden="0"/>
    </xf>
    <xf numFmtId="0" fontId="28" fillId="16" borderId="48" applyAlignment="1" applyProtection="1" pivotButton="0" quotePrefix="0" xfId="9">
      <alignment horizontal="center" vertical="center"/>
      <protection locked="0" hidden="0"/>
    </xf>
    <xf numFmtId="164" fontId="38" fillId="0" borderId="0" pivotButton="0" quotePrefix="0" xfId="9"/>
    <xf numFmtId="173" fontId="38" fillId="0" borderId="0" pivotButton="0" quotePrefix="0" xfId="9"/>
    <xf numFmtId="0" fontId="27" fillId="0" borderId="32" applyAlignment="1" applyProtection="1" pivotButton="0" quotePrefix="0" xfId="9">
      <alignment vertical="center"/>
      <protection locked="0" hidden="0"/>
    </xf>
    <xf numFmtId="0" fontId="38" fillId="0" borderId="0" applyAlignment="1" applyProtection="1" pivotButton="0" quotePrefix="0" xfId="9">
      <alignment vertical="center"/>
      <protection locked="0" hidden="0"/>
    </xf>
    <xf numFmtId="10" fontId="28" fillId="17" borderId="41" applyAlignment="1" pivotButton="0" quotePrefix="0" xfId="8">
      <alignment horizontal="right" vertical="center"/>
    </xf>
    <xf numFmtId="0" fontId="44" fillId="0" borderId="0" applyAlignment="1" applyProtection="1" pivotButton="0" quotePrefix="0" xfId="0">
      <alignment horizontal="left" vertical="center" wrapText="1"/>
      <protection locked="0" hidden="0"/>
    </xf>
    <xf numFmtId="14" fontId="31" fillId="16" borderId="41" applyAlignment="1" applyProtection="1" pivotButton="0" quotePrefix="0" xfId="14">
      <alignment vertical="center" wrapText="1"/>
      <protection locked="0" hidden="0"/>
    </xf>
    <xf numFmtId="173" fontId="40" fillId="0" borderId="0" applyAlignment="1" applyProtection="1" pivotButton="0" quotePrefix="0" xfId="13">
      <alignment horizontal="right" vertical="center"/>
      <protection locked="0" hidden="0"/>
    </xf>
    <xf numFmtId="14" fontId="28" fillId="16" borderId="41" applyAlignment="1" applyProtection="1" pivotButton="0" quotePrefix="0" xfId="13">
      <alignment vertical="center"/>
      <protection locked="0" hidden="0"/>
    </xf>
    <xf numFmtId="164" fontId="40" fillId="0" borderId="0" applyAlignment="1" applyProtection="1" pivotButton="0" quotePrefix="0" xfId="13">
      <alignment horizontal="right" vertical="center"/>
      <protection locked="0" hidden="0"/>
    </xf>
    <xf numFmtId="0" fontId="39" fillId="0" borderId="0" pivotButton="0" quotePrefix="0" xfId="9"/>
    <xf numFmtId="173" fontId="39" fillId="0" borderId="0" pivotButton="0" quotePrefix="0" xfId="9"/>
    <xf numFmtId="0" fontId="28" fillId="16" borderId="41" applyAlignment="1" applyProtection="1" pivotButton="0" quotePrefix="0" xfId="14">
      <alignment horizontal="right" vertical="center"/>
      <protection locked="0" hidden="0"/>
    </xf>
    <xf numFmtId="173" fontId="45" fillId="0" borderId="0" applyAlignment="1" applyProtection="1" pivotButton="0" quotePrefix="0" xfId="13">
      <alignment horizontal="right" vertical="center"/>
      <protection locked="0" hidden="0"/>
    </xf>
    <xf numFmtId="0" fontId="28" fillId="16" borderId="41" applyAlignment="1" applyProtection="1" pivotButton="0" quotePrefix="0" xfId="13">
      <alignment horizontal="right" vertical="center"/>
      <protection locked="0" hidden="0"/>
    </xf>
    <xf numFmtId="173" fontId="28" fillId="16" borderId="41" applyAlignment="1" applyProtection="1" pivotButton="0" quotePrefix="0" xfId="13">
      <alignment horizontal="right" vertical="center"/>
      <protection locked="0" hidden="0"/>
    </xf>
    <xf numFmtId="173" fontId="40" fillId="0" borderId="0" applyAlignment="1" applyProtection="1" pivotButton="0" quotePrefix="0" xfId="13">
      <alignment vertical="center"/>
      <protection locked="0" hidden="0"/>
    </xf>
    <xf numFmtId="166" fontId="39" fillId="0" borderId="0" applyAlignment="1" applyProtection="1" pivotButton="0" quotePrefix="0" xfId="12">
      <alignment vertical="center"/>
      <protection locked="0" hidden="0"/>
    </xf>
    <xf numFmtId="173" fontId="28" fillId="16" borderId="41" applyAlignment="1" applyProtection="1" pivotButton="0" quotePrefix="0" xfId="13">
      <alignment vertical="center"/>
      <protection locked="0" hidden="0"/>
    </xf>
    <xf numFmtId="0" fontId="27" fillId="0" borderId="16" applyAlignment="1" applyProtection="1" pivotButton="0" quotePrefix="0" xfId="9">
      <alignment vertical="center"/>
      <protection locked="0" hidden="0"/>
    </xf>
    <xf numFmtId="0" fontId="27" fillId="0" borderId="20" applyAlignment="1" applyProtection="1" pivotButton="0" quotePrefix="0" xfId="9">
      <alignment vertical="center"/>
      <protection locked="0" hidden="0"/>
    </xf>
    <xf numFmtId="0" fontId="38" fillId="0" borderId="20" applyAlignment="1" applyProtection="1" pivotButton="0" quotePrefix="0" xfId="9">
      <alignment vertical="center"/>
      <protection locked="0" hidden="0"/>
    </xf>
    <xf numFmtId="166" fontId="28" fillId="16" borderId="48" applyAlignment="1" applyProtection="1" pivotButton="0" quotePrefix="0" xfId="6">
      <alignment vertical="center"/>
      <protection locked="0" hidden="0"/>
    </xf>
    <xf numFmtId="0" fontId="28" fillId="0" borderId="0" applyAlignment="1" applyProtection="1" pivotButton="0" quotePrefix="0" xfId="9">
      <alignment vertical="center"/>
      <protection locked="0" hidden="0"/>
    </xf>
    <xf numFmtId="173" fontId="28" fillId="0" borderId="0" applyAlignment="1" applyProtection="1" pivotButton="0" quotePrefix="0" xfId="13">
      <alignment vertical="center"/>
      <protection locked="0" hidden="0"/>
    </xf>
    <xf numFmtId="166" fontId="28" fillId="0" borderId="0" applyAlignment="1" applyProtection="1" pivotButton="0" quotePrefix="0" xfId="12">
      <alignment vertical="center"/>
      <protection locked="0" hidden="0"/>
    </xf>
    <xf numFmtId="0" fontId="32" fillId="0" borderId="0" applyAlignment="1" applyProtection="1" pivotButton="0" quotePrefix="0" xfId="9">
      <alignment vertical="center"/>
      <protection locked="0" hidden="0"/>
    </xf>
    <xf numFmtId="0" fontId="28" fillId="10" borderId="49" applyProtection="1" pivotButton="0" quotePrefix="0" xfId="9">
      <protection locked="0" hidden="0"/>
    </xf>
    <xf numFmtId="0" fontId="28" fillId="10" borderId="50" applyProtection="1" pivotButton="0" quotePrefix="0" xfId="9">
      <protection locked="0" hidden="0"/>
    </xf>
    <xf numFmtId="166" fontId="28" fillId="10" borderId="48" applyAlignment="1" pivotButton="0" quotePrefix="0" xfId="12">
      <alignment vertical="center"/>
    </xf>
    <xf numFmtId="0" fontId="23" fillId="0" borderId="20" applyAlignment="1" applyProtection="1" pivotButton="0" quotePrefix="0" xfId="9">
      <alignment horizontal="left"/>
      <protection locked="0" hidden="0"/>
    </xf>
    <xf numFmtId="0" fontId="25" fillId="0" borderId="20" applyProtection="1" pivotButton="0" quotePrefix="0" xfId="13">
      <protection locked="0" hidden="0"/>
    </xf>
    <xf numFmtId="0" fontId="25" fillId="0" borderId="0" applyProtection="1" pivotButton="0" quotePrefix="0" xfId="13">
      <protection locked="0" hidden="0"/>
    </xf>
    <xf numFmtId="166" fontId="23" fillId="2" borderId="18" applyAlignment="1" applyProtection="1" pivotButton="0" quotePrefix="0" xfId="12">
      <alignment horizontal="right" vertical="center"/>
      <protection locked="0" hidden="0"/>
    </xf>
    <xf numFmtId="166" fontId="23" fillId="2" borderId="14" applyAlignment="1" applyProtection="1" pivotButton="0" quotePrefix="0" xfId="12">
      <alignment horizontal="right" vertical="center"/>
      <protection locked="0" hidden="0"/>
    </xf>
    <xf numFmtId="166" fontId="23" fillId="2" borderId="18" applyAlignment="1" applyProtection="1" pivotButton="0" quotePrefix="0" xfId="12">
      <alignment horizontal="center" vertical="center"/>
      <protection locked="0" hidden="0"/>
    </xf>
    <xf numFmtId="166" fontId="23" fillId="2" borderId="19" applyAlignment="1" applyProtection="1" pivotButton="0" quotePrefix="0" xfId="12">
      <alignment horizontal="center" vertical="center"/>
      <protection locked="0" hidden="0"/>
    </xf>
    <xf numFmtId="0" fontId="27" fillId="17" borderId="13" applyAlignment="1" applyProtection="1" pivotButton="0" quotePrefix="0" xfId="9">
      <alignment vertical="center"/>
      <protection locked="0" hidden="0"/>
    </xf>
    <xf numFmtId="0" fontId="27" fillId="17" borderId="65" applyAlignment="1" applyProtection="1" pivotButton="0" quotePrefix="0" xfId="9">
      <alignment vertical="center"/>
      <protection locked="0" hidden="0"/>
    </xf>
    <xf numFmtId="0" fontId="27" fillId="17" borderId="65" applyAlignment="1" applyProtection="1" pivotButton="0" quotePrefix="0" xfId="15">
      <alignment horizontal="center" vertical="center" wrapText="1"/>
      <protection locked="0" hidden="0"/>
    </xf>
    <xf numFmtId="0" fontId="27" fillId="17" borderId="65" applyAlignment="1" applyProtection="1" pivotButton="0" quotePrefix="0" xfId="9">
      <alignment horizontal="center" vertical="center" wrapText="1"/>
      <protection locked="0" hidden="0"/>
    </xf>
    <xf numFmtId="0" fontId="27" fillId="17" borderId="51" applyAlignment="1" applyProtection="1" pivotButton="0" quotePrefix="0" xfId="9">
      <alignment horizontal="center" vertical="center" wrapText="1"/>
      <protection locked="0" hidden="0"/>
    </xf>
    <xf numFmtId="169" fontId="27" fillId="0" borderId="0" applyAlignment="1" applyProtection="1" pivotButton="0" quotePrefix="0" xfId="9">
      <alignment horizontal="right"/>
      <protection locked="0" hidden="0"/>
    </xf>
    <xf numFmtId="0" fontId="27" fillId="0" borderId="0" applyProtection="1" pivotButton="0" quotePrefix="0" xfId="9">
      <protection locked="0" hidden="0"/>
    </xf>
    <xf numFmtId="175" fontId="28" fillId="0" borderId="66" pivotButton="0" quotePrefix="0" xfId="15"/>
    <xf numFmtId="175" fontId="28" fillId="16" borderId="67" applyProtection="1" pivotButton="0" quotePrefix="0" xfId="12">
      <protection locked="0" hidden="0"/>
    </xf>
    <xf numFmtId="175" fontId="28" fillId="16" borderId="14" applyProtection="1" pivotButton="0" quotePrefix="0" xfId="12">
      <protection locked="0" hidden="0"/>
    </xf>
    <xf numFmtId="0" fontId="28" fillId="17" borderId="68" applyProtection="1" pivotButton="0" quotePrefix="0" xfId="15">
      <protection locked="0" hidden="0"/>
    </xf>
    <xf numFmtId="0" fontId="28" fillId="16" borderId="69" applyProtection="1" pivotButton="0" quotePrefix="0" xfId="12">
      <protection locked="0" hidden="0"/>
    </xf>
    <xf numFmtId="0" fontId="28" fillId="16" borderId="0" applyProtection="1" pivotButton="0" quotePrefix="0" xfId="12">
      <protection locked="0" hidden="0"/>
    </xf>
    <xf numFmtId="0" fontId="28" fillId="17" borderId="71" applyAlignment="1" applyProtection="1" pivotButton="0" quotePrefix="0" xfId="13">
      <alignment horizontal="right"/>
      <protection locked="0" hidden="0"/>
    </xf>
    <xf numFmtId="0" fontId="28" fillId="16" borderId="72" applyProtection="1" pivotButton="0" quotePrefix="0" xfId="13">
      <protection locked="0" hidden="0"/>
    </xf>
    <xf numFmtId="0" fontId="28" fillId="16" borderId="54" applyProtection="1" pivotButton="0" quotePrefix="0" xfId="13">
      <protection locked="0" hidden="0"/>
    </xf>
    <xf numFmtId="166" fontId="28" fillId="0" borderId="71" applyAlignment="1" applyProtection="1" pivotButton="0" quotePrefix="0" xfId="12">
      <alignment horizontal="right"/>
      <protection locked="0" hidden="0"/>
    </xf>
    <xf numFmtId="176" fontId="28" fillId="0" borderId="69" applyAlignment="1" applyProtection="1" pivotButton="0" quotePrefix="0" xfId="12">
      <alignment horizontal="center"/>
      <protection locked="0" hidden="0"/>
    </xf>
    <xf numFmtId="176" fontId="28" fillId="0" borderId="55" applyProtection="1" pivotButton="0" quotePrefix="0" xfId="12">
      <protection locked="0" hidden="0"/>
    </xf>
    <xf numFmtId="0" fontId="27" fillId="0" borderId="56" applyAlignment="1" applyProtection="1" pivotButton="0" quotePrefix="0" xfId="15">
      <alignment horizontal="center"/>
      <protection locked="0" hidden="0"/>
    </xf>
    <xf numFmtId="0" fontId="28" fillId="16" borderId="73" applyProtection="1" pivotButton="0" quotePrefix="0" xfId="12">
      <protection locked="0" hidden="0"/>
    </xf>
    <xf numFmtId="0" fontId="28" fillId="16" borderId="57" applyProtection="1" pivotButton="0" quotePrefix="0" xfId="12">
      <protection locked="0" hidden="0"/>
    </xf>
    <xf numFmtId="0" fontId="30" fillId="2" borderId="13" applyAlignment="1" applyProtection="1" pivotButton="0" quotePrefix="0" xfId="9">
      <alignment vertical="center"/>
      <protection locked="0" hidden="0"/>
    </xf>
    <xf numFmtId="0" fontId="23" fillId="2" borderId="14" applyAlignment="1" applyProtection="1" pivotButton="0" quotePrefix="0" xfId="9">
      <alignment vertical="center"/>
      <protection locked="0" hidden="0"/>
    </xf>
    <xf numFmtId="0" fontId="23" fillId="2" borderId="14" applyAlignment="1" applyProtection="1" pivotButton="0" quotePrefix="0" xfId="9">
      <alignment horizontal="left" vertical="center"/>
      <protection locked="0" hidden="0"/>
    </xf>
    <xf numFmtId="0" fontId="23" fillId="2" borderId="14" applyAlignment="1" applyProtection="1" pivotButton="0" quotePrefix="0" xfId="9">
      <alignment horizontal="center" vertical="center"/>
      <protection locked="0" hidden="0"/>
    </xf>
    <xf numFmtId="173" fontId="23" fillId="2" borderId="14" applyAlignment="1" applyProtection="1" pivotButton="0" quotePrefix="0" xfId="9">
      <alignment vertical="center"/>
      <protection locked="0" hidden="0"/>
    </xf>
    <xf numFmtId="168" fontId="23" fillId="2" borderId="14" applyAlignment="1" applyProtection="1" pivotButton="0" quotePrefix="0" xfId="9">
      <alignment vertical="center"/>
      <protection locked="0" hidden="0"/>
    </xf>
    <xf numFmtId="0" fontId="27" fillId="17" borderId="17" applyAlignment="1" applyProtection="1" pivotButton="0" quotePrefix="0" xfId="9">
      <alignment vertical="center"/>
      <protection locked="0" hidden="0"/>
    </xf>
    <xf numFmtId="0" fontId="27" fillId="17" borderId="18" applyAlignment="1" applyProtection="1" pivotButton="0" quotePrefix="0" xfId="9">
      <alignment vertical="center"/>
      <protection locked="0" hidden="0"/>
    </xf>
    <xf numFmtId="0" fontId="27" fillId="17" borderId="58" applyAlignment="1" applyProtection="1" pivotButton="0" quotePrefix="0" xfId="9">
      <alignment horizontal="center" vertical="center"/>
      <protection locked="0" hidden="0"/>
    </xf>
    <xf numFmtId="0" fontId="27" fillId="17" borderId="43" applyAlignment="1" applyProtection="1" pivotButton="0" quotePrefix="0" xfId="9">
      <alignment horizontal="center" vertical="center" wrapText="1"/>
      <protection locked="0" hidden="0"/>
    </xf>
    <xf numFmtId="0" fontId="27" fillId="0" borderId="32" applyProtection="1" pivotButton="0" quotePrefix="0" xfId="9">
      <protection locked="0" hidden="0"/>
    </xf>
    <xf numFmtId="0" fontId="27" fillId="0" borderId="46" applyAlignment="1" applyProtection="1" pivotButton="0" quotePrefix="0" xfId="9">
      <alignment horizontal="right" vertical="center"/>
      <protection locked="0" hidden="0"/>
    </xf>
    <xf numFmtId="173" fontId="28" fillId="18" borderId="59" applyAlignment="1" pivotButton="0" quotePrefix="0" xfId="9">
      <alignment horizontal="right" vertical="center" indent="1"/>
    </xf>
    <xf numFmtId="173" fontId="28" fillId="18" borderId="52" applyAlignment="1" pivotButton="0" quotePrefix="0" xfId="9">
      <alignment horizontal="right" vertical="center" indent="1"/>
    </xf>
    <xf numFmtId="173" fontId="28" fillId="0" borderId="52" applyAlignment="1" pivotButton="0" quotePrefix="0" xfId="9">
      <alignment horizontal="right" vertical="center" indent="1"/>
    </xf>
    <xf numFmtId="164" fontId="28" fillId="0" borderId="59" applyAlignment="1" pivotButton="0" quotePrefix="0" xfId="9">
      <alignment horizontal="right" vertical="center" indent="1"/>
    </xf>
    <xf numFmtId="164" fontId="28" fillId="0" borderId="53" applyAlignment="1" pivotButton="0" quotePrefix="0" xfId="9">
      <alignment horizontal="right" vertical="center" indent="1"/>
    </xf>
    <xf numFmtId="173" fontId="28" fillId="0" borderId="53" applyAlignment="1" pivotButton="0" quotePrefix="0" xfId="9">
      <alignment horizontal="right" vertical="center" indent="1"/>
    </xf>
    <xf numFmtId="173" fontId="28" fillId="0" borderId="46" applyAlignment="1" pivotButton="0" quotePrefix="0" xfId="9">
      <alignment vertical="center"/>
    </xf>
    <xf numFmtId="164" fontId="28" fillId="0" borderId="46" applyAlignment="1" pivotButton="0" quotePrefix="0" xfId="9">
      <alignment vertical="center"/>
    </xf>
    <xf numFmtId="0" fontId="39" fillId="0" borderId="37" applyProtection="1" pivotButton="0" quotePrefix="0" xfId="9">
      <protection locked="0" hidden="0"/>
    </xf>
    <xf numFmtId="0" fontId="46" fillId="0" borderId="16" applyProtection="1" pivotButton="0" quotePrefix="0" xfId="9">
      <protection locked="0" hidden="0"/>
    </xf>
    <xf numFmtId="173" fontId="27" fillId="0" borderId="60" applyAlignment="1" applyProtection="1" pivotButton="0" quotePrefix="0" xfId="9">
      <alignment horizontal="right" vertical="center"/>
      <protection locked="0" hidden="0"/>
    </xf>
    <xf numFmtId="173" fontId="28" fillId="0" borderId="61" applyAlignment="1" pivotButton="0" quotePrefix="0" xfId="9">
      <alignment horizontal="right" vertical="center" indent="1"/>
    </xf>
    <xf numFmtId="0" fontId="23" fillId="0" borderId="0" applyAlignment="1" applyProtection="1" pivotButton="0" quotePrefix="0" xfId="9">
      <alignment horizontal="center"/>
      <protection locked="0" hidden="0"/>
    </xf>
    <xf numFmtId="173" fontId="25" fillId="0" borderId="0" applyProtection="1" pivotButton="0" quotePrefix="0" xfId="9">
      <protection locked="0" hidden="0"/>
    </xf>
    <xf numFmtId="168" fontId="25" fillId="0" borderId="0" applyProtection="1" pivotButton="0" quotePrefix="0" xfId="9">
      <protection locked="0" hidden="0"/>
    </xf>
    <xf numFmtId="0" fontId="23" fillId="2" borderId="18" applyAlignment="1" applyProtection="1" pivotButton="0" quotePrefix="0" xfId="9">
      <alignment horizontal="left" vertical="center"/>
      <protection locked="0" hidden="0"/>
    </xf>
    <xf numFmtId="0" fontId="23" fillId="2" borderId="18" applyAlignment="1" applyProtection="1" pivotButton="0" quotePrefix="0" xfId="9">
      <alignment horizontal="center" vertical="center"/>
      <protection locked="0" hidden="0"/>
    </xf>
    <xf numFmtId="173" fontId="23" fillId="2" borderId="18" applyAlignment="1" applyProtection="1" pivotButton="0" quotePrefix="0" xfId="9">
      <alignment vertical="center"/>
      <protection locked="0" hidden="0"/>
    </xf>
    <xf numFmtId="168" fontId="23" fillId="2" borderId="18" applyAlignment="1" applyProtection="1" pivotButton="0" quotePrefix="0" xfId="9">
      <alignment vertical="center"/>
      <protection locked="0" hidden="0"/>
    </xf>
    <xf numFmtId="168" fontId="23" fillId="2" borderId="19" applyAlignment="1" applyProtection="1" pivotButton="0" quotePrefix="0" xfId="9">
      <alignment vertical="center"/>
      <protection locked="0" hidden="0"/>
    </xf>
    <xf numFmtId="0" fontId="27" fillId="17" borderId="58" applyAlignment="1" applyProtection="1" pivotButton="0" quotePrefix="0" xfId="9">
      <alignment horizontal="center" vertical="center" wrapText="1"/>
      <protection locked="0" hidden="0"/>
    </xf>
    <xf numFmtId="0" fontId="27" fillId="17" borderId="44" applyAlignment="1" applyProtection="1" pivotButton="0" quotePrefix="0" xfId="9">
      <alignment horizontal="center" vertical="center" wrapText="1"/>
      <protection locked="0" hidden="0"/>
    </xf>
    <xf numFmtId="0" fontId="28" fillId="0" borderId="0" applyProtection="1" pivotButton="0" quotePrefix="0" xfId="9">
      <protection locked="0" hidden="0"/>
    </xf>
    <xf numFmtId="0" fontId="28" fillId="0" borderId="13" applyProtection="1" pivotButton="0" quotePrefix="0" xfId="9">
      <protection locked="0" hidden="0"/>
    </xf>
    <xf numFmtId="176" fontId="28" fillId="0" borderId="62" applyAlignment="1" pivotButton="0" quotePrefix="0" xfId="9">
      <alignment horizontal="left"/>
    </xf>
    <xf numFmtId="166" fontId="28" fillId="0" borderId="40" pivotButton="0" quotePrefix="0" xfId="12"/>
    <xf numFmtId="0" fontId="28" fillId="0" borderId="32" applyProtection="1" pivotButton="0" quotePrefix="0" xfId="9">
      <protection locked="0" hidden="0"/>
    </xf>
    <xf numFmtId="176" fontId="28" fillId="0" borderId="59" applyAlignment="1" pivotButton="0" quotePrefix="0" xfId="9">
      <alignment horizontal="left"/>
    </xf>
    <xf numFmtId="166" fontId="28" fillId="0" borderId="41" pivotButton="0" quotePrefix="0" xfId="12"/>
    <xf numFmtId="176" fontId="28" fillId="0" borderId="59" applyAlignment="1" pivotButton="0" quotePrefix="0" xfId="9">
      <alignment horizontal="center"/>
    </xf>
    <xf numFmtId="43" fontId="28" fillId="0" borderId="32" applyProtection="1" pivotButton="0" quotePrefix="0" xfId="10">
      <protection locked="0" hidden="0"/>
    </xf>
    <xf numFmtId="43" fontId="28" fillId="0" borderId="16" applyProtection="1" pivotButton="0" quotePrefix="0" xfId="10">
      <protection locked="0" hidden="0"/>
    </xf>
    <xf numFmtId="176" fontId="28" fillId="0" borderId="50" applyAlignment="1" pivotButton="0" quotePrefix="0" xfId="9">
      <alignment horizontal="left"/>
    </xf>
    <xf numFmtId="166" fontId="28" fillId="0" borderId="48" pivotButton="0" quotePrefix="0" xfId="12"/>
    <xf numFmtId="0" fontId="23" fillId="0" borderId="0" applyAlignment="1" applyProtection="1" pivotButton="0" quotePrefix="0" xfId="9">
      <alignment horizontal="left"/>
      <protection locked="0" hidden="0"/>
    </xf>
    <xf numFmtId="176" fontId="25" fillId="0" borderId="0" applyAlignment="1" applyProtection="1" pivotButton="0" quotePrefix="0" xfId="9">
      <alignment horizontal="center"/>
      <protection locked="0" hidden="0"/>
    </xf>
    <xf numFmtId="166" fontId="25" fillId="0" borderId="0" applyProtection="1" pivotButton="0" quotePrefix="0" xfId="12">
      <protection locked="0" hidden="0"/>
    </xf>
    <xf numFmtId="0" fontId="27" fillId="17" borderId="42" applyAlignment="1" applyProtection="1" pivotButton="0" quotePrefix="0" xfId="9">
      <alignment vertical="center"/>
      <protection locked="0" hidden="0"/>
    </xf>
    <xf numFmtId="0" fontId="28" fillId="0" borderId="45" pivotButton="0" quotePrefix="0" xfId="9"/>
    <xf numFmtId="14" fontId="28" fillId="0" borderId="0" pivotButton="0" quotePrefix="0" xfId="9"/>
    <xf numFmtId="166" fontId="28" fillId="0" borderId="59" pivotButton="0" quotePrefix="0" xfId="10"/>
    <xf numFmtId="176" fontId="28" fillId="0" borderId="59" pivotButton="0" quotePrefix="0" xfId="12"/>
    <xf numFmtId="176" fontId="28" fillId="0" borderId="53" pivotButton="0" quotePrefix="0" xfId="12"/>
    <xf numFmtId="166" fontId="28" fillId="0" borderId="40" applyAlignment="1" pivotButton="0" quotePrefix="0" xfId="12">
      <alignment horizontal="center"/>
    </xf>
    <xf numFmtId="166" fontId="28" fillId="0" borderId="41" applyAlignment="1" pivotButton="0" quotePrefix="0" xfId="12">
      <alignment horizontal="center"/>
    </xf>
    <xf numFmtId="166" fontId="28" fillId="0" borderId="37" pivotButton="0" quotePrefix="0" xfId="12"/>
    <xf numFmtId="0" fontId="28" fillId="0" borderId="49" pivotButton="0" quotePrefix="0" xfId="9"/>
    <xf numFmtId="14" fontId="28" fillId="0" borderId="20" pivotButton="0" quotePrefix="0" xfId="9"/>
    <xf numFmtId="166" fontId="28" fillId="0" borderId="50" pivotButton="0" quotePrefix="0" xfId="10"/>
    <xf numFmtId="176" fontId="28" fillId="0" borderId="50" pivotButton="0" quotePrefix="0" xfId="12"/>
    <xf numFmtId="176" fontId="28" fillId="0" borderId="61" pivotButton="0" quotePrefix="0" xfId="12"/>
    <xf numFmtId="0" fontId="47" fillId="2" borderId="76" applyAlignment="1" pivotButton="0" quotePrefix="0" xfId="0">
      <alignment horizontal="center" vertical="center" wrapText="1"/>
    </xf>
    <xf numFmtId="0" fontId="47" fillId="2" borderId="77" applyAlignment="1" pivotButton="0" quotePrefix="0" xfId="0">
      <alignment horizontal="center" vertical="center" wrapText="1"/>
    </xf>
    <xf numFmtId="168" fontId="47" fillId="2" borderId="77" applyAlignment="1" pivotButton="0" quotePrefix="0" xfId="7">
      <alignment horizontal="center" vertical="center" wrapText="1"/>
    </xf>
    <xf numFmtId="0" fontId="47" fillId="2" borderId="77" applyAlignment="1" pivotButton="0" quotePrefix="0" xfId="6">
      <alignment horizontal="center" vertical="center" wrapText="1"/>
    </xf>
    <xf numFmtId="166" fontId="47" fillId="2" borderId="77" applyAlignment="1" pivotButton="0" quotePrefix="0" xfId="6">
      <alignment horizontal="center" vertical="center" wrapText="1"/>
    </xf>
    <xf numFmtId="1" fontId="47" fillId="2" borderId="77" applyAlignment="1" pivotButton="0" quotePrefix="0" xfId="6">
      <alignment horizontal="center" vertical="center" wrapText="1"/>
    </xf>
    <xf numFmtId="14" fontId="47" fillId="2" borderId="77" applyAlignment="1" pivotButton="0" quotePrefix="0" xfId="6">
      <alignment horizontal="center" vertical="center" wrapText="1"/>
    </xf>
    <xf numFmtId="10" fontId="47" fillId="2" borderId="77" applyAlignment="1" pivotButton="0" quotePrefix="0" xfId="8">
      <alignment horizontal="center" vertical="center" wrapText="1"/>
    </xf>
    <xf numFmtId="1" fontId="47" fillId="2" borderId="0" applyAlignment="1" pivotButton="0" quotePrefix="0" xfId="8">
      <alignment horizontal="center" vertical="center" wrapText="1"/>
    </xf>
    <xf numFmtId="0" fontId="3" fillId="11" borderId="21" applyAlignment="1" pivotButton="0" quotePrefix="0" xfId="0">
      <alignment horizontal="center" vertical="center" wrapText="1"/>
    </xf>
    <xf numFmtId="0" fontId="4" fillId="11" borderId="21" applyAlignment="1" pivotButton="0" quotePrefix="0" xfId="0">
      <alignment horizontal="center" wrapText="1"/>
    </xf>
    <xf numFmtId="0" fontId="4" fillId="11" borderId="21" applyAlignment="1" pivotButton="0" quotePrefix="0" xfId="7">
      <alignment horizontal="center" wrapText="1"/>
    </xf>
    <xf numFmtId="168" fontId="4" fillId="11" borderId="21" applyAlignment="1" pivotButton="0" quotePrefix="0" xfId="7">
      <alignment horizontal="center" wrapText="1"/>
    </xf>
    <xf numFmtId="166" fontId="4" fillId="11" borderId="21" applyAlignment="1" pivotButton="0" quotePrefix="0" xfId="6">
      <alignment horizontal="center" wrapText="1"/>
    </xf>
    <xf numFmtId="177" fontId="4" fillId="11" borderId="21" applyAlignment="1" pivotButton="0" quotePrefix="0" xfId="6">
      <alignment horizontal="center" wrapText="1"/>
    </xf>
    <xf numFmtId="1" fontId="4" fillId="11" borderId="21" applyAlignment="1" pivotButton="0" quotePrefix="0" xfId="6">
      <alignment horizontal="center" wrapText="1"/>
    </xf>
    <xf numFmtId="14" fontId="4" fillId="11" borderId="21" applyAlignment="1" pivotButton="0" quotePrefix="0" xfId="6">
      <alignment horizontal="center" wrapText="1"/>
    </xf>
    <xf numFmtId="164" fontId="4" fillId="11" borderId="21" applyAlignment="1" pivotButton="0" quotePrefix="0" xfId="6">
      <alignment horizontal="center" wrapText="1"/>
    </xf>
    <xf numFmtId="10" fontId="4" fillId="11" borderId="21" applyAlignment="1" pivotButton="0" quotePrefix="0" xfId="8">
      <alignment horizontal="center" wrapText="1"/>
    </xf>
    <xf numFmtId="0" fontId="4" fillId="11" borderId="2" applyAlignment="1" pivotButton="0" quotePrefix="0" xfId="7">
      <alignment horizontal="center" wrapText="1"/>
    </xf>
    <xf numFmtId="0" fontId="3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wrapText="1"/>
    </xf>
    <xf numFmtId="3" fontId="3" fillId="0" borderId="2" applyAlignment="1" pivotButton="0" quotePrefix="0" xfId="0">
      <alignment horizontal="center" wrapText="1"/>
    </xf>
    <xf numFmtId="0" fontId="3" fillId="0" borderId="2" applyAlignment="1" pivotButton="0" quotePrefix="0" xfId="7">
      <alignment horizontal="center" wrapText="1"/>
    </xf>
    <xf numFmtId="168" fontId="3" fillId="0" borderId="2" applyAlignment="1" pivotButton="0" quotePrefix="0" xfId="7">
      <alignment horizontal="center" wrapText="1"/>
    </xf>
    <xf numFmtId="164" fontId="3" fillId="0" borderId="2" applyAlignment="1" pivotButton="0" quotePrefix="0" xfId="6">
      <alignment horizontal="center" wrapText="1"/>
    </xf>
    <xf numFmtId="177" fontId="3" fillId="0" borderId="2" applyAlignment="1" pivotButton="0" quotePrefix="0" xfId="6">
      <alignment horizontal="center" wrapText="1"/>
    </xf>
    <xf numFmtId="1" fontId="3" fillId="0" borderId="2" applyAlignment="1" pivotButton="0" quotePrefix="0" xfId="6">
      <alignment horizontal="center" wrapText="1"/>
    </xf>
    <xf numFmtId="14" fontId="3" fillId="0" borderId="2" applyAlignment="1" pivotButton="0" quotePrefix="0" xfId="6">
      <alignment horizontal="center" wrapText="1"/>
    </xf>
    <xf numFmtId="10" fontId="3" fillId="0" borderId="2" applyAlignment="1" pivotButton="0" quotePrefix="0" xfId="8">
      <alignment horizontal="center" wrapText="1"/>
    </xf>
    <xf numFmtId="164" fontId="0" fillId="0" borderId="0" pivotButton="0" quotePrefix="0" xfId="0"/>
    <xf numFmtId="0" fontId="3" fillId="0" borderId="17" applyAlignment="1" pivotButton="0" quotePrefix="0" xfId="1">
      <alignment horizontal="center" wrapText="1"/>
    </xf>
    <xf numFmtId="0" fontId="3" fillId="0" borderId="18" applyAlignment="1" pivotButton="0" quotePrefix="0" xfId="1">
      <alignment horizontal="center" wrapText="1"/>
    </xf>
    <xf numFmtId="0" fontId="3" fillId="0" borderId="23" applyAlignment="1" pivotButton="0" quotePrefix="0" xfId="1">
      <alignment horizontal="center" wrapText="1"/>
    </xf>
    <xf numFmtId="0" fontId="3" fillId="10" borderId="0" applyAlignment="1" pivotButton="0" quotePrefix="0" xfId="1">
      <alignment vertical="center" wrapText="1"/>
    </xf>
    <xf numFmtId="0" fontId="48" fillId="19" borderId="2" pivotButton="0" quotePrefix="0" xfId="0"/>
    <xf numFmtId="178" fontId="48" fillId="0" borderId="2" pivotButton="0" quotePrefix="0" xfId="0"/>
    <xf numFmtId="0" fontId="20" fillId="19" borderId="21" pivotButton="0" quotePrefix="0" xfId="0"/>
    <xf numFmtId="0" fontId="20" fillId="19" borderId="22" pivotButton="0" quotePrefix="0" xfId="0"/>
    <xf numFmtId="0" fontId="20" fillId="0" borderId="21" pivotButton="0" quotePrefix="0" xfId="0"/>
    <xf numFmtId="0" fontId="20" fillId="0" borderId="22" pivotButton="0" quotePrefix="0" xfId="0"/>
    <xf numFmtId="0" fontId="20" fillId="0" borderId="2" pivotButton="0" quotePrefix="0" xfId="0"/>
    <xf numFmtId="178" fontId="20" fillId="0" borderId="2" pivotButton="0" quotePrefix="0" xfId="0"/>
    <xf numFmtId="178" fontId="49" fillId="0" borderId="2" pivotButton="0" quotePrefix="0" xfId="0"/>
    <xf numFmtId="178" fontId="48" fillId="19" borderId="2" pivotButton="0" quotePrefix="0" xfId="0"/>
    <xf numFmtId="0" fontId="49" fillId="0" borderId="2" pivotButton="0" quotePrefix="0" xfId="0"/>
    <xf numFmtId="178" fontId="50" fillId="0" borderId="2" pivotButton="0" quotePrefix="0" xfId="0"/>
    <xf numFmtId="178" fontId="49" fillId="19" borderId="2" pivotButton="0" quotePrefix="0" xfId="0"/>
    <xf numFmtId="0" fontId="48" fillId="19" borderId="2" applyAlignment="1" pivotButton="0" quotePrefix="0" xfId="0">
      <alignment wrapText="1"/>
    </xf>
    <xf numFmtId="178" fontId="48" fillId="19" borderId="2" applyAlignment="1" pivotButton="0" quotePrefix="0" xfId="0">
      <alignment wrapText="1"/>
    </xf>
    <xf numFmtId="0" fontId="20" fillId="19" borderId="2" pivotButton="0" quotePrefix="0" xfId="0"/>
    <xf numFmtId="164" fontId="20" fillId="0" borderId="2" applyAlignment="1" pivotButton="0" quotePrefix="0" xfId="0">
      <alignment horizontal="right"/>
    </xf>
    <xf numFmtId="164" fontId="20" fillId="0" borderId="2" applyAlignment="1" pivotButton="0" quotePrefix="0" xfId="0">
      <alignment horizontal="right" wrapText="1"/>
    </xf>
    <xf numFmtId="178" fontId="20" fillId="0" borderId="2" applyAlignment="1" pivotButton="0" quotePrefix="0" xfId="0">
      <alignment wrapText="1"/>
    </xf>
    <xf numFmtId="178" fontId="20" fillId="0" borderId="2" applyAlignment="1" pivotButton="0" quotePrefix="0" xfId="0">
      <alignment horizontal="right" wrapText="1"/>
    </xf>
    <xf numFmtId="178" fontId="20" fillId="0" borderId="2" applyAlignment="1" pivotButton="0" quotePrefix="0" xfId="0">
      <alignment horizontal="right"/>
    </xf>
    <xf numFmtId="0" fontId="20" fillId="19" borderId="9" pivotButton="0" quotePrefix="0" xfId="0"/>
    <xf numFmtId="0" fontId="0" fillId="0" borderId="9" pivotButton="0" quotePrefix="0" xfId="0"/>
    <xf numFmtId="164" fontId="20" fillId="19" borderId="9" applyAlignment="1" pivotButton="0" quotePrefix="0" xfId="0">
      <alignment horizontal="right"/>
    </xf>
    <xf numFmtId="0" fontId="0" fillId="0" borderId="4" pivotButton="0" quotePrefix="0" xfId="0"/>
    <xf numFmtId="0" fontId="0" fillId="0" borderId="6" pivotButton="0" quotePrefix="0" xfId="0"/>
    <xf numFmtId="0" fontId="20" fillId="0" borderId="10" pivotButton="0" quotePrefix="0" xfId="0"/>
    <xf numFmtId="0" fontId="20" fillId="19" borderId="10" pivotButton="0" quotePrefix="0" xfId="0"/>
    <xf numFmtId="0" fontId="0" fillId="0" borderId="10" pivotButton="0" quotePrefix="0" xfId="0"/>
    <xf numFmtId="164" fontId="20" fillId="0" borderId="10" applyAlignment="1" pivotButton="0" quotePrefix="0" xfId="0">
      <alignment horizontal="right" wrapText="1"/>
    </xf>
    <xf numFmtId="0" fontId="0" fillId="0" borderId="8" pivotButton="0" quotePrefix="0" xfId="0"/>
    <xf numFmtId="0" fontId="2" fillId="2" borderId="78" applyAlignment="1" pivotButton="0" quotePrefix="0" xfId="0">
      <alignment vertical="center" wrapText="1"/>
    </xf>
    <xf numFmtId="0" fontId="2" fillId="2" borderId="80" applyAlignment="1" pivotButton="0" quotePrefix="0" xfId="0">
      <alignment wrapText="1"/>
    </xf>
    <xf numFmtId="0" fontId="2" fillId="2" borderId="81" applyAlignment="1" pivotButton="0" quotePrefix="0" xfId="0">
      <alignment wrapText="1"/>
    </xf>
    <xf numFmtId="0" fontId="20" fillId="0" borderId="9" pivotButton="0" quotePrefix="0" xfId="0"/>
    <xf numFmtId="0" fontId="20" fillId="0" borderId="82" pivotButton="0" quotePrefix="0" xfId="0"/>
    <xf numFmtId="0" fontId="20" fillId="19" borderId="82" pivotButton="0" quotePrefix="0" xfId="0"/>
    <xf numFmtId="178" fontId="20" fillId="0" borderId="9" applyAlignment="1" pivotButton="0" quotePrefix="0" xfId="0">
      <alignment wrapText="1"/>
    </xf>
    <xf numFmtId="178" fontId="20" fillId="0" borderId="9" applyAlignment="1" pivotButton="0" quotePrefix="0" xfId="0">
      <alignment horizontal="right" wrapText="1"/>
    </xf>
    <xf numFmtId="0" fontId="20" fillId="0" borderId="35" pivotButton="0" quotePrefix="0" xfId="0"/>
    <xf numFmtId="0" fontId="20" fillId="0" borderId="37" pivotButton="0" quotePrefix="0" xfId="0"/>
    <xf numFmtId="0" fontId="20" fillId="19" borderId="37" pivotButton="0" quotePrefix="0" xfId="0"/>
    <xf numFmtId="178" fontId="20" fillId="0" borderId="12" applyAlignment="1" pivotButton="0" quotePrefix="0" xfId="0">
      <alignment wrapText="1"/>
    </xf>
    <xf numFmtId="178" fontId="20" fillId="0" borderId="12" applyAlignment="1" pivotButton="0" quotePrefix="0" xfId="0">
      <alignment horizontal="right" wrapText="1"/>
    </xf>
    <xf numFmtId="0" fontId="0" fillId="0" borderId="11" pivotButton="0" quotePrefix="0" xfId="0"/>
    <xf numFmtId="178" fontId="20" fillId="0" borderId="10" pivotButton="0" quotePrefix="0" xfId="0"/>
    <xf numFmtId="0" fontId="51" fillId="0" borderId="21" pivotButton="0" quotePrefix="0" xfId="0"/>
    <xf numFmtId="0" fontId="51" fillId="0" borderId="22" applyAlignment="1" pivotButton="0" quotePrefix="0" xfId="0">
      <alignment wrapText="1"/>
    </xf>
    <xf numFmtId="0" fontId="51" fillId="0" borderId="22" pivotButton="0" quotePrefix="0" xfId="0"/>
    <xf numFmtId="0" fontId="51" fillId="10" borderId="22" pivotButton="0" quotePrefix="0" xfId="0"/>
    <xf numFmtId="0" fontId="51" fillId="0" borderId="20" pivotButton="0" quotePrefix="0" xfId="0"/>
    <xf numFmtId="178" fontId="51" fillId="0" borderId="83" applyAlignment="1" pivotButton="0" quotePrefix="0" xfId="0">
      <alignment wrapText="1"/>
    </xf>
    <xf numFmtId="178" fontId="51" fillId="0" borderId="83" pivotButton="0" quotePrefix="0" xfId="0"/>
    <xf numFmtId="0" fontId="51" fillId="0" borderId="83" applyAlignment="1" pivotButton="0" quotePrefix="0" xfId="0">
      <alignment wrapText="1"/>
    </xf>
    <xf numFmtId="0" fontId="2" fillId="0" borderId="2" applyAlignment="1" pivotButton="0" quotePrefix="0" xfId="0">
      <alignment wrapText="1"/>
    </xf>
    <xf numFmtId="0" fontId="53" fillId="0" borderId="83" pivotButton="0" quotePrefix="0" xfId="0"/>
    <xf numFmtId="0" fontId="3" fillId="0" borderId="2" applyAlignment="1" pivotButton="0" quotePrefix="0" xfId="1">
      <alignment horizontal="left" vertical="center" wrapText="1"/>
    </xf>
    <xf numFmtId="0" fontId="0" fillId="0" borderId="18" pivotButton="0" quotePrefix="0" xfId="0"/>
    <xf numFmtId="0" fontId="0" fillId="0" borderId="19" pivotButton="0" quotePrefix="0" xfId="0"/>
    <xf numFmtId="0" fontId="5" fillId="3" borderId="2" applyAlignment="1" pivotButton="0" quotePrefix="0" xfId="1">
      <alignment horizontal="center" vertical="center" wrapText="1"/>
    </xf>
    <xf numFmtId="0" fontId="3" fillId="0" borderId="2" applyAlignment="1" pivotButton="0" quotePrefix="0" xfId="1">
      <alignment horizontal="center" vertical="center" wrapText="1"/>
    </xf>
    <xf numFmtId="0" fontId="3" fillId="0" borderId="2" applyAlignment="1" pivotButton="0" quotePrefix="0" xfId="1">
      <alignment wrapText="1"/>
    </xf>
    <xf numFmtId="0" fontId="3" fillId="0" borderId="10" applyAlignment="1" pivotButton="0" quotePrefix="0" xfId="1">
      <alignment horizontal="left" vertical="top" wrapText="1"/>
    </xf>
    <xf numFmtId="0" fontId="0" fillId="0" borderId="85" pivotButton="0" quotePrefix="0" xfId="0"/>
    <xf numFmtId="0" fontId="0" fillId="0" borderId="86" pivotButton="0" quotePrefix="0" xfId="0"/>
    <xf numFmtId="0" fontId="3" fillId="0" borderId="19" applyAlignment="1" pivotButton="0" quotePrefix="0" xfId="1">
      <alignment wrapText="1"/>
    </xf>
    <xf numFmtId="0" fontId="4" fillId="0" borderId="6" applyAlignment="1" pivotButton="0" quotePrefix="0" xfId="1">
      <alignment horizontal="center" vertical="center" wrapText="1"/>
    </xf>
    <xf numFmtId="0" fontId="0" fillId="0" borderId="84" pivotButton="0" quotePrefix="0" xfId="0"/>
    <xf numFmtId="0" fontId="3" fillId="0" borderId="2" applyAlignment="1" pivotButton="0" quotePrefix="0" xfId="1">
      <alignment horizontal="left" wrapText="1"/>
    </xf>
    <xf numFmtId="0" fontId="3" fillId="10" borderId="2" applyAlignment="1" pivotButton="0" quotePrefix="0" xfId="1">
      <alignment horizontal="left" vertical="top" wrapText="1"/>
    </xf>
    <xf numFmtId="0" fontId="4" fillId="10" borderId="2" applyAlignment="1" pivotButton="0" quotePrefix="0" xfId="1">
      <alignment horizontal="center" vertical="center" wrapText="1"/>
    </xf>
    <xf numFmtId="164" fontId="4" fillId="10" borderId="2" applyAlignment="1" pivotButton="0" quotePrefix="0" xfId="1">
      <alignment horizontal="center" vertical="center" wrapText="1"/>
    </xf>
    <xf numFmtId="0" fontId="5" fillId="3" borderId="2" applyAlignment="1" pivotButton="0" quotePrefix="0" xfId="1">
      <alignment horizontal="left" vertical="center" wrapText="1"/>
    </xf>
    <xf numFmtId="0" fontId="4" fillId="0" borderId="2" applyAlignment="1" pivotButton="0" quotePrefix="0" xfId="1">
      <alignment horizontal="left" vertical="center" wrapText="1"/>
    </xf>
    <xf numFmtId="0" fontId="3" fillId="10" borderId="2" applyAlignment="1" pivotButton="0" quotePrefix="0" xfId="1">
      <alignment horizontal="left" vertical="center" wrapText="1"/>
    </xf>
    <xf numFmtId="0" fontId="3" fillId="0" borderId="6" applyAlignment="1" pivotButton="0" quotePrefix="0" xfId="1">
      <alignment horizontal="left" vertical="top" wrapText="1"/>
    </xf>
    <xf numFmtId="0" fontId="0" fillId="0" borderId="23" pivotButton="0" quotePrefix="0" xfId="0"/>
    <xf numFmtId="14" fontId="3" fillId="0" borderId="2" applyAlignment="1" pivotButton="0" quotePrefix="0" xfId="1">
      <alignment horizontal="center" wrapText="1"/>
    </xf>
    <xf numFmtId="0" fontId="3" fillId="10" borderId="2" applyAlignment="1" pivotButton="0" quotePrefix="0" xfId="1">
      <alignment horizontal="center" vertical="center" wrapText="1"/>
    </xf>
    <xf numFmtId="0" fontId="5" fillId="3" borderId="12" applyAlignment="1" pivotButton="0" quotePrefix="0" xfId="1">
      <alignment horizontal="left" vertical="center" wrapText="1"/>
    </xf>
    <xf numFmtId="0" fontId="0" fillId="0" borderId="14" pivotButton="0" quotePrefix="0" xfId="0"/>
    <xf numFmtId="0" fontId="0" fillId="0" borderId="15" pivotButton="0" quotePrefix="0" xfId="0"/>
    <xf numFmtId="164" fontId="4" fillId="0" borderId="2" applyAlignment="1" pivotButton="0" quotePrefix="0" xfId="1">
      <alignment horizontal="left" vertical="center" wrapText="1"/>
    </xf>
    <xf numFmtId="0" fontId="5" fillId="2" borderId="2" applyAlignment="1" pivotButton="0" quotePrefix="0" xfId="1">
      <alignment wrapText="1"/>
    </xf>
    <xf numFmtId="0" fontId="3" fillId="0" borderId="6" applyAlignment="1" pivotButton="0" quotePrefix="0" xfId="1">
      <alignment horizontal="center" vertical="top" wrapText="1"/>
    </xf>
    <xf numFmtId="0" fontId="0" fillId="0" borderId="38" pivotButton="0" quotePrefix="0" xfId="0"/>
    <xf numFmtId="0" fontId="0" fillId="0" borderId="32" pivotButton="0" quotePrefix="0" xfId="0"/>
    <xf numFmtId="0" fontId="0" fillId="0" borderId="36" pivotButton="0" quotePrefix="0" xfId="0"/>
    <xf numFmtId="0" fontId="0" fillId="0" borderId="16" pivotButton="0" quotePrefix="0" xfId="0"/>
    <xf numFmtId="0" fontId="0" fillId="0" borderId="39" pivotButton="0" quotePrefix="0" xfId="0"/>
    <xf numFmtId="164" fontId="3" fillId="10" borderId="2" applyAlignment="1" pivotButton="0" quotePrefix="0" xfId="1">
      <alignment horizontal="center" wrapText="1"/>
    </xf>
    <xf numFmtId="0" fontId="3" fillId="2" borderId="10" applyAlignment="1" pivotButton="0" quotePrefix="0" xfId="1">
      <alignment horizontal="center" vertical="center" wrapText="1"/>
    </xf>
    <xf numFmtId="3" fontId="3" fillId="0" borderId="2" applyAlignment="1" pivotButton="0" quotePrefix="0" xfId="1">
      <alignment horizontal="center" vertical="center" wrapText="1"/>
    </xf>
    <xf numFmtId="3" fontId="3" fillId="10" borderId="2" applyAlignment="1" pivotButton="0" quotePrefix="0" xfId="1">
      <alignment horizontal="center" vertical="center" wrapText="1"/>
    </xf>
    <xf numFmtId="0" fontId="3" fillId="0" borderId="2" applyAlignment="1" pivotButton="0" quotePrefix="0" xfId="1">
      <alignment horizontal="center" wrapText="1"/>
    </xf>
    <xf numFmtId="0" fontId="3" fillId="10" borderId="2" applyAlignment="1" pivotButton="0" quotePrefix="0" xfId="1">
      <alignment horizontal="left" wrapText="1"/>
    </xf>
    <xf numFmtId="164" fontId="3" fillId="0" borderId="2" applyAlignment="1" pivotButton="0" quotePrefix="0" xfId="1">
      <alignment horizontal="center" wrapText="1"/>
    </xf>
    <xf numFmtId="164" fontId="3" fillId="0" borderId="2" applyAlignment="1" pivotButton="0" quotePrefix="0" xfId="1">
      <alignment horizontal="left" vertical="center" wrapText="1"/>
    </xf>
    <xf numFmtId="0" fontId="3" fillId="10" borderId="2" applyAlignment="1" pivotButton="0" quotePrefix="0" xfId="1">
      <alignment horizontal="center" wrapText="1"/>
    </xf>
    <xf numFmtId="0" fontId="22" fillId="10" borderId="2" applyAlignment="1" pivotButton="0" quotePrefix="0" xfId="1">
      <alignment horizontal="center" wrapText="1"/>
    </xf>
    <xf numFmtId="0" fontId="54" fillId="10" borderId="2" applyAlignment="1" pivotButton="0" quotePrefix="0" xfId="1">
      <alignment horizontal="left" vertical="center" wrapText="1"/>
    </xf>
    <xf numFmtId="0" fontId="3" fillId="0" borderId="6" applyAlignment="1" pivotButton="0" quotePrefix="0" xfId="1">
      <alignment horizontal="center" wrapText="1"/>
    </xf>
    <xf numFmtId="0" fontId="4" fillId="0" borderId="12" applyAlignment="1" pivotButton="0" quotePrefix="0" xfId="1">
      <alignment horizontal="center" vertical="center" wrapText="1"/>
    </xf>
    <xf numFmtId="164" fontId="3" fillId="0" borderId="12" applyAlignment="1" pivotButton="0" quotePrefix="0" xfId="1">
      <alignment horizontal="center" vertical="center" wrapText="1"/>
    </xf>
    <xf numFmtId="0" fontId="4" fillId="0" borderId="2" applyAlignment="1" pivotButton="0" quotePrefix="0" xfId="1">
      <alignment horizontal="center" vertical="center" wrapText="1"/>
    </xf>
    <xf numFmtId="0" fontId="52" fillId="2" borderId="87" applyAlignment="1" pivotButton="0" quotePrefix="0" xfId="1">
      <alignment horizontal="center" vertical="center" wrapText="1"/>
    </xf>
    <xf numFmtId="0" fontId="3" fillId="0" borderId="0" applyAlignment="1" pivotButton="0" quotePrefix="0" xfId="1">
      <alignment wrapText="1"/>
    </xf>
    <xf numFmtId="0" fontId="1" fillId="0" borderId="12" applyAlignment="1" pivotButton="0" quotePrefix="0" xfId="0">
      <alignment horizontal="center" vertical="center" wrapText="1"/>
    </xf>
    <xf numFmtId="0" fontId="0" fillId="0" borderId="20" pivotButton="0" quotePrefix="0" xfId="0"/>
    <xf numFmtId="0" fontId="0" fillId="0" borderId="22" pivotButton="0" quotePrefix="0" xfId="0"/>
    <xf numFmtId="10" fontId="3" fillId="0" borderId="2" applyAlignment="1" pivotButton="0" quotePrefix="0" xfId="1">
      <alignment horizontal="center" wrapText="1"/>
    </xf>
    <xf numFmtId="0" fontId="3" fillId="10" borderId="36" applyAlignment="1" pivotButton="0" quotePrefix="0" xfId="1">
      <alignment horizontal="center" vertical="center" wrapText="1"/>
    </xf>
    <xf numFmtId="0" fontId="0" fillId="0" borderId="21" pivotButton="0" quotePrefix="0" xfId="0"/>
    <xf numFmtId="0" fontId="3" fillId="0" borderId="84" applyAlignment="1" pivotButton="0" quotePrefix="0" xfId="1">
      <alignment horizontal="left" vertical="top" wrapText="1"/>
    </xf>
    <xf numFmtId="0" fontId="22" fillId="10" borderId="2" applyAlignment="1" pivotButton="0" quotePrefix="0" xfId="1">
      <alignment horizontal="left" vertical="center" wrapText="1"/>
    </xf>
    <xf numFmtId="0" fontId="3" fillId="0" borderId="2" applyAlignment="1" pivotButton="0" quotePrefix="0" xfId="1">
      <alignment horizontal="center" vertical="top" wrapText="1"/>
    </xf>
    <xf numFmtId="0" fontId="0" fillId="0" borderId="37" pivotButton="0" quotePrefix="0" xfId="0"/>
    <xf numFmtId="0" fontId="4" fillId="10" borderId="2" applyAlignment="1" pivotButton="0" quotePrefix="0" xfId="1">
      <alignment horizontal="center" wrapText="1"/>
    </xf>
    <xf numFmtId="0" fontId="1" fillId="4" borderId="2" applyAlignment="1" pivotButton="0" quotePrefix="0" xfId="0">
      <alignment horizontal="left" vertical="center" wrapText="1"/>
    </xf>
    <xf numFmtId="0" fontId="5" fillId="3" borderId="21" applyAlignment="1" pivotButton="0" quotePrefix="0" xfId="1">
      <alignment horizontal="left" vertical="center" wrapText="1"/>
    </xf>
    <xf numFmtId="0" fontId="4" fillId="10" borderId="6" applyAlignment="1" pivotButton="0" quotePrefix="0" xfId="1">
      <alignment horizontal="left" vertical="center" wrapText="1"/>
    </xf>
    <xf numFmtId="10" fontId="3" fillId="0" borderId="2" applyAlignment="1" pivotButton="0" quotePrefix="0" xfId="1">
      <alignment horizontal="center" vertical="center" wrapText="1"/>
    </xf>
    <xf numFmtId="49" fontId="3" fillId="0" borderId="2" applyAlignment="1" pivotButton="0" quotePrefix="0" xfId="1">
      <alignment horizontal="center" vertical="center" wrapText="1"/>
    </xf>
    <xf numFmtId="0" fontId="3" fillId="0" borderId="11" applyAlignment="1" pivotButton="0" quotePrefix="0" xfId="1">
      <alignment horizontal="left" vertical="top" wrapText="1"/>
    </xf>
    <xf numFmtId="0" fontId="4" fillId="0" borderId="17" applyAlignment="1" pivotButton="0" quotePrefix="0" xfId="1">
      <alignment horizontal="left" vertical="center" wrapText="1"/>
    </xf>
    <xf numFmtId="0" fontId="3" fillId="0" borderId="6" applyAlignment="1" pivotButton="0" quotePrefix="0" xfId="1">
      <alignment horizontal="left" wrapText="1"/>
    </xf>
    <xf numFmtId="166" fontId="3" fillId="0" borderId="21" applyAlignment="1" pivotButton="0" quotePrefix="0" xfId="1">
      <alignment horizontal="center" vertical="center" wrapText="1"/>
    </xf>
    <xf numFmtId="0" fontId="4" fillId="10" borderId="6" applyAlignment="1" pivotButton="0" quotePrefix="0" xfId="1">
      <alignment horizontal="center" wrapText="1"/>
    </xf>
    <xf numFmtId="0" fontId="5" fillId="0" borderId="6" applyAlignment="1" pivotButton="0" quotePrefix="0" xfId="1">
      <alignment horizontal="center" wrapText="1"/>
    </xf>
    <xf numFmtId="0" fontId="3" fillId="0" borderId="10" applyAlignment="1" pivotButton="0" quotePrefix="0" xfId="1">
      <alignment horizontal="left" vertical="center" wrapText="1"/>
    </xf>
    <xf numFmtId="0" fontId="5" fillId="2" borderId="6" applyAlignment="1" pivotButton="0" quotePrefix="0" xfId="1">
      <alignment horizontal="center" wrapText="1"/>
    </xf>
    <xf numFmtId="0" fontId="4" fillId="0" borderId="0" applyAlignment="1" pivotButton="0" quotePrefix="0" xfId="1">
      <alignment horizontal="center" vertical="center" wrapText="1"/>
    </xf>
    <xf numFmtId="0" fontId="12" fillId="0" borderId="2" applyAlignment="1" pivotButton="0" quotePrefix="0" xfId="0">
      <alignment horizontal="center" vertical="center" wrapText="1"/>
    </xf>
    <xf numFmtId="0" fontId="0" fillId="0" borderId="35" pivotButton="0" quotePrefix="0" xfId="0"/>
    <xf numFmtId="0" fontId="0" fillId="15" borderId="36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/>
    </xf>
    <xf numFmtId="0" fontId="0" fillId="0" borderId="25" pivotButton="0" quotePrefix="0" xfId="0"/>
    <xf numFmtId="0" fontId="0" fillId="0" borderId="26" pivotButton="0" quotePrefix="0" xfId="0"/>
    <xf numFmtId="0" fontId="0" fillId="0" borderId="2" applyAlignment="1" pivotButton="0" quotePrefix="0" xfId="0">
      <alignment horizontal="center" vertical="center"/>
    </xf>
    <xf numFmtId="0" fontId="0" fillId="0" borderId="2" applyAlignment="1" pivotButton="0" quotePrefix="1" xfId="0">
      <alignment horizontal="center" vertical="center"/>
    </xf>
    <xf numFmtId="0" fontId="2" fillId="2" borderId="2" applyAlignment="1" pivotButton="0" quotePrefix="0" xfId="0">
      <alignment horizontal="center"/>
    </xf>
    <xf numFmtId="176" fontId="28" fillId="0" borderId="59" pivotButton="0" quotePrefix="0" xfId="12"/>
    <xf numFmtId="0" fontId="0" fillId="0" borderId="46" pivotButton="0" quotePrefix="0" xfId="0"/>
    <xf numFmtId="176" fontId="28" fillId="0" borderId="59" pivotButton="0" quotePrefix="0" xfId="16"/>
    <xf numFmtId="176" fontId="28" fillId="0" borderId="59" applyAlignment="1" pivotButton="0" quotePrefix="0" xfId="9">
      <alignment horizontal="center"/>
    </xf>
    <xf numFmtId="173" fontId="28" fillId="0" borderId="48" applyAlignment="1" pivotButton="0" quotePrefix="0" xfId="9">
      <alignment horizontal="right" vertical="center" indent="1"/>
    </xf>
    <xf numFmtId="0" fontId="37" fillId="0" borderId="13" applyAlignment="1" applyProtection="1" pivotButton="0" quotePrefix="0" xfId="9">
      <alignment horizontal="left"/>
      <protection locked="0" hidden="0"/>
    </xf>
    <xf numFmtId="0" fontId="0" fillId="0" borderId="14" applyProtection="1" pivotButton="0" quotePrefix="0" xfId="0">
      <protection locked="0" hidden="0"/>
    </xf>
    <xf numFmtId="0" fontId="37" fillId="0" borderId="32" applyAlignment="1" applyProtection="1" pivotButton="0" quotePrefix="0" xfId="9">
      <alignment horizontal="left" vertical="center"/>
      <protection locked="0" hidden="0"/>
    </xf>
    <xf numFmtId="0" fontId="0" fillId="0" borderId="0" applyProtection="1" pivotButton="0" quotePrefix="0" xfId="0">
      <protection locked="0" hidden="0"/>
    </xf>
    <xf numFmtId="173" fontId="28" fillId="0" borderId="62" applyAlignment="1" pivotButton="0" quotePrefix="0" xfId="9">
      <alignment horizontal="center" vertical="center"/>
    </xf>
    <xf numFmtId="0" fontId="0" fillId="0" borderId="63" pivotButton="0" quotePrefix="0" xfId="0"/>
    <xf numFmtId="173" fontId="28" fillId="0" borderId="59" applyAlignment="1" pivotButton="0" quotePrefix="0" xfId="9">
      <alignment horizontal="right" vertical="center" indent="1"/>
    </xf>
    <xf numFmtId="173" fontId="28" fillId="0" borderId="50" applyAlignment="1" pivotButton="0" quotePrefix="0" xfId="9">
      <alignment horizontal="right" vertical="center" indent="1"/>
    </xf>
    <xf numFmtId="0" fontId="0" fillId="0" borderId="60" pivotButton="0" quotePrefix="0" xfId="0"/>
    <xf numFmtId="0" fontId="27" fillId="17" borderId="58" applyAlignment="1" applyProtection="1" pivotButton="0" quotePrefix="0" xfId="9">
      <alignment horizontal="center" vertical="center" wrapText="1"/>
      <protection locked="0" hidden="0"/>
    </xf>
    <xf numFmtId="0" fontId="0" fillId="0" borderId="43" applyProtection="1" pivotButton="0" quotePrefix="0" xfId="0">
      <protection locked="0" hidden="0"/>
    </xf>
    <xf numFmtId="0" fontId="28" fillId="0" borderId="46" applyAlignment="1" applyProtection="1" pivotButton="0" quotePrefix="0" xfId="9">
      <alignment horizontal="center"/>
      <protection locked="0" hidden="0"/>
    </xf>
    <xf numFmtId="0" fontId="0" fillId="0" borderId="46" applyProtection="1" pivotButton="0" quotePrefix="0" xfId="0">
      <protection locked="0" hidden="0"/>
    </xf>
    <xf numFmtId="168" fontId="23" fillId="2" borderId="19" applyAlignment="1" applyProtection="1" pivotButton="0" quotePrefix="0" xfId="9">
      <alignment horizontal="center" vertical="center"/>
      <protection locked="0" hidden="0"/>
    </xf>
    <xf numFmtId="0" fontId="0" fillId="0" borderId="18" applyProtection="1" pivotButton="0" quotePrefix="0" xfId="0">
      <protection locked="0" hidden="0"/>
    </xf>
    <xf numFmtId="0" fontId="0" fillId="0" borderId="19" applyProtection="1" pivotButton="0" quotePrefix="0" xfId="0">
      <protection locked="0" hidden="0"/>
    </xf>
    <xf numFmtId="0" fontId="27" fillId="0" borderId="45" applyAlignment="1" applyProtection="1" pivotButton="0" quotePrefix="0" xfId="15">
      <alignment horizontal="right"/>
      <protection locked="0" hidden="0"/>
    </xf>
    <xf numFmtId="176" fontId="28" fillId="0" borderId="62" pivotButton="0" quotePrefix="0" xfId="16"/>
    <xf numFmtId="176" fontId="28" fillId="0" borderId="62" pivotButton="0" quotePrefix="0" xfId="12"/>
    <xf numFmtId="0" fontId="28" fillId="0" borderId="57" applyAlignment="1" applyProtection="1" pivotButton="0" quotePrefix="0" xfId="15">
      <alignment horizontal="right"/>
      <protection locked="0" hidden="0"/>
    </xf>
    <xf numFmtId="0" fontId="0" fillId="0" borderId="57" applyProtection="1" pivotButton="0" quotePrefix="0" xfId="0">
      <protection locked="0" hidden="0"/>
    </xf>
    <xf numFmtId="0" fontId="27" fillId="0" borderId="92" applyAlignment="1" applyProtection="1" pivotButton="0" quotePrefix="0" xfId="15">
      <alignment horizontal="right"/>
      <protection locked="0" hidden="0"/>
    </xf>
    <xf numFmtId="0" fontId="0" fillId="0" borderId="64" applyProtection="1" pivotButton="0" quotePrefix="0" xfId="0">
      <protection locked="0" hidden="0"/>
    </xf>
    <xf numFmtId="0" fontId="27" fillId="17" borderId="44" applyAlignment="1" applyProtection="1" pivotButton="0" quotePrefix="0" xfId="9">
      <alignment horizontal="center" vertical="center"/>
      <protection locked="0" hidden="0"/>
    </xf>
    <xf numFmtId="176" fontId="28" fillId="0" borderId="62" applyAlignment="1" pivotButton="0" quotePrefix="0" xfId="9">
      <alignment horizontal="center"/>
    </xf>
    <xf numFmtId="176" fontId="28" fillId="0" borderId="50" applyAlignment="1" pivotButton="0" quotePrefix="0" xfId="9">
      <alignment horizontal="center"/>
    </xf>
    <xf numFmtId="176" fontId="28" fillId="0" borderId="50" pivotButton="0" quotePrefix="0" xfId="12"/>
    <xf numFmtId="0" fontId="28" fillId="0" borderId="63" applyAlignment="1" applyProtection="1" pivotButton="0" quotePrefix="0" xfId="9">
      <alignment horizontal="center"/>
      <protection locked="0" hidden="0"/>
    </xf>
    <xf numFmtId="0" fontId="0" fillId="0" borderId="63" applyProtection="1" pivotButton="0" quotePrefix="0" xfId="0">
      <protection locked="0" hidden="0"/>
    </xf>
    <xf numFmtId="0" fontId="24" fillId="16" borderId="2" applyAlignment="1" applyProtection="1" pivotButton="0" quotePrefix="0" xfId="9">
      <alignment horizontal="center" vertical="center"/>
      <protection locked="0" hidden="0"/>
    </xf>
    <xf numFmtId="173" fontId="28" fillId="0" borderId="41" applyAlignment="1" pivotButton="0" quotePrefix="0" xfId="9">
      <alignment horizontal="right" vertical="center" indent="1"/>
    </xf>
    <xf numFmtId="0" fontId="39" fillId="0" borderId="0" applyProtection="1" pivotButton="0" quotePrefix="0" xfId="9">
      <protection locked="0" hidden="0"/>
    </xf>
    <xf numFmtId="173" fontId="28" fillId="0" borderId="90" applyAlignment="1" pivotButton="0" quotePrefix="0" xfId="9">
      <alignment horizontal="center" vertical="center"/>
    </xf>
    <xf numFmtId="0" fontId="0" fillId="0" borderId="70" pivotButton="0" quotePrefix="0" xfId="0"/>
    <xf numFmtId="0" fontId="0" fillId="0" borderId="75" pivotButton="0" quotePrefix="0" xfId="0"/>
    <xf numFmtId="173" fontId="28" fillId="0" borderId="62" applyAlignment="1" pivotButton="0" quotePrefix="0" xfId="9">
      <alignment horizontal="right" vertical="center" indent="1"/>
    </xf>
    <xf numFmtId="166" fontId="23" fillId="2" borderId="18" applyAlignment="1" applyProtection="1" pivotButton="0" quotePrefix="0" xfId="12">
      <alignment horizontal="center" vertical="center"/>
      <protection locked="0" hidden="0"/>
    </xf>
    <xf numFmtId="166" fontId="23" fillId="2" borderId="18" applyAlignment="1" applyProtection="1" pivotButton="0" quotePrefix="0" xfId="12">
      <alignment vertical="center"/>
      <protection locked="0" hidden="0"/>
    </xf>
    <xf numFmtId="166" fontId="29" fillId="16" borderId="2" applyAlignment="1" applyProtection="1" pivotButton="0" quotePrefix="0" xfId="9">
      <alignment horizontal="center" vertical="center" wrapText="1"/>
      <protection locked="0" hidden="0"/>
    </xf>
    <xf numFmtId="164" fontId="28" fillId="0" borderId="59" applyAlignment="1" pivotButton="0" quotePrefix="0" xfId="9">
      <alignment horizontal="right" vertical="center" indent="1"/>
    </xf>
    <xf numFmtId="173" fontId="28" fillId="0" borderId="50" applyAlignment="1" pivotButton="0" quotePrefix="0" xfId="9">
      <alignment horizontal="center" vertical="center"/>
    </xf>
    <xf numFmtId="0" fontId="27" fillId="0" borderId="32" applyAlignment="1" applyProtection="1" pivotButton="0" quotePrefix="0" xfId="9">
      <alignment horizontal="left" vertical="center"/>
      <protection locked="0" hidden="0"/>
    </xf>
    <xf numFmtId="0" fontId="27" fillId="17" borderId="89" applyAlignment="1" applyProtection="1" pivotButton="0" quotePrefix="0" xfId="9">
      <alignment horizontal="center" vertical="center" wrapText="1"/>
      <protection locked="0" hidden="0"/>
    </xf>
    <xf numFmtId="0" fontId="0" fillId="0" borderId="65" applyProtection="1" pivotButton="0" quotePrefix="0" xfId="0">
      <protection locked="0" hidden="0"/>
    </xf>
    <xf numFmtId="0" fontId="27" fillId="17" borderId="90" applyAlignment="1" applyProtection="1" pivotButton="0" quotePrefix="0" xfId="9">
      <alignment horizontal="center" vertical="center" wrapText="1"/>
      <protection locked="0" hidden="0"/>
    </xf>
    <xf numFmtId="0" fontId="28" fillId="0" borderId="32" applyAlignment="1" applyProtection="1" pivotButton="0" quotePrefix="0" xfId="9">
      <alignment horizontal="right" vertical="center"/>
      <protection locked="0" hidden="0"/>
    </xf>
    <xf numFmtId="176" fontId="28" fillId="0" borderId="50" pivotButton="0" quotePrefix="0" xfId="16"/>
    <xf numFmtId="173" fontId="28" fillId="18" borderId="40" applyAlignment="1" pivotButton="0" quotePrefix="0" xfId="9">
      <alignment horizontal="right" vertical="center" indent="1"/>
    </xf>
    <xf numFmtId="164" fontId="28" fillId="0" borderId="41" applyAlignment="1" pivotButton="0" quotePrefix="0" xfId="9">
      <alignment horizontal="right" vertical="center" indent="1"/>
    </xf>
    <xf numFmtId="0" fontId="27" fillId="0" borderId="91" applyAlignment="1" applyProtection="1" pivotButton="0" quotePrefix="0" xfId="15">
      <alignment horizontal="right"/>
      <protection locked="0" hidden="0"/>
    </xf>
    <xf numFmtId="175" fontId="28" fillId="0" borderId="88" applyAlignment="1" pivotButton="0" quotePrefix="0" xfId="9">
      <alignment horizontal="center" vertical="center"/>
    </xf>
    <xf numFmtId="0" fontId="0" fillId="0" borderId="67" pivotButton="0" quotePrefix="0" xfId="0"/>
    <xf numFmtId="0" fontId="0" fillId="0" borderId="53" pivotButton="0" quotePrefix="0" xfId="0"/>
    <xf numFmtId="0" fontId="0" fillId="0" borderId="69" pivotButton="0" quotePrefix="0" xfId="0"/>
    <xf numFmtId="0" fontId="0" fillId="0" borderId="61" pivotButton="0" quotePrefix="0" xfId="0"/>
    <xf numFmtId="0" fontId="0" fillId="0" borderId="74" pivotButton="0" quotePrefix="0" xfId="0"/>
    <xf numFmtId="173" fontId="28" fillId="16" borderId="89" applyAlignment="1" applyProtection="1" pivotButton="0" quotePrefix="0" xfId="9">
      <alignment horizontal="center" vertical="center"/>
      <protection locked="0" hidden="0"/>
    </xf>
    <xf numFmtId="0" fontId="0" fillId="0" borderId="67" applyProtection="1" pivotButton="0" quotePrefix="0" xfId="0">
      <protection locked="0" hidden="0"/>
    </xf>
    <xf numFmtId="0" fontId="0" fillId="0" borderId="70" applyProtection="1" pivotButton="0" quotePrefix="0" xfId="0">
      <protection locked="0" hidden="0"/>
    </xf>
    <xf numFmtId="0" fontId="0" fillId="0" borderId="69" applyProtection="1" pivotButton="0" quotePrefix="0" xfId="0">
      <protection locked="0" hidden="0"/>
    </xf>
    <xf numFmtId="0" fontId="0" fillId="0" borderId="75" applyProtection="1" pivotButton="0" quotePrefix="0" xfId="0">
      <protection locked="0" hidden="0"/>
    </xf>
    <xf numFmtId="0" fontId="0" fillId="0" borderId="74" applyProtection="1" pivotButton="0" quotePrefix="0" xfId="0">
      <protection locked="0" hidden="0"/>
    </xf>
    <xf numFmtId="0" fontId="28" fillId="0" borderId="60" applyAlignment="1" applyProtection="1" pivotButton="0" quotePrefix="0" xfId="9">
      <alignment horizontal="center"/>
      <protection locked="0" hidden="0"/>
    </xf>
    <xf numFmtId="0" fontId="0" fillId="0" borderId="60" applyProtection="1" pivotButton="0" quotePrefix="0" xfId="0">
      <protection locked="0" hidden="0"/>
    </xf>
    <xf numFmtId="166" fontId="28" fillId="16" borderId="2" applyAlignment="1" applyProtection="1" pivotButton="0" quotePrefix="0" xfId="9">
      <alignment horizontal="center" vertical="center" wrapText="1"/>
      <protection locked="0" hidden="0"/>
    </xf>
    <xf numFmtId="0" fontId="27" fillId="17" borderId="88" applyAlignment="1" applyProtection="1" pivotButton="0" quotePrefix="0" xfId="9">
      <alignment horizontal="center" vertical="center" wrapText="1"/>
      <protection locked="0" hidden="0"/>
    </xf>
    <xf numFmtId="0" fontId="27" fillId="17" borderId="58" applyAlignment="1" applyProtection="1" pivotButton="0" quotePrefix="0" xfId="9">
      <alignment horizontal="center" vertical="center"/>
      <protection locked="0" hidden="0"/>
    </xf>
    <xf numFmtId="0" fontId="0" fillId="0" borderId="2" applyAlignment="1" pivotButton="0" quotePrefix="0" xfId="0">
      <alignment horizontal="left" vertical="top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2" borderId="2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0" fillId="0" borderId="2" applyAlignment="1" pivotButton="0" quotePrefix="0" xfId="0">
      <alignment horizontal="center" vertical="top"/>
    </xf>
    <xf numFmtId="0" fontId="0" fillId="0" borderId="93" applyAlignment="1" pivotButton="0" quotePrefix="0" xfId="0">
      <alignment horizontal="center" vertical="center" wrapText="1"/>
    </xf>
    <xf numFmtId="0" fontId="0" fillId="0" borderId="79" pivotButton="0" quotePrefix="0" xfId="0"/>
    <xf numFmtId="0" fontId="0" fillId="0" borderId="78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left" vertical="center" wrapText="1"/>
    </xf>
    <xf numFmtId="0" fontId="0" fillId="0" borderId="4" applyAlignment="1" pivotButton="0" quotePrefix="0" xfId="0">
      <alignment horizontal="left" vertical="center" wrapText="1"/>
    </xf>
    <xf numFmtId="0" fontId="0" fillId="0" borderId="3" applyAlignment="1" pivotButton="0" quotePrefix="0" xfId="0">
      <alignment horizontal="left" vertical="center" wrapText="1"/>
    </xf>
    <xf numFmtId="166" fontId="3" fillId="0" borderId="21" applyAlignment="1" pivotButton="0" quotePrefix="0" xfId="1">
      <alignment horizontal="center" vertical="center" wrapText="1"/>
    </xf>
    <xf numFmtId="165" fontId="20" fillId="13" borderId="2" applyAlignment="1" pivotButton="0" quotePrefix="0" xfId="0">
      <alignment horizontal="left"/>
    </xf>
    <xf numFmtId="165" fontId="0" fillId="13" borderId="2" applyAlignment="1" pivotButton="0" quotePrefix="0" xfId="0">
      <alignment horizontal="left"/>
    </xf>
    <xf numFmtId="166" fontId="0" fillId="13" borderId="2" applyAlignment="1" pivotButton="0" quotePrefix="0" xfId="6">
      <alignment horizontal="left"/>
    </xf>
    <xf numFmtId="167" fontId="0" fillId="13" borderId="2" applyAlignment="1" pivotButton="0" quotePrefix="0" xfId="0">
      <alignment horizontal="left"/>
    </xf>
    <xf numFmtId="166" fontId="28" fillId="16" borderId="2" applyAlignment="1" applyProtection="1" pivotButton="0" quotePrefix="0" xfId="9">
      <alignment horizontal="center" vertical="center" wrapText="1"/>
      <protection locked="0" hidden="0"/>
    </xf>
    <xf numFmtId="166" fontId="29" fillId="16" borderId="2" applyAlignment="1" applyProtection="1" pivotButton="0" quotePrefix="0" xfId="9">
      <alignment horizontal="center" vertical="center" wrapText="1"/>
      <protection locked="0" hidden="0"/>
    </xf>
    <xf numFmtId="168" fontId="23" fillId="0" borderId="0" applyAlignment="1" applyProtection="1" pivotButton="0" quotePrefix="0" xfId="10">
      <alignment horizontal="center" vertical="center"/>
      <protection locked="0" hidden="0"/>
    </xf>
    <xf numFmtId="168" fontId="28" fillId="16" borderId="40" applyProtection="1" pivotButton="0" quotePrefix="0" xfId="7">
      <protection locked="0" hidden="0"/>
    </xf>
    <xf numFmtId="166" fontId="28" fillId="16" borderId="41" applyAlignment="1" applyProtection="1" pivotButton="0" quotePrefix="0" xfId="6">
      <alignment horizontal="right" vertical="center"/>
      <protection locked="0" hidden="0"/>
    </xf>
    <xf numFmtId="169" fontId="40" fillId="0" borderId="0" applyAlignment="1" applyProtection="1" pivotButton="0" quotePrefix="0" xfId="11">
      <alignment horizontal="right" vertical="center"/>
      <protection locked="0" hidden="0"/>
    </xf>
    <xf numFmtId="166" fontId="28" fillId="10" borderId="44" applyAlignment="1" pivotButton="0" quotePrefix="0" xfId="12">
      <alignment vertical="center"/>
    </xf>
    <xf numFmtId="168" fontId="39" fillId="0" borderId="0" applyAlignment="1" applyProtection="1" pivotButton="0" quotePrefix="0" xfId="10">
      <alignment horizontal="center" vertical="center"/>
      <protection locked="0" hidden="0"/>
    </xf>
    <xf numFmtId="166" fontId="39" fillId="0" borderId="0" pivotButton="0" quotePrefix="0" xfId="6"/>
    <xf numFmtId="166" fontId="28" fillId="10" borderId="41" applyAlignment="1" pivotButton="0" quotePrefix="0" xfId="14">
      <alignment vertical="center"/>
    </xf>
    <xf numFmtId="170" fontId="28" fillId="0" borderId="0" applyAlignment="1" pivotButton="0" quotePrefix="0" xfId="9">
      <alignment vertical="center"/>
    </xf>
    <xf numFmtId="170" fontId="28" fillId="17" borderId="41" applyAlignment="1" pivotButton="0" quotePrefix="0" xfId="6">
      <alignment horizontal="right" vertical="center"/>
    </xf>
    <xf numFmtId="171" fontId="43" fillId="0" borderId="0" applyAlignment="1" pivotButton="0" quotePrefix="0" xfId="14">
      <alignment horizontal="center" vertical="center"/>
    </xf>
    <xf numFmtId="166" fontId="28" fillId="10" borderId="41" applyAlignment="1" pivotButton="0" quotePrefix="0" xfId="12">
      <alignment vertical="center"/>
    </xf>
    <xf numFmtId="168" fontId="39" fillId="0" borderId="0" applyAlignment="1" applyProtection="1" pivotButton="0" quotePrefix="0" xfId="10">
      <alignment vertical="center"/>
      <protection locked="0" hidden="0"/>
    </xf>
    <xf numFmtId="170" fontId="28" fillId="16" borderId="41" applyAlignment="1" applyProtection="1" pivotButton="0" quotePrefix="0" xfId="6">
      <alignment horizontal="right" vertical="center"/>
      <protection locked="0" hidden="0"/>
    </xf>
    <xf numFmtId="169" fontId="40" fillId="0" borderId="0" applyAlignment="1" applyProtection="1" pivotButton="0" quotePrefix="0" xfId="13">
      <alignment horizontal="right" vertical="center"/>
      <protection locked="0" hidden="0"/>
    </xf>
    <xf numFmtId="172" fontId="39" fillId="0" borderId="0" applyAlignment="1" applyProtection="1" pivotButton="0" quotePrefix="0" xfId="10">
      <alignment vertical="center"/>
      <protection locked="0" hidden="0"/>
    </xf>
    <xf numFmtId="173" fontId="38" fillId="0" borderId="0" applyAlignment="1" pivotButton="0" quotePrefix="0" xfId="9">
      <alignment horizontal="center"/>
    </xf>
    <xf numFmtId="166" fontId="42" fillId="0" borderId="0" applyAlignment="1" applyProtection="1" pivotButton="0" quotePrefix="0" xfId="12">
      <alignment vertical="center"/>
      <protection locked="0" hidden="0"/>
    </xf>
    <xf numFmtId="170" fontId="28" fillId="16" borderId="41" applyAlignment="1" applyProtection="1" pivotButton="0" quotePrefix="0" xfId="6">
      <alignment vertical="center"/>
      <protection locked="0" hidden="0"/>
    </xf>
    <xf numFmtId="174" fontId="39" fillId="0" borderId="0" applyAlignment="1" applyProtection="1" pivotButton="0" quotePrefix="0" xfId="6">
      <alignment vertical="center"/>
      <protection locked="0" hidden="0"/>
    </xf>
    <xf numFmtId="169" fontId="28" fillId="16" borderId="47" applyAlignment="1" applyProtection="1" pivotButton="0" quotePrefix="0" xfId="8">
      <alignment vertical="center"/>
      <protection locked="0" hidden="0"/>
    </xf>
    <xf numFmtId="174" fontId="28" fillId="17" borderId="41" applyAlignment="1" pivotButton="0" quotePrefix="0" xfId="6">
      <alignment horizontal="right" vertical="center"/>
    </xf>
    <xf numFmtId="173" fontId="38" fillId="0" borderId="0" pivotButton="0" quotePrefix="0" xfId="9"/>
    <xf numFmtId="173" fontId="40" fillId="0" borderId="0" applyAlignment="1" applyProtection="1" pivotButton="0" quotePrefix="0" xfId="13">
      <alignment horizontal="right" vertical="center"/>
      <protection locked="0" hidden="0"/>
    </xf>
    <xf numFmtId="173" fontId="39" fillId="0" borderId="0" pivotButton="0" quotePrefix="0" xfId="9"/>
    <xf numFmtId="173" fontId="45" fillId="0" borderId="0" applyAlignment="1" applyProtection="1" pivotButton="0" quotePrefix="0" xfId="13">
      <alignment horizontal="right" vertical="center"/>
      <protection locked="0" hidden="0"/>
    </xf>
    <xf numFmtId="173" fontId="28" fillId="16" borderId="41" applyAlignment="1" applyProtection="1" pivotButton="0" quotePrefix="0" xfId="13">
      <alignment horizontal="right" vertical="center"/>
      <protection locked="0" hidden="0"/>
    </xf>
    <xf numFmtId="173" fontId="40" fillId="0" borderId="0" applyAlignment="1" applyProtection="1" pivotButton="0" quotePrefix="0" xfId="13">
      <alignment vertical="center"/>
      <protection locked="0" hidden="0"/>
    </xf>
    <xf numFmtId="166" fontId="39" fillId="0" borderId="0" applyAlignment="1" applyProtection="1" pivotButton="0" quotePrefix="0" xfId="12">
      <alignment vertical="center"/>
      <protection locked="0" hidden="0"/>
    </xf>
    <xf numFmtId="173" fontId="28" fillId="16" borderId="41" applyAlignment="1" applyProtection="1" pivotButton="0" quotePrefix="0" xfId="13">
      <alignment vertical="center"/>
      <protection locked="0" hidden="0"/>
    </xf>
    <xf numFmtId="166" fontId="28" fillId="16" borderId="48" applyAlignment="1" applyProtection="1" pivotButton="0" quotePrefix="0" xfId="6">
      <alignment vertical="center"/>
      <protection locked="0" hidden="0"/>
    </xf>
    <xf numFmtId="173" fontId="28" fillId="0" borderId="0" applyAlignment="1" applyProtection="1" pivotButton="0" quotePrefix="0" xfId="13">
      <alignment vertical="center"/>
      <protection locked="0" hidden="0"/>
    </xf>
    <xf numFmtId="166" fontId="28" fillId="0" borderId="0" applyAlignment="1" applyProtection="1" pivotButton="0" quotePrefix="0" xfId="12">
      <alignment vertical="center"/>
      <protection locked="0" hidden="0"/>
    </xf>
    <xf numFmtId="166" fontId="28" fillId="10" borderId="48" applyAlignment="1" pivotButton="0" quotePrefix="0" xfId="12">
      <alignment vertical="center"/>
    </xf>
    <xf numFmtId="166" fontId="23" fillId="2" borderId="18" applyAlignment="1" applyProtection="1" pivotButton="0" quotePrefix="0" xfId="12">
      <alignment horizontal="right" vertical="center"/>
      <protection locked="0" hidden="0"/>
    </xf>
    <xf numFmtId="166" fontId="23" fillId="2" borderId="14" applyAlignment="1" applyProtection="1" pivotButton="0" quotePrefix="0" xfId="12">
      <alignment horizontal="right" vertical="center"/>
      <protection locked="0" hidden="0"/>
    </xf>
    <xf numFmtId="166" fontId="23" fillId="2" borderId="18" applyAlignment="1" applyProtection="1" pivotButton="0" quotePrefix="0" xfId="12">
      <alignment horizontal="center" vertical="center"/>
      <protection locked="0" hidden="0"/>
    </xf>
    <xf numFmtId="166" fontId="23" fillId="2" borderId="18" applyAlignment="1" applyProtection="1" pivotButton="0" quotePrefix="0" xfId="12">
      <alignment vertical="center"/>
      <protection locked="0" hidden="0"/>
    </xf>
    <xf numFmtId="166" fontId="23" fillId="2" borderId="19" applyAlignment="1" applyProtection="1" pivotButton="0" quotePrefix="0" xfId="12">
      <alignment horizontal="center" vertical="center"/>
      <protection locked="0" hidden="0"/>
    </xf>
    <xf numFmtId="169" fontId="27" fillId="0" borderId="0" applyAlignment="1" applyProtection="1" pivotButton="0" quotePrefix="0" xfId="9">
      <alignment horizontal="right"/>
      <protection locked="0" hidden="0"/>
    </xf>
    <xf numFmtId="175" fontId="28" fillId="0" borderId="66" pivotButton="0" quotePrefix="0" xfId="15"/>
    <xf numFmtId="175" fontId="28" fillId="16" borderId="67" applyProtection="1" pivotButton="0" quotePrefix="0" xfId="12">
      <protection locked="0" hidden="0"/>
    </xf>
    <xf numFmtId="175" fontId="28" fillId="16" borderId="14" applyProtection="1" pivotButton="0" quotePrefix="0" xfId="12">
      <protection locked="0" hidden="0"/>
    </xf>
    <xf numFmtId="175" fontId="28" fillId="0" borderId="88" applyAlignment="1" pivotButton="0" quotePrefix="0" xfId="9">
      <alignment horizontal="center" vertical="center"/>
    </xf>
    <xf numFmtId="173" fontId="28" fillId="16" borderId="89" applyAlignment="1" applyProtection="1" pivotButton="0" quotePrefix="0" xfId="9">
      <alignment horizontal="center" vertical="center"/>
      <protection locked="0" hidden="0"/>
    </xf>
    <xf numFmtId="173" fontId="28" fillId="0" borderId="90" applyAlignment="1" pivotButton="0" quotePrefix="0" xfId="9">
      <alignment horizontal="center" vertical="center"/>
    </xf>
    <xf numFmtId="166" fontId="28" fillId="0" borderId="71" applyAlignment="1" applyProtection="1" pivotButton="0" quotePrefix="0" xfId="12">
      <alignment horizontal="right"/>
      <protection locked="0" hidden="0"/>
    </xf>
    <xf numFmtId="176" fontId="28" fillId="0" borderId="69" applyAlignment="1" applyProtection="1" pivotButton="0" quotePrefix="0" xfId="12">
      <alignment horizontal="center"/>
      <protection locked="0" hidden="0"/>
    </xf>
    <xf numFmtId="176" fontId="28" fillId="0" borderId="55" applyProtection="1" pivotButton="0" quotePrefix="0" xfId="12">
      <protection locked="0" hidden="0"/>
    </xf>
    <xf numFmtId="173" fontId="23" fillId="2" borderId="14" applyAlignment="1" applyProtection="1" pivotButton="0" quotePrefix="0" xfId="9">
      <alignment vertical="center"/>
      <protection locked="0" hidden="0"/>
    </xf>
    <xf numFmtId="168" fontId="23" fillId="2" borderId="14" applyAlignment="1" applyProtection="1" pivotButton="0" quotePrefix="0" xfId="9">
      <alignment vertical="center"/>
      <protection locked="0" hidden="0"/>
    </xf>
    <xf numFmtId="168" fontId="23" fillId="2" borderId="19" applyAlignment="1" applyProtection="1" pivotButton="0" quotePrefix="0" xfId="9">
      <alignment horizontal="center" vertical="center"/>
      <protection locked="0" hidden="0"/>
    </xf>
    <xf numFmtId="173" fontId="28" fillId="18" borderId="59" applyAlignment="1" pivotButton="0" quotePrefix="0" xfId="9">
      <alignment horizontal="right" vertical="center" indent="1"/>
    </xf>
    <xf numFmtId="173" fontId="28" fillId="18" borderId="52" applyAlignment="1" pivotButton="0" quotePrefix="0" xfId="9">
      <alignment horizontal="right" vertical="center" indent="1"/>
    </xf>
    <xf numFmtId="173" fontId="28" fillId="0" borderId="62" applyAlignment="1" pivotButton="0" quotePrefix="0" xfId="9">
      <alignment horizontal="right" vertical="center" indent="1"/>
    </xf>
    <xf numFmtId="173" fontId="28" fillId="0" borderId="52" applyAlignment="1" pivotButton="0" quotePrefix="0" xfId="9">
      <alignment horizontal="right" vertical="center" indent="1"/>
    </xf>
    <xf numFmtId="173" fontId="28" fillId="0" borderId="62" applyAlignment="1" pivotButton="0" quotePrefix="0" xfId="9">
      <alignment horizontal="center" vertical="center"/>
    </xf>
    <xf numFmtId="173" fontId="28" fillId="18" borderId="40" applyAlignment="1" pivotButton="0" quotePrefix="0" xfId="9">
      <alignment horizontal="right" vertical="center" indent="1"/>
    </xf>
    <xf numFmtId="173" fontId="28" fillId="0" borderId="59" applyAlignment="1" pivotButton="0" quotePrefix="0" xfId="9">
      <alignment horizontal="right" vertical="center" indent="1"/>
    </xf>
    <xf numFmtId="173" fontId="28" fillId="0" borderId="53" applyAlignment="1" pivotButton="0" quotePrefix="0" xfId="9">
      <alignment horizontal="right" vertical="center" indent="1"/>
    </xf>
    <xf numFmtId="173" fontId="28" fillId="0" borderId="46" applyAlignment="1" pivotButton="0" quotePrefix="0" xfId="9">
      <alignment vertical="center"/>
    </xf>
    <xf numFmtId="173" fontId="28" fillId="0" borderId="41" applyAlignment="1" pivotButton="0" quotePrefix="0" xfId="9">
      <alignment horizontal="right" vertical="center" indent="1"/>
    </xf>
    <xf numFmtId="173" fontId="27" fillId="0" borderId="60" applyAlignment="1" applyProtection="1" pivotButton="0" quotePrefix="0" xfId="9">
      <alignment horizontal="right" vertical="center"/>
      <protection locked="0" hidden="0"/>
    </xf>
    <xf numFmtId="173" fontId="28" fillId="0" borderId="61" applyAlignment="1" pivotButton="0" quotePrefix="0" xfId="9">
      <alignment horizontal="right" vertical="center" indent="1"/>
    </xf>
    <xf numFmtId="173" fontId="28" fillId="0" borderId="50" applyAlignment="1" pivotButton="0" quotePrefix="0" xfId="9">
      <alignment horizontal="right" vertical="center" indent="1"/>
    </xf>
    <xf numFmtId="173" fontId="28" fillId="0" borderId="50" applyAlignment="1" pivotButton="0" quotePrefix="0" xfId="9">
      <alignment horizontal="center" vertical="center"/>
    </xf>
    <xf numFmtId="173" fontId="28" fillId="0" borderId="48" applyAlignment="1" pivotButton="0" quotePrefix="0" xfId="9">
      <alignment horizontal="right" vertical="center" indent="1"/>
    </xf>
    <xf numFmtId="173" fontId="25" fillId="0" borderId="0" applyProtection="1" pivotButton="0" quotePrefix="0" xfId="9">
      <protection locked="0" hidden="0"/>
    </xf>
    <xf numFmtId="168" fontId="25" fillId="0" borderId="0" applyProtection="1" pivotButton="0" quotePrefix="0" xfId="9">
      <protection locked="0" hidden="0"/>
    </xf>
    <xf numFmtId="173" fontId="23" fillId="2" borderId="18" applyAlignment="1" applyProtection="1" pivotButton="0" quotePrefix="0" xfId="9">
      <alignment vertical="center"/>
      <protection locked="0" hidden="0"/>
    </xf>
    <xf numFmtId="168" fontId="23" fillId="2" borderId="18" applyAlignment="1" applyProtection="1" pivotButton="0" quotePrefix="0" xfId="9">
      <alignment vertical="center"/>
      <protection locked="0" hidden="0"/>
    </xf>
    <xf numFmtId="168" fontId="23" fillId="2" borderId="19" applyAlignment="1" applyProtection="1" pivotButton="0" quotePrefix="0" xfId="9">
      <alignment vertical="center"/>
      <protection locked="0" hidden="0"/>
    </xf>
    <xf numFmtId="176" fontId="28" fillId="0" borderId="62" applyAlignment="1" pivotButton="0" quotePrefix="0" xfId="9">
      <alignment horizontal="left"/>
    </xf>
    <xf numFmtId="176" fontId="28" fillId="0" borderId="62" applyAlignment="1" pivotButton="0" quotePrefix="0" xfId="9">
      <alignment horizontal="center"/>
    </xf>
    <xf numFmtId="166" fontId="28" fillId="0" borderId="40" pivotButton="0" quotePrefix="0" xfId="12"/>
    <xf numFmtId="176" fontId="28" fillId="0" borderId="59" applyAlignment="1" pivotButton="0" quotePrefix="0" xfId="9">
      <alignment horizontal="left"/>
    </xf>
    <xf numFmtId="176" fontId="28" fillId="0" borderId="59" applyAlignment="1" pivotButton="0" quotePrefix="0" xfId="9">
      <alignment horizontal="center"/>
    </xf>
    <xf numFmtId="166" fontId="28" fillId="0" borderId="41" pivotButton="0" quotePrefix="0" xfId="12"/>
    <xf numFmtId="176" fontId="28" fillId="0" borderId="50" applyAlignment="1" pivotButton="0" quotePrefix="0" xfId="9">
      <alignment horizontal="left"/>
    </xf>
    <xf numFmtId="176" fontId="28" fillId="0" borderId="50" applyAlignment="1" pivotButton="0" quotePrefix="0" xfId="9">
      <alignment horizontal="center"/>
    </xf>
    <xf numFmtId="166" fontId="28" fillId="0" borderId="48" pivotButton="0" quotePrefix="0" xfId="12"/>
    <xf numFmtId="176" fontId="25" fillId="0" borderId="0" applyAlignment="1" applyProtection="1" pivotButton="0" quotePrefix="0" xfId="9">
      <alignment horizontal="center"/>
      <protection locked="0" hidden="0"/>
    </xf>
    <xf numFmtId="166" fontId="25" fillId="0" borderId="0" applyProtection="1" pivotButton="0" quotePrefix="0" xfId="12">
      <protection locked="0" hidden="0"/>
    </xf>
    <xf numFmtId="166" fontId="28" fillId="0" borderId="59" pivotButton="0" quotePrefix="0" xfId="10"/>
    <xf numFmtId="176" fontId="28" fillId="0" borderId="59" pivotButton="0" quotePrefix="0" xfId="12"/>
    <xf numFmtId="176" fontId="28" fillId="0" borderId="53" pivotButton="0" quotePrefix="0" xfId="12"/>
    <xf numFmtId="176" fontId="28" fillId="0" borderId="62" pivotButton="0" quotePrefix="0" xfId="12"/>
    <xf numFmtId="176" fontId="28" fillId="0" borderId="62" pivotButton="0" quotePrefix="0" xfId="16"/>
    <xf numFmtId="166" fontId="28" fillId="0" borderId="40" applyAlignment="1" pivotButton="0" quotePrefix="0" xfId="12">
      <alignment horizontal="center"/>
    </xf>
    <xf numFmtId="176" fontId="28" fillId="0" borderId="59" pivotButton="0" quotePrefix="0" xfId="16"/>
    <xf numFmtId="166" fontId="28" fillId="0" borderId="41" applyAlignment="1" pivotButton="0" quotePrefix="0" xfId="12">
      <alignment horizontal="center"/>
    </xf>
    <xf numFmtId="166" fontId="28" fillId="0" borderId="37" pivotButton="0" quotePrefix="0" xfId="12"/>
    <xf numFmtId="166" fontId="28" fillId="0" borderId="50" pivotButton="0" quotePrefix="0" xfId="10"/>
    <xf numFmtId="176" fontId="28" fillId="0" borderId="50" pivotButton="0" quotePrefix="0" xfId="12"/>
    <xf numFmtId="176" fontId="28" fillId="0" borderId="61" pivotButton="0" quotePrefix="0" xfId="12"/>
    <xf numFmtId="176" fontId="28" fillId="0" borderId="50" pivotButton="0" quotePrefix="0" xfId="16"/>
    <xf numFmtId="168" fontId="47" fillId="2" borderId="77" applyAlignment="1" pivotButton="0" quotePrefix="0" xfId="7">
      <alignment horizontal="center" vertical="center" wrapText="1"/>
    </xf>
    <xf numFmtId="166" fontId="47" fillId="2" borderId="77" applyAlignment="1" pivotButton="0" quotePrefix="0" xfId="6">
      <alignment horizontal="center" vertical="center" wrapText="1"/>
    </xf>
    <xf numFmtId="168" fontId="4" fillId="11" borderId="21" applyAlignment="1" pivotButton="0" quotePrefix="0" xfId="7">
      <alignment horizontal="center" wrapText="1"/>
    </xf>
    <xf numFmtId="166" fontId="4" fillId="11" borderId="21" applyAlignment="1" pivotButton="0" quotePrefix="0" xfId="6">
      <alignment horizontal="center" wrapText="1"/>
    </xf>
    <xf numFmtId="177" fontId="4" fillId="11" borderId="21" applyAlignment="1" pivotButton="0" quotePrefix="0" xfId="6">
      <alignment horizontal="center" wrapText="1"/>
    </xf>
    <xf numFmtId="168" fontId="3" fillId="0" borderId="2" applyAlignment="1" pivotButton="0" quotePrefix="0" xfId="7">
      <alignment horizontal="center" wrapText="1"/>
    </xf>
    <xf numFmtId="177" fontId="3" fillId="0" borderId="2" applyAlignment="1" pivotButton="0" quotePrefix="0" xfId="6">
      <alignment horizontal="center" wrapText="1"/>
    </xf>
    <xf numFmtId="178" fontId="48" fillId="0" borderId="2" pivotButton="0" quotePrefix="0" xfId="0"/>
    <xf numFmtId="178" fontId="49" fillId="0" borderId="2" pivotButton="0" quotePrefix="0" xfId="0"/>
    <xf numFmtId="178" fontId="48" fillId="19" borderId="2" pivotButton="0" quotePrefix="0" xfId="0"/>
    <xf numFmtId="178" fontId="50" fillId="0" borderId="2" pivotButton="0" quotePrefix="0" xfId="0"/>
    <xf numFmtId="178" fontId="49" fillId="19" borderId="2" pivotButton="0" quotePrefix="0" xfId="0"/>
    <xf numFmtId="178" fontId="48" fillId="19" borderId="2" applyAlignment="1" pivotButton="0" quotePrefix="0" xfId="0">
      <alignment wrapText="1"/>
    </xf>
    <xf numFmtId="178" fontId="20" fillId="0" borderId="9" applyAlignment="1" pivotButton="0" quotePrefix="0" xfId="0">
      <alignment wrapText="1"/>
    </xf>
    <xf numFmtId="178" fontId="20" fillId="0" borderId="9" applyAlignment="1" pivotButton="0" quotePrefix="0" xfId="0">
      <alignment horizontal="right" wrapText="1"/>
    </xf>
    <xf numFmtId="178" fontId="20" fillId="0" borderId="2" applyAlignment="1" pivotButton="0" quotePrefix="0" xfId="0">
      <alignment wrapText="1"/>
    </xf>
    <xf numFmtId="178" fontId="20" fillId="0" borderId="2" applyAlignment="1" pivotButton="0" quotePrefix="0" xfId="0">
      <alignment horizontal="right" wrapText="1"/>
    </xf>
    <xf numFmtId="178" fontId="20" fillId="0" borderId="2" pivotButton="0" quotePrefix="0" xfId="0"/>
    <xf numFmtId="178" fontId="20" fillId="0" borderId="2" applyAlignment="1" pivotButton="0" quotePrefix="0" xfId="0">
      <alignment horizontal="right"/>
    </xf>
    <xf numFmtId="178" fontId="20" fillId="0" borderId="12" applyAlignment="1" pivotButton="0" quotePrefix="0" xfId="0">
      <alignment wrapText="1"/>
    </xf>
    <xf numFmtId="178" fontId="20" fillId="0" borderId="12" applyAlignment="1" pivotButton="0" quotePrefix="0" xfId="0">
      <alignment horizontal="right" wrapText="1"/>
    </xf>
    <xf numFmtId="178" fontId="51" fillId="0" borderId="83" applyAlignment="1" pivotButton="0" quotePrefix="0" xfId="0">
      <alignment wrapText="1"/>
    </xf>
    <xf numFmtId="178" fontId="51" fillId="0" borderId="83" pivotButton="0" quotePrefix="0" xfId="0"/>
    <xf numFmtId="178" fontId="20" fillId="0" borderId="10" pivotButton="0" quotePrefix="0" xfId="0"/>
  </cellXfs>
  <cellStyles count="17">
    <cellStyle name="Normal" xfId="0" builtinId="0"/>
    <cellStyle name="Normal 2" xfId="1"/>
    <cellStyle name="Good" xfId="2" builtinId="26"/>
    <cellStyle name="Bad" xfId="3" builtinId="27"/>
    <cellStyle name="Neutral" xfId="4" builtinId="28"/>
    <cellStyle name="Input" xfId="5" builtinId="20"/>
    <cellStyle name="Currency" xfId="6" builtinId="4"/>
    <cellStyle name="Comma" xfId="7" builtinId="3"/>
    <cellStyle name="Percent" xfId="8" builtinId="5"/>
    <cellStyle name="Normal 3 2 2 2" xfId="9"/>
    <cellStyle name="Comma 10" xfId="10"/>
    <cellStyle name="Normal 10" xfId="11"/>
    <cellStyle name="Currency 5" xfId="12"/>
    <cellStyle name="Percent 10" xfId="13"/>
    <cellStyle name="Currency 10" xfId="14"/>
    <cellStyle name="Normal 4 2" xfId="15"/>
    <cellStyle name="Currency 6 2 2" xfId="16"/>
  </cellStyles>
  <dxfs count="63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rgb="FFFFFFCD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tabColor theme="2" tint="-0.09997863704336681"/>
    <outlinePr summaryBelow="1" summaryRight="1"/>
    <pageSetUpPr/>
  </sheetPr>
  <dimension ref="A1:M35"/>
  <sheetViews>
    <sheetView showGridLines="0" zoomScale="85" zoomScaleNormal="85" workbookViewId="0">
      <selection activeCell="B2" sqref="B2"/>
    </sheetView>
  </sheetViews>
  <sheetFormatPr baseColWidth="8" defaultRowHeight="15"/>
  <cols>
    <col width="13.42578125" customWidth="1" style="577" min="1" max="1"/>
    <col width="25.140625" customWidth="1" style="577" min="2" max="2"/>
    <col width="56.140625" customWidth="1" style="577" min="3" max="3"/>
    <col width="26.7109375" customWidth="1" style="577" min="4" max="4"/>
    <col width="33.5703125" customWidth="1" style="577" min="5" max="5"/>
    <col width="14.7109375" customWidth="1" style="577" min="6" max="6"/>
    <col width="29.28515625" customWidth="1" style="577" min="7" max="7"/>
    <col width="32.5703125" customWidth="1" style="577" min="8" max="8"/>
    <col width="22.7109375" customWidth="1" style="577" min="9" max="9"/>
    <col width="12.42578125" customWidth="1" style="577" min="10" max="10"/>
    <col width="47.7109375" customWidth="1" style="577" min="11" max="11"/>
    <col width="41.42578125" customWidth="1" style="577" min="12" max="12"/>
    <col width="18.7109375" customWidth="1" style="577" min="13" max="13"/>
    <col width="14.42578125" customWidth="1" style="577" min="14" max="14"/>
    <col width="27.7109375" customWidth="1" style="577" min="16" max="16"/>
  </cols>
  <sheetData>
    <row r="1">
      <c r="B1" s="88" t="inlineStr">
        <is>
          <t>Site Name</t>
        </is>
      </c>
      <c r="C1" s="22" t="n"/>
      <c r="D1" s="128" t="inlineStr">
        <is>
          <t>TM</t>
        </is>
      </c>
    </row>
    <row r="2" ht="32.45" customHeight="1" s="577">
      <c r="B2" s="104" t="inlineStr">
        <is>
          <t xml:space="preserve">Site Address (Put in full address w/City &amp; State): </t>
        </is>
      </c>
      <c r="C2" s="22" t="n"/>
      <c r="D2" s="129" t="inlineStr">
        <is>
          <t>TM</t>
        </is>
      </c>
    </row>
    <row r="3" ht="43.5" customHeight="1" s="577">
      <c r="B3" s="98" t="inlineStr">
        <is>
          <t>Tenant Improvement Allowance/Landlord Work Total $ (Dollar values only)</t>
        </is>
      </c>
      <c r="C3" s="105" t="n"/>
      <c r="D3" s="127" t="inlineStr">
        <is>
          <t>TM</t>
        </is>
      </c>
    </row>
    <row r="4" ht="32.45" customHeight="1" s="577">
      <c r="B4" s="98" t="inlineStr">
        <is>
          <t>Description of LL Work</t>
        </is>
      </c>
      <c r="C4" s="475" t="n"/>
      <c r="D4" s="129" t="inlineStr">
        <is>
          <t>TM</t>
        </is>
      </c>
    </row>
    <row r="5" ht="65.09999999999999" customHeight="1" s="577" thickBot="1">
      <c r="B5" s="95" t="inlineStr">
        <is>
          <t>Site Justification</t>
        </is>
      </c>
      <c r="C5" s="97" t="inlineStr">
        <is>
          <t>Site Justification:  &lt;Add site address&gt;Of the ## site metrics evaluated on the scorecard, this site has ## green (happy path) and ## yellow (medium risk). Data based on 1500 orders per day. &lt;Enter reason why the site has been selected&gt;</t>
        </is>
      </c>
      <c r="D5" s="127" t="inlineStr">
        <is>
          <t>TM</t>
        </is>
      </c>
    </row>
    <row r="6" ht="45" customHeight="1" s="577">
      <c r="B6" s="86" t="inlineStr">
        <is>
          <t>Category</t>
        </is>
      </c>
      <c r="C6" s="87" t="inlineStr">
        <is>
          <t>Metric</t>
        </is>
      </c>
      <c r="D6" s="41" t="inlineStr">
        <is>
          <t>Sub Category/Additional Notes</t>
        </is>
      </c>
      <c r="E6" s="42" t="inlineStr">
        <is>
          <t>Input</t>
        </is>
      </c>
      <c r="F6" s="41" t="inlineStr">
        <is>
          <t>Input Category</t>
        </is>
      </c>
      <c r="G6" s="41" t="inlineStr">
        <is>
          <t>Green Critieria</t>
        </is>
      </c>
      <c r="H6" s="41" t="inlineStr">
        <is>
          <t>Yellow Criteria</t>
        </is>
      </c>
      <c r="I6" s="41" t="inlineStr">
        <is>
          <t>Red Criteria</t>
        </is>
      </c>
      <c r="J6" s="41" t="inlineStr">
        <is>
          <t>Risk Indicator</t>
        </is>
      </c>
      <c r="K6" s="40" t="inlineStr">
        <is>
          <t>Commentary (Please enter bridge if risk is Yellow/Red)</t>
        </is>
      </c>
      <c r="L6" s="72" t="inlineStr">
        <is>
          <t>Input Owner</t>
        </is>
      </c>
      <c r="M6" s="495" t="inlineStr">
        <is>
          <t>If risk indicator is red or yellow, enter bridge in column K</t>
        </is>
      </c>
    </row>
    <row r="7">
      <c r="A7" s="127" t="n"/>
      <c r="B7" s="498" t="inlineStr">
        <is>
          <t>Financials</t>
        </is>
      </c>
      <c r="C7" s="501" t="inlineStr">
        <is>
          <t>PDC (12PM)</t>
        </is>
      </c>
      <c r="D7" s="501" t="inlineStr">
        <is>
          <t>10-Minute</t>
        </is>
      </c>
      <c r="E7" s="63" t="n"/>
      <c r="F7" s="39" t="inlineStr">
        <is>
          <t>%</t>
        </is>
      </c>
      <c r="G7" s="502" t="inlineStr">
        <is>
          <t>10-Min PDC &gt;= 0.031%</t>
        </is>
      </c>
      <c r="H7" s="502" t="inlineStr">
        <is>
          <t>10 Min &gt;= 0.015% And</t>
        </is>
      </c>
      <c r="I7" s="502" t="n"/>
      <c r="J7" s="501">
        <f>IF(E7&gt;=0.031%,"Green",IF(AND(E7&gt;=0.015%,E8&gt;=0.031%),"Yellow","Red"))</f>
        <v/>
      </c>
      <c r="K7" s="77" t="n"/>
      <c r="L7" s="100" t="inlineStr">
        <is>
          <t>Topology</t>
        </is>
      </c>
      <c r="M7" s="496" t="n"/>
    </row>
    <row r="8">
      <c r="A8" s="127" t="n"/>
      <c r="B8" s="499" t="n"/>
      <c r="C8" s="475" t="n"/>
      <c r="D8" s="501" t="inlineStr">
        <is>
          <t>20-Minute</t>
        </is>
      </c>
      <c r="E8" s="63" t="n"/>
      <c r="F8" s="39" t="inlineStr">
        <is>
          <t>%</t>
        </is>
      </c>
      <c r="G8" s="475" t="n"/>
      <c r="H8" s="502" t="inlineStr">
        <is>
          <t>20-Min &gt;= 0.031%</t>
        </is>
      </c>
      <c r="I8" s="502" t="n"/>
      <c r="J8" s="475" t="n"/>
      <c r="K8" s="77" t="n"/>
      <c r="L8" s="100" t="inlineStr">
        <is>
          <t>Topology</t>
        </is>
      </c>
      <c r="M8" s="496" t="n"/>
    </row>
    <row r="9" ht="29.1" customHeight="1" s="577">
      <c r="A9" s="127" t="n"/>
      <c r="B9" s="499" t="n"/>
      <c r="C9" s="29" t="inlineStr">
        <is>
          <t>Drive Time To Centroid (12 PM)</t>
        </is>
      </c>
      <c r="D9" s="501" t="inlineStr">
        <is>
          <t>NA</t>
        </is>
      </c>
      <c r="E9" s="64" t="n"/>
      <c r="F9" s="501" t="inlineStr">
        <is>
          <t>Minutes</t>
        </is>
      </c>
      <c r="G9" s="502" t="inlineStr">
        <is>
          <t>&lt;= 6 Minutes</t>
        </is>
      </c>
      <c r="H9" s="502" t="inlineStr">
        <is>
          <t>Between 6-10 Minutes</t>
        </is>
      </c>
      <c r="I9" s="502" t="n"/>
      <c r="J9" s="501">
        <f>IF(E9&lt;=6,"Green",IF(E9&lt;10,"Yellow","Red"))</f>
        <v/>
      </c>
      <c r="K9" s="77" t="n"/>
      <c r="L9" s="100" t="inlineStr">
        <is>
          <t>Topology</t>
        </is>
      </c>
      <c r="M9" s="496" t="n"/>
    </row>
    <row r="10" ht="29.1" customHeight="1" s="577">
      <c r="A10" s="129" t="n"/>
      <c r="B10" s="499" t="n"/>
      <c r="C10" s="29" t="inlineStr">
        <is>
          <t>How many packages per day does the design allow? (Enter whole number)</t>
        </is>
      </c>
      <c r="D10" s="501" t="inlineStr">
        <is>
          <t>NA</t>
        </is>
      </c>
      <c r="E10" s="64" t="n"/>
      <c r="F10" s="501" t="inlineStr">
        <is>
          <t>Dropdown</t>
        </is>
      </c>
      <c r="G10" s="502" t="n">
        <v>1500</v>
      </c>
      <c r="H10" s="502" t="inlineStr">
        <is>
          <t>1k-1499</t>
        </is>
      </c>
      <c r="I10" s="502" t="n"/>
      <c r="J10" s="501">
        <f>IF(E10=1500,"Green",IF(E10&gt;1000,"Yellow","Red"))</f>
        <v/>
      </c>
      <c r="K10" s="77" t="n"/>
      <c r="L10" s="100" t="inlineStr">
        <is>
          <t>Design</t>
        </is>
      </c>
      <c r="M10" s="496" t="n"/>
    </row>
    <row r="11">
      <c r="A11" s="127" t="n"/>
      <c r="B11" s="499" t="n"/>
      <c r="C11" s="501" t="inlineStr">
        <is>
          <t>SqFt</t>
        </is>
      </c>
      <c r="D11" s="501" t="inlineStr">
        <is>
          <t>NA</t>
        </is>
      </c>
      <c r="E11" s="64" t="n"/>
      <c r="F11" s="501" t="inlineStr">
        <is>
          <t>Sq. Ft</t>
        </is>
      </c>
      <c r="G11" s="501" t="inlineStr">
        <is>
          <t>2.4k-5k</t>
        </is>
      </c>
      <c r="H11" s="501" t="inlineStr">
        <is>
          <t>5k to 10k</t>
        </is>
      </c>
      <c r="I11" s="501" t="n"/>
      <c r="J11" s="501">
        <f>IF(E11&lt;5001,"Green",IF(E11&gt;10000,"Red","Yellow"))</f>
        <v/>
      </c>
      <c r="K11" s="77" t="n"/>
      <c r="L11" s="101" t="inlineStr">
        <is>
          <t>RE TM</t>
        </is>
      </c>
      <c r="M11" s="496" t="n"/>
    </row>
    <row r="12" ht="27.6" customHeight="1" s="577">
      <c r="A12" s="129" t="n"/>
      <c r="B12" s="499" t="n"/>
      <c r="C12" s="501" t="inlineStr">
        <is>
          <t xml:space="preserve">Rent </t>
        </is>
      </c>
      <c r="D12" s="29" t="inlineStr">
        <is>
          <t>At or below the market comp average?</t>
        </is>
      </c>
      <c r="E12" s="64" t="n"/>
      <c r="F12" s="501" t="inlineStr">
        <is>
          <t>Dropdown</t>
        </is>
      </c>
      <c r="G12" s="501" t="inlineStr">
        <is>
          <t>Yes</t>
        </is>
      </c>
      <c r="H12" s="501" t="inlineStr">
        <is>
          <t>No</t>
        </is>
      </c>
      <c r="I12" s="501" t="n"/>
      <c r="J12" s="501">
        <f>IF(E12="Yes","Green","Yellow")</f>
        <v/>
      </c>
      <c r="K12" s="77" t="n"/>
      <c r="L12" s="101" t="inlineStr">
        <is>
          <t>RE TM</t>
        </is>
      </c>
      <c r="M12" s="496" t="n"/>
    </row>
    <row r="13">
      <c r="A13" s="129" t="n"/>
      <c r="B13" s="499" t="n"/>
      <c r="C13" s="501" t="inlineStr">
        <is>
          <t>Asking Rent</t>
        </is>
      </c>
      <c r="D13" s="501" t="inlineStr">
        <is>
          <t>NA</t>
        </is>
      </c>
      <c r="E13" s="65" t="n"/>
      <c r="F13" s="501" t="inlineStr">
        <is>
          <t>$</t>
        </is>
      </c>
      <c r="G13" s="501" t="inlineStr">
        <is>
          <t>&lt;=200k/yr</t>
        </is>
      </c>
      <c r="H13" s="501" t="inlineStr">
        <is>
          <t>&gt; 200k/yr</t>
        </is>
      </c>
      <c r="I13" s="501" t="n"/>
      <c r="J13" s="501">
        <f>IF(E13&lt;=200000,"Green","Yellow")</f>
        <v/>
      </c>
      <c r="K13" s="77" t="n"/>
      <c r="L13" s="101" t="inlineStr">
        <is>
          <t>RE TM</t>
        </is>
      </c>
      <c r="M13" s="496" t="n"/>
    </row>
    <row r="14" ht="29.1" customHeight="1" s="577">
      <c r="A14" s="127" t="n"/>
      <c r="B14" s="499" t="n"/>
      <c r="C14" s="29" t="inlineStr">
        <is>
          <t>Estimated Construction/Startup Cost</t>
        </is>
      </c>
      <c r="D14" s="501" t="inlineStr">
        <is>
          <t>With Contingency</t>
        </is>
      </c>
      <c r="E14" s="65">
        <f>'CAR Approval Page 0'!L9</f>
        <v/>
      </c>
      <c r="F14" s="501" t="inlineStr">
        <is>
          <t>$</t>
        </is>
      </c>
      <c r="G14" s="501" t="inlineStr">
        <is>
          <t>&lt;=300k/yr</t>
        </is>
      </c>
      <c r="H14" s="501" t="inlineStr">
        <is>
          <t>&gt;300k/y</t>
        </is>
      </c>
      <c r="I14" s="501" t="inlineStr">
        <is>
          <t>&gt;400k/y</t>
        </is>
      </c>
      <c r="J14" s="501">
        <f>IF(E14&lt;=300000,"Green",IF(E14&lt;400000,"Yellow","Red"))</f>
        <v/>
      </c>
      <c r="K14" s="108" t="inlineStr">
        <is>
          <t xml:space="preserve">If yellow, provide high level drivers of what is raising the cost here. </t>
        </is>
      </c>
      <c r="L14" s="101" t="inlineStr">
        <is>
          <t>PreCon ROM</t>
        </is>
      </c>
      <c r="M14" s="496" t="n"/>
    </row>
    <row r="15">
      <c r="A15" s="127" t="n"/>
      <c r="B15" s="499" t="n"/>
      <c r="C15" s="29" t="inlineStr">
        <is>
          <t>Estimated Construction/Startup Cost</t>
        </is>
      </c>
      <c r="D15" s="501" t="inlineStr">
        <is>
          <t>Without Contingency</t>
        </is>
      </c>
      <c r="E15" s="65">
        <f>'CAR Approval Page 0'!M9</f>
        <v/>
      </c>
      <c r="F15" s="501" t="inlineStr">
        <is>
          <t>$</t>
        </is>
      </c>
      <c r="G15" s="501" t="inlineStr">
        <is>
          <t>NA</t>
        </is>
      </c>
      <c r="H15" s="501" t="inlineStr">
        <is>
          <t>NA</t>
        </is>
      </c>
      <c r="I15" s="501" t="inlineStr">
        <is>
          <t>NA</t>
        </is>
      </c>
      <c r="J15" s="501" t="inlineStr">
        <is>
          <t>NA*</t>
        </is>
      </c>
      <c r="K15" s="77" t="n"/>
      <c r="L15" s="101" t="inlineStr">
        <is>
          <t>PreCon ROM</t>
        </is>
      </c>
      <c r="M15" s="496" t="n"/>
    </row>
    <row r="16">
      <c r="A16" s="129" t="n"/>
      <c r="B16" s="499" t="n"/>
      <c r="C16" s="29" t="inlineStr">
        <is>
          <t>Estimated Construction/Startup Cost</t>
        </is>
      </c>
      <c r="D16" s="501" t="inlineStr">
        <is>
          <t>With Contingency - TI</t>
        </is>
      </c>
      <c r="E16" s="132">
        <f>'CAR Approval Page 0'!L9-'Site Selection Scorecard'!C3</f>
        <v/>
      </c>
      <c r="F16" s="501" t="n"/>
      <c r="G16" s="501" t="inlineStr">
        <is>
          <t>NA</t>
        </is>
      </c>
      <c r="H16" s="501" t="inlineStr">
        <is>
          <t>NA</t>
        </is>
      </c>
      <c r="I16" s="501" t="inlineStr">
        <is>
          <t>NA</t>
        </is>
      </c>
      <c r="J16" s="501" t="inlineStr">
        <is>
          <t>NA*</t>
        </is>
      </c>
      <c r="K16" s="77" t="n"/>
      <c r="L16" s="101" t="n"/>
      <c r="M16" s="496" t="n"/>
    </row>
    <row r="17">
      <c r="A17" s="129" t="n"/>
      <c r="B17" s="500" t="n"/>
      <c r="C17" s="29" t="inlineStr">
        <is>
          <t>Estimated Construction/Startup Cost</t>
        </is>
      </c>
      <c r="D17" s="501" t="inlineStr">
        <is>
          <t>Without Contingency - TI</t>
        </is>
      </c>
      <c r="E17" s="132">
        <f>E15-C3</f>
        <v/>
      </c>
      <c r="F17" s="501" t="inlineStr">
        <is>
          <t>$</t>
        </is>
      </c>
      <c r="G17" s="501" t="inlineStr">
        <is>
          <t>NA</t>
        </is>
      </c>
      <c r="H17" s="501" t="inlineStr">
        <is>
          <t>NA</t>
        </is>
      </c>
      <c r="I17" s="501" t="inlineStr">
        <is>
          <t>NA</t>
        </is>
      </c>
      <c r="J17" s="501" t="inlineStr">
        <is>
          <t>NA*</t>
        </is>
      </c>
      <c r="K17" s="77" t="n"/>
      <c r="L17" s="101" t="inlineStr">
        <is>
          <t>PreCon ROM</t>
        </is>
      </c>
      <c r="M17" s="496" t="n"/>
    </row>
    <row r="18" ht="44.1" customHeight="1" s="577">
      <c r="A18" s="497" t="inlineStr">
        <is>
          <t>Pull from the modified by Dennis version</t>
        </is>
      </c>
      <c r="B18" s="498" t="inlineStr">
        <is>
          <t>Site Conditions</t>
        </is>
      </c>
      <c r="C18" s="131" t="inlineStr">
        <is>
          <t>Bathroom</t>
        </is>
      </c>
      <c r="D18" s="501" t="inlineStr">
        <is>
          <t>NA</t>
        </is>
      </c>
      <c r="E18" s="64" t="n"/>
      <c r="F18" s="501" t="inlineStr">
        <is>
          <t>Dropdown</t>
        </is>
      </c>
      <c r="G18" s="29" t="inlineStr">
        <is>
          <t>&gt;=1 functioning unisex stall (shared or non-shared)</t>
        </is>
      </c>
      <c r="H18" s="29" t="inlineStr">
        <is>
          <t>&gt;=1 unisex stall, requires upgrade (shared or non-shared)</t>
        </is>
      </c>
      <c r="I18" s="29" t="n"/>
      <c r="J18" s="501">
        <f>IF(E18="&gt;= 1 functioning unisex stall (Shared or non-shared), no upgrade required that is ADA Compliant.","Green","Yellow")</f>
        <v/>
      </c>
      <c r="K18" s="77" t="n"/>
      <c r="L18" s="102" t="inlineStr">
        <is>
          <t>PreCon</t>
        </is>
      </c>
      <c r="M18" s="496" t="n"/>
    </row>
    <row r="19" ht="32.1" customHeight="1" s="577">
      <c r="A19" s="450" t="n"/>
      <c r="B19" s="499" t="n"/>
      <c r="C19" s="130" t="inlineStr">
        <is>
          <t>Parking</t>
        </is>
      </c>
      <c r="D19" s="501" t="inlineStr">
        <is>
          <t>NA</t>
        </is>
      </c>
      <c r="E19" s="64" t="n"/>
      <c r="F19" s="501" t="inlineStr">
        <is>
          <t>NA</t>
        </is>
      </c>
      <c r="G19" s="29" t="inlineStr">
        <is>
          <t>&gt;=6 designated surface stalls</t>
        </is>
      </c>
      <c r="H19" s="29" t="inlineStr">
        <is>
          <t>&lt;6 designated stalls in surface lot or parking garage</t>
        </is>
      </c>
      <c r="I19" s="29" t="n"/>
      <c r="J19" s="501">
        <f>IF(E19&gt;=6,"Green","Yellow")</f>
        <v/>
      </c>
      <c r="K19" s="77" t="n"/>
      <c r="L19" s="102" t="inlineStr">
        <is>
          <t>PreCon</t>
        </is>
      </c>
      <c r="M19" s="496" t="n"/>
    </row>
    <row r="20">
      <c r="A20" s="450" t="n"/>
      <c r="B20" s="499" t="n"/>
      <c r="C20" s="131" t="inlineStr">
        <is>
          <t>Power</t>
        </is>
      </c>
      <c r="D20" s="501" t="inlineStr">
        <is>
          <t>NA</t>
        </is>
      </c>
      <c r="E20" s="64" t="n"/>
      <c r="F20" s="501" t="inlineStr">
        <is>
          <t>Dropdown</t>
        </is>
      </c>
      <c r="G20" s="29" t="inlineStr">
        <is>
          <t>&gt;=400A</t>
        </is>
      </c>
      <c r="H20" s="29" t="inlineStr">
        <is>
          <t>&gt;= 200 A, 3 phase, or TBD</t>
        </is>
      </c>
      <c r="I20" s="29" t="n"/>
      <c r="J20" s="501">
        <f>IF(E20="&gt;=400 Amp 3 phase 480/208","Green","Yellow")</f>
        <v/>
      </c>
      <c r="K20" s="77" t="n"/>
      <c r="L20" s="102" t="inlineStr">
        <is>
          <t>PreCon</t>
        </is>
      </c>
      <c r="M20" s="496" t="n"/>
    </row>
    <row r="21" ht="29.1" customHeight="1" s="577">
      <c r="A21" s="450" t="n"/>
      <c r="B21" s="499" t="n"/>
      <c r="C21" s="131" t="inlineStr">
        <is>
          <t>HVAC</t>
        </is>
      </c>
      <c r="D21" s="501" t="inlineStr">
        <is>
          <t>NA</t>
        </is>
      </c>
      <c r="E21" s="64" t="n"/>
      <c r="F21" s="501" t="inlineStr">
        <is>
          <t>Dropdown</t>
        </is>
      </c>
      <c r="G21" s="29" t="inlineStr">
        <is>
          <t>Adequate</t>
        </is>
      </c>
      <c r="H21" s="29" t="inlineStr">
        <is>
          <t>Not adequate but can be remediated with reasonable cost</t>
        </is>
      </c>
      <c r="I21" s="29" t="n"/>
      <c r="J21" s="501">
        <f>IF(E21="Adequate; 10 tons per 5k sq feet ","Green","Yellow")</f>
        <v/>
      </c>
      <c r="K21" s="77" t="n"/>
      <c r="L21" s="102" t="inlineStr">
        <is>
          <t>PreCon</t>
        </is>
      </c>
      <c r="M21" s="496" t="n"/>
    </row>
    <row r="22" ht="29.45" customHeight="1" s="577">
      <c r="A22" s="450" t="n"/>
      <c r="B22" s="500" t="n"/>
      <c r="C22" s="131" t="inlineStr">
        <is>
          <t>Flooring</t>
        </is>
      </c>
      <c r="D22" s="501" t="inlineStr">
        <is>
          <t>NA</t>
        </is>
      </c>
      <c r="E22" s="64" t="n"/>
      <c r="F22" s="501" t="inlineStr">
        <is>
          <t>Dropdown</t>
        </is>
      </c>
      <c r="G22" s="29" t="inlineStr">
        <is>
          <t>Not permeable</t>
        </is>
      </c>
      <c r="H22" s="29" t="inlineStr">
        <is>
          <t>Permeable but can be remediated with reasonable cost</t>
        </is>
      </c>
      <c r="I22" s="29" t="n"/>
      <c r="J22" s="501">
        <f>IF(E22="Non Permeable","Green","Yellow")</f>
        <v/>
      </c>
      <c r="K22" s="77" t="n"/>
      <c r="L22" s="102" t="inlineStr">
        <is>
          <t>PreCon</t>
        </is>
      </c>
      <c r="M22" s="496" t="n"/>
    </row>
    <row r="23" ht="29.45" customHeight="1" s="577">
      <c r="A23" s="129" t="n"/>
      <c r="B23" s="498" t="inlineStr">
        <is>
          <t>Customer Facing</t>
        </is>
      </c>
      <c r="C23" s="501" t="inlineStr">
        <is>
          <t>Requires Customer Facing Element</t>
        </is>
      </c>
      <c r="D23" s="501" t="inlineStr">
        <is>
          <t>NA</t>
        </is>
      </c>
      <c r="E23" s="64" t="n"/>
      <c r="F23" s="501" t="inlineStr">
        <is>
          <t>Dropdown</t>
        </is>
      </c>
      <c r="G23" s="29" t="inlineStr">
        <is>
          <t>No</t>
        </is>
      </c>
      <c r="H23" s="29" t="inlineStr">
        <is>
          <t>Yes</t>
        </is>
      </c>
      <c r="I23" s="29" t="n"/>
      <c r="J23" s="501">
        <f>IF(E23="No","Green","Yellow")</f>
        <v/>
      </c>
      <c r="K23" s="77" t="n"/>
      <c r="L23" s="102" t="inlineStr">
        <is>
          <t>PreCon</t>
        </is>
      </c>
      <c r="M23" s="496" t="n"/>
    </row>
    <row r="24" ht="29.45" customHeight="1" s="577">
      <c r="A24" s="129" t="n"/>
      <c r="B24" s="498" t="inlineStr">
        <is>
          <t>Operational - Alcohol Risk</t>
        </is>
      </c>
      <c r="C24" s="501" t="inlineStr">
        <is>
          <t>Alcohol Sales Restrictions</t>
        </is>
      </c>
      <c r="D24" s="501" t="inlineStr">
        <is>
          <t>NA</t>
        </is>
      </c>
      <c r="E24" s="64" t="n"/>
      <c r="F24" s="501" t="inlineStr">
        <is>
          <t>Dropdown</t>
        </is>
      </c>
      <c r="G24" s="29" t="inlineStr">
        <is>
          <t>No Restrictions</t>
        </is>
      </c>
      <c r="H24" s="29" t="inlineStr">
        <is>
          <t>Partial Restrictions</t>
        </is>
      </c>
      <c r="I24" s="29" t="inlineStr">
        <is>
          <t>Completely Restricted</t>
        </is>
      </c>
      <c r="J24" s="501">
        <f>IF(E24="No Restrictions","Green",IF(E24="Partial Restrictions","Yellow","Red"))</f>
        <v/>
      </c>
      <c r="K24" s="77" t="n"/>
      <c r="L24" s="102" t="inlineStr">
        <is>
          <t>TM</t>
        </is>
      </c>
      <c r="M24" s="496" t="n"/>
    </row>
    <row r="25" ht="29.45" customHeight="1" s="577">
      <c r="A25" s="129" t="n"/>
      <c r="B25" s="498" t="inlineStr">
        <is>
          <t>Operating - Safety</t>
        </is>
      </c>
      <c r="C25" s="501" t="inlineStr">
        <is>
          <t>GRSA Score</t>
        </is>
      </c>
      <c r="D25" s="501" t="inlineStr">
        <is>
          <t>NA</t>
        </is>
      </c>
      <c r="E25" s="64" t="n"/>
      <c r="F25" s="501" t="inlineStr">
        <is>
          <t>Dropdown</t>
        </is>
      </c>
      <c r="G25" s="29" t="inlineStr">
        <is>
          <t>NA</t>
        </is>
      </c>
      <c r="H25" s="29" t="inlineStr">
        <is>
          <t>NA</t>
        </is>
      </c>
      <c r="I25" s="29" t="inlineStr">
        <is>
          <t>NA</t>
        </is>
      </c>
      <c r="J25" s="501">
        <f>IF(E25="Moderate","Yellow",IF(E25="Low","Green","Red"))</f>
        <v/>
      </c>
      <c r="K25" s="77" t="n"/>
      <c r="L25" s="102" t="inlineStr">
        <is>
          <t>TM</t>
        </is>
      </c>
      <c r="M25" s="496" t="n"/>
    </row>
    <row r="26" ht="33.95" customHeight="1" s="577">
      <c r="A26" s="127" t="n"/>
      <c r="B26" s="37" t="inlineStr">
        <is>
          <t>Operating - Zoning</t>
        </is>
      </c>
      <c r="C26" s="501" t="inlineStr">
        <is>
          <t>Zoning Risk</t>
        </is>
      </c>
      <c r="D26" s="501" t="inlineStr">
        <is>
          <t>NA</t>
        </is>
      </c>
      <c r="E26" s="64" t="n"/>
      <c r="F26" s="501" t="inlineStr">
        <is>
          <t>Dropdown</t>
        </is>
      </c>
      <c r="G26" s="29" t="inlineStr">
        <is>
          <t>Zoning Permits</t>
        </is>
      </c>
      <c r="H26" s="29" t="inlineStr">
        <is>
          <t>Likely Permits QC Use</t>
        </is>
      </c>
      <c r="I26" s="29" t="inlineStr">
        <is>
          <t>QC use permitted with Modifications.</t>
        </is>
      </c>
      <c r="J26" s="501">
        <f>IF(E26="Likely Permits QC Use","Yellow",IF(E26="Zoning Permits","Green","Red"))</f>
        <v/>
      </c>
      <c r="K26" s="77" t="n"/>
      <c r="L26" s="100" t="inlineStr">
        <is>
          <t>TM</t>
        </is>
      </c>
      <c r="M26" s="496" t="n"/>
    </row>
    <row r="27" ht="29.1" customHeight="1" s="577">
      <c r="A27" s="127" t="n"/>
      <c r="B27" s="37" t="inlineStr">
        <is>
          <t>Operating - WHS DD</t>
        </is>
      </c>
      <c r="C27" s="501" t="inlineStr">
        <is>
          <t>Environmental Risk</t>
        </is>
      </c>
      <c r="D27" s="501" t="inlineStr">
        <is>
          <t>NA</t>
        </is>
      </c>
      <c r="E27" s="64" t="n"/>
      <c r="F27" s="501" t="inlineStr">
        <is>
          <t>Dropdown</t>
        </is>
      </c>
      <c r="G27" s="29" t="inlineStr">
        <is>
          <t>Low Risk (no known/potential life safety issues)</t>
        </is>
      </c>
      <c r="H27" s="29" t="inlineStr">
        <is>
          <t>Medium Risk (potential life safety / health risk)</t>
        </is>
      </c>
      <c r="I27" s="29" t="n"/>
      <c r="J27" s="501">
        <f>IF(E27="Low Risk (no known/potential life safety issues)","Green","Yellow")</f>
        <v/>
      </c>
      <c r="K27" s="77" t="n"/>
      <c r="L27" s="100" t="inlineStr">
        <is>
          <t>TM</t>
        </is>
      </c>
      <c r="M27" s="496" t="n"/>
    </row>
    <row r="28" ht="43.5" customHeight="1" s="577">
      <c r="A28" s="129" t="n"/>
      <c r="B28" s="37" t="inlineStr">
        <is>
          <t>Operating - WHS Safety</t>
        </is>
      </c>
      <c r="C28" s="501" t="inlineStr">
        <is>
          <t>Safety Risk</t>
        </is>
      </c>
      <c r="D28" s="501" t="inlineStr">
        <is>
          <t>NA</t>
        </is>
      </c>
      <c r="E28" s="64" t="n"/>
      <c r="F28" s="501" t="inlineStr">
        <is>
          <t>Dropdown</t>
        </is>
      </c>
      <c r="G28" s="29" t="inlineStr">
        <is>
          <t>Meets safety requirements</t>
        </is>
      </c>
      <c r="H28" s="29" t="inlineStr">
        <is>
          <t>Does not meet safety requirements but can be brought into compliance with reasonable cost</t>
        </is>
      </c>
      <c r="I28" s="29" t="n"/>
      <c r="J28" s="501">
        <f>IF(E28="Meets safety requirements","Green","Yellow")</f>
        <v/>
      </c>
      <c r="K28" s="77" t="n"/>
      <c r="L28" s="100" t="inlineStr">
        <is>
          <t>TM</t>
        </is>
      </c>
      <c r="M28" s="496" t="n"/>
    </row>
    <row r="29" ht="44.1" customHeight="1" s="577" thickBot="1">
      <c r="A29" s="129" t="n"/>
      <c r="B29" s="35" t="inlineStr">
        <is>
          <t>Operating - Other Tenant Exclusives</t>
        </is>
      </c>
      <c r="C29" s="34" t="inlineStr">
        <is>
          <t>Restrictions on specific ASINS</t>
        </is>
      </c>
      <c r="D29" s="33" t="inlineStr">
        <is>
          <t>NA</t>
        </is>
      </c>
      <c r="E29" s="66" t="n"/>
      <c r="F29" s="33" t="inlineStr">
        <is>
          <t>Dropdown</t>
        </is>
      </c>
      <c r="G29" s="34" t="inlineStr">
        <is>
          <t>No tenant exclusives</t>
        </is>
      </c>
      <c r="H29" s="34" t="inlineStr">
        <is>
          <t>Existing tenant exclusives with restrictions that are acceptable to Amazon</t>
        </is>
      </c>
      <c r="I29" s="34" t="n"/>
      <c r="J29" s="33">
        <f>IF(E29="No tenant exclusives","Green","Yellow")</f>
        <v/>
      </c>
      <c r="K29" s="81" t="n"/>
      <c r="L29" s="100" t="inlineStr">
        <is>
          <t>TM</t>
        </is>
      </c>
      <c r="M29" s="475" t="n"/>
    </row>
    <row r="30">
      <c r="C30" s="578" t="n"/>
      <c r="D30" s="578" t="n"/>
      <c r="E30" s="578" t="n"/>
      <c r="F30" s="578" t="n"/>
      <c r="H30" s="58" t="n"/>
      <c r="I30" s="58" t="n"/>
      <c r="J30" s="58" t="inlineStr">
        <is>
          <t>*NA indicates the item is not to be included in the field count summary</t>
        </is>
      </c>
    </row>
    <row r="31" ht="17.45" customHeight="1" s="577">
      <c r="B31" s="503" t="inlineStr">
        <is>
          <t>Scorecard</t>
        </is>
      </c>
      <c r="C31" s="503" t="n"/>
    </row>
    <row r="32">
      <c r="B32" s="30" t="inlineStr">
        <is>
          <t>Total Field Count</t>
        </is>
      </c>
      <c r="C32" s="30">
        <f>COUNTIF($J$7:$J$29,"Green")+COUNTIF($J$7:$J$29,"Yellow")+COUNTIF($J$7:$J$29,"Red")</f>
        <v/>
      </c>
      <c r="D32" s="578" t="n"/>
      <c r="E32" s="578" t="n"/>
    </row>
    <row r="33">
      <c r="B33" s="30" t="inlineStr">
        <is>
          <t>Total Green Fields</t>
        </is>
      </c>
      <c r="C33" s="30">
        <f>COUNTIFS($J$7:$J$29,"Green")</f>
        <v/>
      </c>
      <c r="D33" s="578" t="n"/>
      <c r="E33" s="578" t="n"/>
    </row>
    <row r="34">
      <c r="B34" s="30" t="inlineStr">
        <is>
          <t>Total Yellow Fields</t>
        </is>
      </c>
      <c r="C34" s="30">
        <f>COUNTIF($J$7:$J$29,"Yellow")</f>
        <v/>
      </c>
    </row>
    <row r="35">
      <c r="B35" s="30" t="inlineStr">
        <is>
          <t>Total Red Fields</t>
        </is>
      </c>
      <c r="C35" s="30">
        <f>COUNTIF($J$7:$J$29,"Red")</f>
        <v/>
      </c>
    </row>
  </sheetData>
  <mergeCells count="7">
    <mergeCell ref="M6:M29"/>
    <mergeCell ref="A18:A22"/>
    <mergeCell ref="B18:B22"/>
    <mergeCell ref="B7:B17"/>
    <mergeCell ref="C7:C8"/>
    <mergeCell ref="G7:G8"/>
    <mergeCell ref="J7:J8"/>
  </mergeCells>
  <conditionalFormatting sqref="J7 J9:J29">
    <cfRule type="containsText" priority="1" operator="containsText" dxfId="11" text="Red">
      <formula>NOT(ISERROR(SEARCH("Red",J7)))</formula>
    </cfRule>
    <cfRule type="containsText" priority="2" operator="containsText" dxfId="10" text="Yellow">
      <formula>NOT(ISERROR(SEARCH("Yellow",J7)))</formula>
    </cfRule>
    <cfRule type="containsText" priority="3" operator="containsText" dxfId="9" text="Green">
      <formula>NOT(ISERROR(SEARCH("Green",J7)))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theme="5" tint="0.7999816888943144"/>
    <outlinePr summaryBelow="1" summaryRight="1"/>
    <pageSetUpPr/>
  </sheetPr>
  <dimension ref="A1:P77"/>
  <sheetViews>
    <sheetView showGridLines="0" showRuler="0" topLeftCell="A28" zoomScaleNormal="100" workbookViewId="0">
      <selection activeCell="H54" sqref="H54:N54"/>
    </sheetView>
  </sheetViews>
  <sheetFormatPr baseColWidth="8" defaultColWidth="12" defaultRowHeight="15.75"/>
  <cols>
    <col width="20.28515625" customWidth="1" style="469" min="1" max="1"/>
    <col width="6" customWidth="1" style="5" min="2" max="2"/>
    <col width="12" customWidth="1" style="469" min="3" max="3"/>
    <col width="11" customWidth="1" style="469" min="4" max="4"/>
    <col width="17.28515625" customWidth="1" style="469" min="5" max="5"/>
    <col width="18.42578125" customWidth="1" style="469" min="6" max="6"/>
    <col width="17.140625" customWidth="1" style="469" min="7" max="7"/>
    <col width="20.28515625" customWidth="1" style="469" min="8" max="8"/>
    <col width="19.5703125" customWidth="1" style="469" min="9" max="9"/>
    <col width="12" customWidth="1" style="469" min="10" max="10"/>
    <col width="13.7109375" customWidth="1" style="469" min="11" max="11"/>
    <col width="16.7109375" customWidth="1" style="469" min="12" max="12"/>
    <col width="12.140625" customWidth="1" style="469" min="13" max="13"/>
    <col width="20.5703125" customWidth="1" style="469" min="14" max="14"/>
    <col width="31.28515625" customWidth="1" style="469" min="15" max="15"/>
    <col width="42.7109375" customWidth="1" style="469" min="16" max="16"/>
    <col width="12" customWidth="1" style="469" min="17" max="17"/>
    <col width="12" customWidth="1" style="469" min="18" max="16384"/>
  </cols>
  <sheetData>
    <row r="1">
      <c r="B1" s="49" t="n"/>
      <c r="C1" s="50" t="n"/>
      <c r="D1" s="50" t="n"/>
      <c r="E1" s="50" t="n"/>
      <c r="F1" s="50" t="n"/>
      <c r="G1" s="50" t="n"/>
      <c r="H1" s="50" t="n"/>
      <c r="I1" s="50" t="n"/>
      <c r="J1" s="50" t="n"/>
      <c r="K1" s="50" t="n"/>
      <c r="L1" s="50" t="n"/>
      <c r="M1" s="50" t="n"/>
      <c r="N1" s="51" t="n"/>
      <c r="P1" s="48" t="n"/>
    </row>
    <row r="2">
      <c r="B2" s="17" t="n"/>
      <c r="C2" s="422" t="inlineStr">
        <is>
          <t>Site Name - Quick Commerce</t>
        </is>
      </c>
      <c r="D2" s="420" t="n"/>
      <c r="E2" s="420" t="n"/>
      <c r="F2" s="420" t="n"/>
      <c r="G2" s="420" t="n"/>
      <c r="H2" s="420" t="n"/>
      <c r="I2" s="420" t="n"/>
      <c r="J2" s="420" t="n"/>
      <c r="K2" s="420" t="n"/>
      <c r="L2" s="420" t="n"/>
      <c r="M2" s="420" t="n"/>
      <c r="N2" s="421" t="n"/>
      <c r="O2" s="494" t="inlineStr">
        <is>
          <t>Please fill out commentary on any fields showing red or yellow fields in page 0.</t>
        </is>
      </c>
      <c r="P2" s="48" t="n"/>
    </row>
    <row r="3">
      <c r="B3" s="17" t="n"/>
      <c r="C3" s="467" t="inlineStr">
        <is>
          <t>Total Amazon Commitment 
  shown in Millions ($USD)</t>
        </is>
      </c>
      <c r="D3" s="443" t="n"/>
      <c r="E3" s="444" t="n"/>
      <c r="F3" s="467" t="inlineStr">
        <is>
          <t>DD &amp; Design</t>
        </is>
      </c>
      <c r="G3" s="467" t="inlineStr">
        <is>
          <t>Real Estate</t>
        </is>
      </c>
      <c r="H3" s="421" t="n"/>
      <c r="I3" s="467" t="inlineStr">
        <is>
          <t>Construction</t>
        </is>
      </c>
      <c r="J3" s="421" t="n"/>
      <c r="K3" s="467" t="inlineStr">
        <is>
          <t>Startup</t>
        </is>
      </c>
      <c r="L3" s="421" t="n"/>
      <c r="M3" s="467" t="inlineStr">
        <is>
          <t>Total Request</t>
        </is>
      </c>
      <c r="N3" s="429" t="inlineStr">
        <is>
          <t xml:space="preserve">Total Spent </t>
        </is>
      </c>
      <c r="P3" s="48" t="n"/>
    </row>
    <row r="4">
      <c r="B4" s="17" t="n"/>
      <c r="C4" s="451" t="n"/>
      <c r="D4" s="471" t="n"/>
      <c r="E4" s="472" t="n"/>
      <c r="F4" s="467" t="inlineStr">
        <is>
          <t xml:space="preserve">Capex </t>
        </is>
      </c>
      <c r="G4" s="467" t="inlineStr">
        <is>
          <t>Lease Approved</t>
        </is>
      </c>
      <c r="H4" s="467" t="inlineStr">
        <is>
          <t>Opex</t>
        </is>
      </c>
      <c r="I4" s="467" t="inlineStr">
        <is>
          <t xml:space="preserve">Capex </t>
        </is>
      </c>
      <c r="J4" s="467" t="inlineStr">
        <is>
          <t>Opex</t>
        </is>
      </c>
      <c r="K4" s="467" t="inlineStr">
        <is>
          <t xml:space="preserve">Capex </t>
        </is>
      </c>
      <c r="L4" s="467" t="inlineStr">
        <is>
          <t>Opex</t>
        </is>
      </c>
      <c r="M4" s="475" t="n"/>
      <c r="N4" s="430" t="n"/>
    </row>
    <row r="5">
      <c r="B5" s="18" t="n">
        <v>1</v>
      </c>
      <c r="C5" s="419" t="inlineStr">
        <is>
          <t>Previously Approved Funding</t>
        </is>
      </c>
      <c r="D5" s="420" t="n"/>
      <c r="E5" s="421" t="n"/>
      <c r="F5" s="103">
        <f>SUMIFS('Cost Estimation'!$I$5:$I$101,'Cost Estimation'!$F$5:$F$101,"CAPEX",'Cost Estimation'!$G$5:$G$101,"Yes",'Cost Estimation'!$E$5:$E$101,"DD &amp; Design")+SUMIFS('Cost Estimation'!$K$5:$K$101,'Cost Estimation'!$F$5:$F$101,"CAPEX",'Cost Estimation'!$G$5:$G$101,"Yes",'Cost Estimation'!$E$5:$E$101,"DD &amp; Design")</f>
        <v/>
      </c>
      <c r="G5" s="103" t="n">
        <v>0</v>
      </c>
      <c r="H5" s="103" t="n">
        <v>0</v>
      </c>
      <c r="I5" s="103">
        <f>SUMIFS('Cost Estimation'!$I$5:$I$101,'Cost Estimation'!$F$5:$F$101,"CAPEX",'Cost Estimation'!$G$5:$G$101,"Yes",'Cost Estimation'!$E$5:$E$101,"Construction")+SUMIFS('Cost Estimation'!$K$5:$K$101,'Cost Estimation'!$F$5:$F$101,"CAPEX",'Cost Estimation'!$G$5:$G$101,"Yes",'Cost Estimation'!$E$5:$E$101,"Construction")</f>
        <v/>
      </c>
      <c r="J5" s="103">
        <f>SUMIFS('Cost Estimation'!$I$5:$I$101,'Cost Estimation'!$F$5:$F$101,"OPEX",'Cost Estimation'!$G$5:$G$101,"Yes",'Cost Estimation'!$E$5:$E$101,"Construction")+SUMIFS('Cost Estimation'!$K$5:$K$101,'Cost Estimation'!$F$5:$F$101,"OPEX",'Cost Estimation'!$G$5:$G$101,"Yes",'Cost Estimation'!$E$5:$E$101,"Construction")</f>
        <v/>
      </c>
      <c r="K5" s="103">
        <f>SUMIFS('Cost Estimation'!$I$5:$I$101,'Cost Estimation'!$F$5:$F$101,"CAPEX",'Cost Estimation'!$G$5:$G$101,"Yes",'Cost Estimation'!$E$5:$E$101,"Startup")+SUMIFS('Cost Estimation'!$K$5:$K$101,'Cost Estimation'!$F$5:$F$101,"CAPEX",'Cost Estimation'!$G$5:$G$101,"Yes",'Cost Estimation'!$E$5:$E$101,"Startup")</f>
        <v/>
      </c>
      <c r="L5" s="103">
        <f>SUMIFS('Cost Estimation'!$I$5:$I$101,'Cost Estimation'!$F$5:$F$101,"OPEX",'Cost Estimation'!$G$5:$G$101,"Yes",'Cost Estimation'!$E$5:$E$101,"Startup")+SUMIFS('Cost Estimation'!$K$5:$K$101,'Cost Estimation'!$F$5:$F$101,"OPEX",'Cost Estimation'!$G$5:$G$101,"Yes",'Cost Estimation'!$E$5:$E$101,"Startup")</f>
        <v/>
      </c>
      <c r="M5" s="103" t="inlineStr">
        <is>
          <t xml:space="preserve"> - </t>
        </is>
      </c>
      <c r="N5" s="19">
        <f>SUM(F5:L5)</f>
        <v/>
      </c>
    </row>
    <row r="6" ht="35.45" customHeight="1" s="577">
      <c r="B6" s="18">
        <f>B5+1</f>
        <v/>
      </c>
      <c r="C6" s="481" t="inlineStr">
        <is>
          <t>Current  Request (minus Previously Approved Funding)</t>
        </is>
      </c>
      <c r="D6" s="420" t="n"/>
      <c r="E6" s="421" t="n"/>
      <c r="F6" s="13" t="n">
        <v>0</v>
      </c>
      <c r="G6" s="13">
        <f>'Cash Flow'!D41</f>
        <v/>
      </c>
      <c r="H6" s="13">
        <f>'Cash Flow'!E41</f>
        <v/>
      </c>
      <c r="I6" s="13">
        <f>IF('Cost Estimation'!R10=0,"OP Figures",'Cost Estimation'!R10)</f>
        <v/>
      </c>
      <c r="J6" s="13" t="n">
        <v>0</v>
      </c>
      <c r="K6" s="13">
        <f>IF('Cost Estimation'!R12=0,"OP Figures",'Cost Estimation'!R12)</f>
        <v/>
      </c>
      <c r="L6" s="13" t="n">
        <v>0</v>
      </c>
      <c r="M6" s="13">
        <f>SUM(F6:L6)</f>
        <v/>
      </c>
      <c r="N6" s="13" t="inlineStr">
        <is>
          <t xml:space="preserve"> - </t>
        </is>
      </c>
    </row>
    <row r="7" ht="15.75" customHeight="1" s="577">
      <c r="B7" s="18">
        <f>B6+1</f>
        <v/>
      </c>
      <c r="C7" s="436" t="inlineStr">
        <is>
          <t xml:space="preserve">Total Project  Cost </t>
        </is>
      </c>
      <c r="D7" s="420" t="n"/>
      <c r="E7" s="421" t="n"/>
      <c r="F7" s="14">
        <f>SUM(F5:F6)</f>
        <v/>
      </c>
      <c r="G7" s="14">
        <f>SUM(G5:G6)</f>
        <v/>
      </c>
      <c r="H7" s="14">
        <f>SUM(H5:H6)</f>
        <v/>
      </c>
      <c r="I7" s="14">
        <f>SUM(I5:I6)</f>
        <v/>
      </c>
      <c r="J7" s="14">
        <f>SUM(J5:J6)</f>
        <v/>
      </c>
      <c r="K7" s="14">
        <f>SUM(K5:K6)</f>
        <v/>
      </c>
      <c r="L7" s="14">
        <f>SUM(L5:L6)</f>
        <v/>
      </c>
      <c r="M7" s="14">
        <f>SUM(M5:M6)</f>
        <v/>
      </c>
      <c r="N7" s="20">
        <f>SUM(N5:N6)</f>
        <v/>
      </c>
    </row>
    <row r="8" ht="51.75" customHeight="1" s="577">
      <c r="A8" s="362" t="n"/>
      <c r="B8" s="18">
        <f>B7+1</f>
        <v/>
      </c>
      <c r="C8" s="487" t="inlineStr">
        <is>
          <t>Tenant Improvement Allowance: (Use whole numbers; Do not use cost per sq ft.)</t>
        </is>
      </c>
      <c r="D8" s="420" t="n"/>
      <c r="E8" s="420" t="n"/>
      <c r="F8" s="434">
        <f>'Cash Flow'!G33</f>
        <v/>
      </c>
      <c r="G8" s="420" t="n"/>
      <c r="H8" s="420" t="n"/>
      <c r="I8" s="420" t="n"/>
      <c r="J8" s="421" t="n"/>
      <c r="K8" s="27" t="n"/>
      <c r="L8" s="27" t="n"/>
      <c r="M8" s="27" t="n"/>
      <c r="N8" s="28" t="n"/>
    </row>
    <row r="9" ht="66.75" customHeight="1" s="577">
      <c r="A9" s="362" t="n"/>
      <c r="B9" s="18">
        <f>B8+1</f>
        <v/>
      </c>
      <c r="C9" s="467" t="inlineStr">
        <is>
          <t>Key Metrics:</t>
        </is>
      </c>
      <c r="D9" s="421" t="n"/>
      <c r="E9" s="465" t="inlineStr">
        <is>
          <t>Payback: (6 UPO)</t>
        </is>
      </c>
      <c r="F9" s="26" t="inlineStr">
        <is>
          <t>FA Input</t>
        </is>
      </c>
      <c r="G9" s="465" t="inlineStr">
        <is>
          <t>Total Capex (DD &amp; Design, Construction &amp; Startup)  - TI</t>
        </is>
      </c>
      <c r="H9" s="444" t="n"/>
      <c r="I9" s="466">
        <f>IFERROR(M9-F8,"")</f>
        <v/>
      </c>
      <c r="J9" s="444" t="n"/>
      <c r="K9" s="470" t="inlineStr">
        <is>
          <t>Total Capex (DD &amp; Design, Construction &amp; Startup)</t>
        </is>
      </c>
      <c r="L9" s="444" t="n"/>
      <c r="M9" s="466">
        <f>'Cost Estimation'!R15</f>
        <v/>
      </c>
      <c r="N9" s="444" t="n"/>
    </row>
    <row r="10" ht="27" customHeight="1" s="577">
      <c r="A10" s="362" t="n"/>
      <c r="B10" s="18">
        <f>B9+1</f>
        <v/>
      </c>
      <c r="C10" s="468" t="inlineStr">
        <is>
          <t>Site Justification</t>
        </is>
      </c>
      <c r="N10" s="450" t="n"/>
      <c r="O10" s="469" t="inlineStr">
        <is>
          <t>Section Owner:</t>
        </is>
      </c>
      <c r="P10" s="469" t="inlineStr">
        <is>
          <t>Launch Manager</t>
        </is>
      </c>
    </row>
    <row r="11" ht="397.5" customHeight="1" s="577">
      <c r="A11" s="362" t="n"/>
      <c r="B11" s="18">
        <f>B10+1</f>
        <v/>
      </c>
      <c r="C11" s="476" t="inlineStr">
        <is>
          <t xml:space="preserve">Site Details
The selected site, [PIN], located at 2335 South Hanley Road, Brentwood, MO, supports the DT Clayton demand center within the St. Louis MSA. [PIN] is a 2026 Priority 1 pin.
[PIN] sits 9.33 minutes (12 PM drive time) from the DT Clayton demand center, positioning it 2.56 miles from the ideal pin. 25-min PDC is 0.23% from this location. GoPuff serves this demand center with a slower speed at 10.22 min (12 PM), giving Amazon a 0.89-minute speed advantage. Zoning supports the intended Quick Commerce use with no known constraints — warehouse and wholesaling are allowed by-right, and retail is permitted as an accessory use (limited to 30% of total floor area). Jurisdictional risk is Green: the site is located in a commercial/industrial node with no adjacent residential.
Third-party alcohol delivery is permitted for beer, wine, and spirits (full license).
The facility features 4,700 SF, 13 dedicated parking spaces, 12' ceiling height, and concrete flooring. The building is a single-tenant property with no exclusive tenant clauses and was previously occupied by a local clothing company.
[GAP — Electrical capacity (amps/phase) not stated]
[GAP — HVAC details not stated]
[GAP — Sprinkler / fire protection type not stated]
[GAP — Capacity (orders per day) not stated]
[GAP — Payback (years) not stated — required for L8 review]
[GAP — Lease terms not stated: Base rent PSF, OPEX, gross annual rent, lease term, extensions, TIA]
The site presents High (Red) WHS/Environmental risk, including:
Historical above-ground storage tank farm located 275 feet from site with known remaining contamination in groundwater
Construction prior to 1958 — potential for hazardous building materials including asbestos
Landlord must provide evidence of sampling and abatement prior to renovation
Sub-slab soil vapor and indoor air sampling required due to known contamination
[GAP — Has Amazon EHS reviewed and accepted this risk?]
[GAP — Is there a lease contingency tied to environmental clearance?]
[GAP — What is the cost/timeline exposure if asbestos is confirmed during renovation?]
[GAP — Permitting status not stated]
Approval is requested to secure the site while maintaining flexibility to adjust based on environmental and permitting outcomes.
Site Search History and Market Availability
[GAP — This entire section requires data]
GR has been evaluating opportunities to support the DT Clayton pin for approximately [duration — REQUIRED], with [PIN] emerging as the most viable option in the trade area.
Suitable inventory in this submarket is [limited / constrained / moderate — REQUIRED] due to:
[GAP — Specific constraints not provided: zoning, building size, parking, landlord restrictions]
Multiple alternatives were evaluated but were not viable due to:
[GAP — Number of sites surveyed and specific rejection reasons not provided]
Note: The 9.33-minute drive time is near the 10-minute flag threshold. This section must explicitly address why a closer site was not available. The speed advantage over GoPuff (10.22 min) partially mitigates this concern, but an L8 reviewer will still ask the question.
[PIN] was selected on [date — REQUIRED] following internal review. The site provides zoning compatibility (by-right warehouse use), adequate parking (13 spaces), full alcohol licensing eligibility, and competitive positioning vs. GoPuff, making it the most viable option for the trade area.
Key Lease Provisions:
Early Termination Right: [GAP — not provided]
Permit Contingency Clause: [GAP — not provided]
Landlord Scope / Obligations: [GAP — not provided; critical given Red WHS — must address who bears remediation cost]
CAPEX &amp; Cost Optimization for Current Design
[GAP — This entire section requires data]
CAPEX Drivers:
CAPEX breakdown not available at this stage.
Cost Optimization Efforts:
Cost optimization efforts not finalized at this stage.
</t>
        </is>
      </c>
      <c r="N11" s="450" t="n"/>
      <c r="O11" s="494" t="n"/>
      <c r="P11" s="469" t="inlineStr">
        <is>
          <t>Input from RE, PCM, CM, and TM</t>
        </is>
      </c>
    </row>
    <row r="12" ht="409.5" customHeight="1" s="577">
      <c r="A12" s="362" t="n"/>
      <c r="B12" s="18" t="n"/>
      <c r="C12" s="449" t="n"/>
      <c r="N12" s="450" t="n"/>
      <c r="O12" s="494" t="n"/>
    </row>
    <row r="13" ht="401.25" customHeight="1" s="577">
      <c r="A13" s="362" t="n"/>
      <c r="B13" s="18" t="n"/>
      <c r="C13" s="451" t="n"/>
      <c r="D13" s="471" t="n"/>
      <c r="E13" s="471" t="n"/>
      <c r="F13" s="471" t="n"/>
      <c r="G13" s="471" t="n"/>
      <c r="H13" s="471" t="n"/>
      <c r="I13" s="471" t="n"/>
      <c r="J13" s="471" t="n"/>
      <c r="K13" s="471" t="n"/>
      <c r="L13" s="471" t="n"/>
      <c r="M13" s="471" t="n"/>
      <c r="N13" s="452" t="n"/>
      <c r="O13" s="494" t="n"/>
    </row>
    <row r="14" ht="30.6" customHeight="1" s="577">
      <c r="A14" s="48" t="n"/>
      <c r="B14" s="18">
        <f>B11+1</f>
        <v/>
      </c>
      <c r="C14" s="422" t="inlineStr">
        <is>
          <t>Site Details</t>
        </is>
      </c>
      <c r="D14" s="420" t="n"/>
      <c r="E14" s="420" t="n"/>
      <c r="F14" s="420" t="n"/>
      <c r="G14" s="420" t="n"/>
      <c r="H14" s="421" t="n"/>
      <c r="I14" s="422" t="inlineStr">
        <is>
          <t>Site  Details Commentary</t>
        </is>
      </c>
      <c r="J14" s="420" t="n"/>
      <c r="K14" s="420" t="n"/>
      <c r="L14" s="421" t="n"/>
      <c r="M14" s="493" t="inlineStr">
        <is>
          <t>Description of Landlord Work (If Applicable)</t>
        </is>
      </c>
      <c r="N14" s="439" t="n"/>
      <c r="O14" s="469" t="inlineStr">
        <is>
          <t>Section Owner:</t>
        </is>
      </c>
      <c r="P14" s="469" t="inlineStr">
        <is>
          <t>Transaction Manager</t>
        </is>
      </c>
    </row>
    <row r="15" ht="15.6" customHeight="1" s="577">
      <c r="A15" s="48" t="n"/>
      <c r="B15" s="18">
        <f>B14+1</f>
        <v/>
      </c>
      <c r="C15" s="419" t="inlineStr">
        <is>
          <t>Business Unit</t>
        </is>
      </c>
      <c r="D15" s="420" t="n"/>
      <c r="E15" s="420" t="n"/>
      <c r="F15" s="421" t="n"/>
      <c r="G15" s="423" t="inlineStr">
        <is>
          <t>Quick Commerce</t>
        </is>
      </c>
      <c r="H15" s="421" t="n"/>
      <c r="I15" s="478" t="inlineStr">
        <is>
          <t xml:space="preserve">Short description of site, former use, etc.  Need to inlcude summary of # of sites reviewed and why this site is the recommended site.  Address any yellow/red RE related variables. For example: If site doesn't hit minium parking requirements or there is an adjacent garage, explain the situation.  For additional examples, please refer to ZST3 or ZBL1 write up.  </t>
        </is>
      </c>
      <c r="J15" s="443" t="n"/>
      <c r="K15" s="443" t="n"/>
      <c r="L15" s="444" t="n"/>
      <c r="M15" s="447" t="n"/>
      <c r="N15" s="448" t="n"/>
    </row>
    <row r="16" ht="15.75" customHeight="1" s="577">
      <c r="A16" s="48" t="n"/>
      <c r="B16" s="18">
        <f>B15+1</f>
        <v/>
      </c>
      <c r="C16" s="419" t="inlineStr">
        <is>
          <t>Site Code</t>
        </is>
      </c>
      <c r="D16" s="420" t="n"/>
      <c r="E16" s="420" t="n"/>
      <c r="F16" s="421" t="n"/>
      <c r="G16" s="423" t="inlineStr">
        <is>
          <t>ABC1</t>
        </is>
      </c>
      <c r="H16" s="421" t="n"/>
      <c r="I16" s="449" t="n"/>
      <c r="L16" s="479" t="n"/>
      <c r="M16" s="449" t="n"/>
      <c r="N16" s="450" t="n"/>
      <c r="O16" s="48" t="n"/>
    </row>
    <row r="17" ht="32.1" customHeight="1" s="577">
      <c r="A17" s="48" t="n"/>
      <c r="B17" s="18">
        <f>B16+1</f>
        <v/>
      </c>
      <c r="C17" s="419" t="inlineStr">
        <is>
          <t>Site Address (Full Address w/City &amp; State)</t>
        </is>
      </c>
      <c r="D17" s="420" t="n"/>
      <c r="E17" s="420" t="n"/>
      <c r="F17" s="421" t="n"/>
      <c r="G17" s="485">
        <f>'Cash Flow'!D4</f>
        <v/>
      </c>
      <c r="H17" s="421" t="n"/>
      <c r="I17" s="449" t="n"/>
      <c r="L17" s="479" t="n"/>
      <c r="M17" s="449" t="n"/>
      <c r="N17" s="450" t="n"/>
      <c r="O17" s="48" t="n"/>
    </row>
    <row r="18" ht="15.75" customHeight="1" s="577">
      <c r="A18" s="48" t="n"/>
      <c r="B18" s="18">
        <f>B17+1</f>
        <v/>
      </c>
      <c r="C18" s="419" t="inlineStr">
        <is>
          <t>Building Type/Former Use</t>
        </is>
      </c>
      <c r="D18" s="420" t="n"/>
      <c r="E18" s="420" t="n"/>
      <c r="F18" s="421" t="n"/>
      <c r="G18" s="423" t="n"/>
      <c r="H18" s="421" t="n"/>
      <c r="I18" s="449" t="n"/>
      <c r="L18" s="479" t="n"/>
      <c r="M18" s="449" t="n"/>
      <c r="N18" s="450" t="n"/>
      <c r="O18" s="48" t="n"/>
    </row>
    <row r="19" ht="15.75" customHeight="1" s="577">
      <c r="A19" s="48" t="n"/>
      <c r="B19" s="18">
        <f>B18+1</f>
        <v/>
      </c>
      <c r="C19" s="419" t="inlineStr">
        <is>
          <t>Launch Type</t>
        </is>
      </c>
      <c r="D19" s="420" t="n"/>
      <c r="E19" s="420" t="n"/>
      <c r="F19" s="421" t="n"/>
      <c r="G19" s="423" t="n"/>
      <c r="H19" s="421" t="n"/>
      <c r="I19" s="449" t="n"/>
      <c r="L19" s="479" t="n"/>
      <c r="M19" s="449" t="n"/>
      <c r="N19" s="450" t="n"/>
      <c r="O19" s="48" t="n"/>
    </row>
    <row r="20" ht="15.75" customHeight="1" s="577">
      <c r="A20" s="48" t="n"/>
      <c r="B20" s="18">
        <f>B19+1</f>
        <v/>
      </c>
      <c r="C20" s="419" t="inlineStr">
        <is>
          <t>City/MSA</t>
        </is>
      </c>
      <c r="D20" s="420" t="n"/>
      <c r="E20" s="420" t="n"/>
      <c r="F20" s="421" t="n"/>
      <c r="G20" s="423" t="inlineStr">
        <is>
          <t>City, State</t>
        </is>
      </c>
      <c r="H20" s="421" t="n"/>
      <c r="I20" s="449" t="n"/>
      <c r="L20" s="479" t="n"/>
      <c r="M20" s="449" t="n"/>
      <c r="N20" s="450" t="n"/>
      <c r="O20" s="48" t="n"/>
    </row>
    <row r="21" ht="15.75" customHeight="1" s="577">
      <c r="A21" s="48" t="n"/>
      <c r="B21" s="18">
        <f>B20+1</f>
        <v/>
      </c>
      <c r="C21" s="419" t="inlineStr">
        <is>
          <t># of available parking spots</t>
        </is>
      </c>
      <c r="D21" s="420" t="n"/>
      <c r="E21" s="420" t="n"/>
      <c r="F21" s="421" t="n"/>
      <c r="G21" s="423" t="n"/>
      <c r="H21" s="421" t="n"/>
      <c r="I21" s="449" t="n"/>
      <c r="L21" s="479" t="n"/>
      <c r="M21" s="449" t="n"/>
      <c r="N21" s="450" t="n"/>
      <c r="O21" s="48" t="n"/>
    </row>
    <row r="22" ht="15.75" customHeight="1" s="577">
      <c r="A22" s="48" t="n"/>
      <c r="B22" s="18">
        <f>B21+1</f>
        <v/>
      </c>
      <c r="C22" s="419" t="inlineStr">
        <is>
          <t>Building Square Footage</t>
        </is>
      </c>
      <c r="D22" s="420" t="n"/>
      <c r="E22" s="420" t="n"/>
      <c r="F22" s="421" t="n"/>
      <c r="G22" s="455">
        <f>'Cash Flow'!E8</f>
        <v/>
      </c>
      <c r="H22" s="421" t="n"/>
      <c r="I22" s="449" t="n"/>
      <c r="L22" s="479" t="n"/>
      <c r="M22" s="449" t="n"/>
      <c r="N22" s="450" t="n"/>
      <c r="O22" s="48" t="n"/>
    </row>
    <row r="23" ht="15.75" customHeight="1" s="577">
      <c r="A23" s="48" t="n"/>
      <c r="B23" s="18">
        <f>B22+1</f>
        <v/>
      </c>
      <c r="C23" s="419" t="inlineStr">
        <is>
          <t>Transaction Type</t>
        </is>
      </c>
      <c r="D23" s="420" t="n"/>
      <c r="E23" s="420" t="n"/>
      <c r="F23" s="421" t="n"/>
      <c r="G23" s="424" t="n"/>
      <c r="H23" s="421" t="n"/>
      <c r="I23" s="449" t="n"/>
      <c r="L23" s="479" t="n"/>
      <c r="M23" s="449" t="n"/>
      <c r="N23" s="450" t="n"/>
      <c r="O23" s="48" t="n"/>
    </row>
    <row r="24" ht="68.25" customHeight="1" s="577">
      <c r="A24" s="362" t="n"/>
      <c r="B24" s="18">
        <f>B23+1</f>
        <v/>
      </c>
      <c r="C24" s="437" t="inlineStr">
        <is>
          <t xml:space="preserve">How many Packages per day does the design allow? </t>
        </is>
      </c>
      <c r="D24" s="420" t="n"/>
      <c r="E24" s="420" t="n"/>
      <c r="F24" s="421" t="n"/>
      <c r="G24" s="461" t="inlineStr">
        <is>
          <t xml:space="preserve">This site has a maximum capacity of 5000 units per day. With 6 units per order (UPO), site can handle capacity of 833 orders per day. </t>
        </is>
      </c>
      <c r="H24" s="421" t="n"/>
      <c r="I24" s="449" t="n"/>
      <c r="L24" s="479" t="n"/>
      <c r="M24" s="449" t="n"/>
      <c r="N24" s="450" t="n"/>
      <c r="O24" s="48" t="n"/>
      <c r="P24" s="469" t="inlineStr">
        <is>
          <t>Design</t>
        </is>
      </c>
    </row>
    <row r="25" ht="15.75" customHeight="1" s="577">
      <c r="A25" s="362" t="n"/>
      <c r="B25" s="18">
        <f>B24+1</f>
        <v/>
      </c>
      <c r="C25" s="437" t="inlineStr">
        <is>
          <t>Does Site Require Customer Facing Element?</t>
        </is>
      </c>
      <c r="D25" s="420" t="n"/>
      <c r="E25" s="420" t="n"/>
      <c r="F25" s="421" t="n"/>
      <c r="G25" s="461" t="n"/>
      <c r="H25" s="421" t="n"/>
      <c r="I25" s="451" t="n"/>
      <c r="J25" s="471" t="n"/>
      <c r="K25" s="471" t="n"/>
      <c r="L25" s="472" t="n"/>
      <c r="M25" s="451" t="n"/>
      <c r="N25" s="452" t="n"/>
      <c r="O25" s="48" t="n"/>
    </row>
    <row r="26" ht="15.95" customHeight="1" s="577">
      <c r="B26" s="18">
        <f>B25+1</f>
        <v/>
      </c>
      <c r="C26" s="442" t="inlineStr">
        <is>
          <t>Financial Analysis ($MM)</t>
        </is>
      </c>
      <c r="D26" s="443" t="n"/>
      <c r="E26" s="443" t="n"/>
      <c r="F26" s="444" t="n"/>
      <c r="G26" s="442" t="n"/>
      <c r="H26" s="442" t="n"/>
      <c r="I26" s="446" t="inlineStr">
        <is>
          <t>Commentary (Please enter bridge if appropriate)</t>
        </is>
      </c>
      <c r="J26" s="420" t="n"/>
      <c r="K26" s="420" t="n"/>
      <c r="L26" s="420" t="n"/>
      <c r="M26" s="420" t="n"/>
      <c r="N26" s="421" t="n"/>
      <c r="O26" s="48" t="inlineStr">
        <is>
          <t>Section Owner:</t>
        </is>
      </c>
      <c r="P26" s="469" t="inlineStr">
        <is>
          <t>Finance</t>
        </is>
      </c>
    </row>
    <row r="27" ht="20.1" customHeight="1" s="577">
      <c r="B27" s="18">
        <f>B26+1</f>
        <v/>
      </c>
      <c r="C27" s="419" t="inlineStr">
        <is>
          <t>Hurdle Rate</t>
        </is>
      </c>
      <c r="D27" s="420" t="n"/>
      <c r="E27" s="420" t="n"/>
      <c r="F27" s="421" t="n"/>
      <c r="G27" s="484" t="n">
        <v>0.17</v>
      </c>
      <c r="H27" s="421" t="n"/>
      <c r="I27" s="428" t="n"/>
      <c r="J27" s="420" t="n"/>
      <c r="K27" s="420" t="n"/>
      <c r="L27" s="420" t="n"/>
      <c r="M27" s="420" t="n"/>
      <c r="N27" s="421" t="n"/>
      <c r="O27" s="48" t="n"/>
    </row>
    <row r="28" ht="15.75" customHeight="1" s="577">
      <c r="B28" s="18">
        <f>B27+1</f>
        <v/>
      </c>
      <c r="C28" s="419" t="inlineStr">
        <is>
          <t>5 YR NPV</t>
        </is>
      </c>
      <c r="D28" s="420" t="n"/>
      <c r="E28" s="420" t="n"/>
      <c r="F28" s="421" t="n"/>
      <c r="G28" s="589" t="n"/>
      <c r="H28" s="472" t="n"/>
      <c r="I28" s="428" t="n"/>
      <c r="J28" s="420" t="n"/>
      <c r="K28" s="420" t="n"/>
      <c r="L28" s="420" t="n"/>
      <c r="M28" s="420" t="n"/>
      <c r="N28" s="421" t="n"/>
      <c r="O28" s="48" t="n"/>
    </row>
    <row r="29" ht="15.75" customHeight="1" s="577">
      <c r="B29" s="18">
        <f>B28+1</f>
        <v/>
      </c>
      <c r="C29" s="419" t="inlineStr">
        <is>
          <t>Amount of Current SU Request included in OP SU estimate ( % / $MM )</t>
        </is>
      </c>
      <c r="D29" s="420" t="n"/>
      <c r="E29" s="420" t="n"/>
      <c r="F29" s="421" t="n"/>
      <c r="G29" s="423" t="inlineStr">
        <is>
          <t>Over 100%</t>
        </is>
      </c>
      <c r="H29" s="25" t="n">
        <v>200</v>
      </c>
      <c r="I29" s="428" t="n"/>
      <c r="J29" s="420" t="n"/>
      <c r="K29" s="420" t="n"/>
      <c r="L29" s="420" t="n"/>
      <c r="M29" s="420" t="n"/>
      <c r="N29" s="421" t="n"/>
      <c r="O29" s="48" t="n"/>
      <c r="P29" s="469" t="inlineStr">
        <is>
          <t>Doug Richardson/Scott Sawrey (Finance)</t>
        </is>
      </c>
    </row>
    <row r="30" ht="15.75" customHeight="1" s="577">
      <c r="B30" s="18">
        <f>B29+1</f>
        <v/>
      </c>
      <c r="C30" s="419" t="inlineStr">
        <is>
          <t>Amount of Total Project Cost included in OP Total Project estimate ( % / $MM )</t>
        </is>
      </c>
      <c r="D30" s="420" t="n"/>
      <c r="E30" s="420" t="n"/>
      <c r="F30" s="421" t="n"/>
      <c r="G30" s="423" t="inlineStr">
        <is>
          <t>Over 100%</t>
        </is>
      </c>
      <c r="H30" s="25" t="n">
        <v>200</v>
      </c>
      <c r="I30" s="428" t="n"/>
      <c r="J30" s="420" t="n"/>
      <c r="K30" s="420" t="n"/>
      <c r="L30" s="420" t="n"/>
      <c r="M30" s="420" t="n"/>
      <c r="N30" s="421" t="n"/>
      <c r="O30" s="48" t="n"/>
      <c r="P30" s="469" t="inlineStr">
        <is>
          <t>Doug Richardson/Scott Sawrey (Finance)</t>
        </is>
      </c>
    </row>
    <row r="31" ht="15.95" customHeight="1" s="577">
      <c r="B31" s="18">
        <f>B30+1</f>
        <v/>
      </c>
      <c r="C31" s="482" t="inlineStr">
        <is>
          <t>Real Estate Summary and  Agreement  Details</t>
        </is>
      </c>
      <c r="D31" s="471" t="n"/>
      <c r="E31" s="471" t="n"/>
      <c r="F31" s="472" t="n"/>
      <c r="G31" s="422" t="inlineStr">
        <is>
          <t>Site</t>
        </is>
      </c>
      <c r="H31" s="421" t="n"/>
      <c r="I31" s="446" t="inlineStr">
        <is>
          <t>Commentary (Please enter bridge if appropriate)</t>
        </is>
      </c>
      <c r="J31" s="420" t="n"/>
      <c r="K31" s="420" t="n"/>
      <c r="L31" s="420" t="n"/>
      <c r="M31" s="420" t="n"/>
      <c r="N31" s="421" t="n"/>
      <c r="O31" s="48" t="inlineStr">
        <is>
          <t>Section Owner:</t>
        </is>
      </c>
      <c r="P31" s="469" t="inlineStr">
        <is>
          <t>TM</t>
        </is>
      </c>
    </row>
    <row r="32" ht="15.75" customHeight="1" s="577">
      <c r="B32" s="18">
        <f>B31+1</f>
        <v/>
      </c>
      <c r="C32" s="419" t="inlineStr">
        <is>
          <t>Lease Term (Years)</t>
        </is>
      </c>
      <c r="D32" s="420" t="n"/>
      <c r="E32" s="420" t="n"/>
      <c r="F32" s="421" t="n"/>
      <c r="G32" s="423" t="n">
        <v>5</v>
      </c>
      <c r="H32" s="421" t="n"/>
      <c r="I32" s="424" t="n"/>
      <c r="J32" s="420" t="n"/>
      <c r="K32" s="420" t="n"/>
      <c r="L32" s="420" t="n"/>
      <c r="M32" s="420" t="n"/>
      <c r="N32" s="421" t="n"/>
      <c r="O32" s="48" t="n"/>
    </row>
    <row r="33" ht="15.75" customHeight="1" s="577">
      <c r="B33" s="18">
        <f>B32+1</f>
        <v/>
      </c>
      <c r="C33" s="419" t="inlineStr">
        <is>
          <t>Forecast Lease Start Date</t>
        </is>
      </c>
      <c r="D33" s="420" t="n"/>
      <c r="E33" s="420" t="n"/>
      <c r="F33" s="421" t="n"/>
      <c r="G33" s="440">
        <f>'Cash Flow'!E20</f>
        <v/>
      </c>
      <c r="H33" s="421" t="n"/>
      <c r="I33" s="424" t="n"/>
      <c r="J33" s="420" t="n"/>
      <c r="K33" s="420" t="n"/>
      <c r="L33" s="420" t="n"/>
      <c r="M33" s="420" t="n"/>
      <c r="N33" s="421" t="n"/>
      <c r="O33" s="48" t="n"/>
    </row>
    <row r="34" ht="15.75" customHeight="1" s="577">
      <c r="B34" s="18">
        <f>B33+1</f>
        <v/>
      </c>
      <c r="C34" s="419" t="inlineStr">
        <is>
          <t>Forecast Lease End Date</t>
        </is>
      </c>
      <c r="D34" s="420" t="n"/>
      <c r="E34" s="420" t="n"/>
      <c r="F34" s="421" t="n"/>
      <c r="G34" s="440" t="n">
        <v>48029</v>
      </c>
      <c r="H34" s="421" t="n"/>
      <c r="I34" s="424" t="n"/>
      <c r="J34" s="420" t="n"/>
      <c r="K34" s="420" t="n"/>
      <c r="L34" s="420" t="n"/>
      <c r="M34" s="420" t="n"/>
      <c r="N34" s="421" t="n"/>
      <c r="O34" s="48" t="n"/>
    </row>
    <row r="35" ht="15.75" customHeight="1" s="577">
      <c r="B35" s="18">
        <f>B34+1</f>
        <v/>
      </c>
      <c r="C35" s="419" t="inlineStr">
        <is>
          <t>Extension Options: # and FMV or Fixed Rate</t>
        </is>
      </c>
      <c r="D35" s="420" t="n"/>
      <c r="E35" s="420" t="n"/>
      <c r="F35" s="421" t="n"/>
      <c r="G35" s="423" t="n">
        <v>3</v>
      </c>
      <c r="H35" s="421" t="n"/>
      <c r="I35" s="424" t="inlineStr">
        <is>
          <t>3 renewals of 5 years each; Base Rent increases by 5% the 1st year of each renewal</t>
        </is>
      </c>
      <c r="J35" s="420" t="n"/>
      <c r="K35" s="420" t="n"/>
      <c r="L35" s="420" t="n"/>
      <c r="M35" s="420" t="n"/>
      <c r="N35" s="421" t="n"/>
      <c r="O35" s="48" t="n"/>
    </row>
    <row r="36" ht="15.75" customHeight="1" s="577">
      <c r="B36" s="18">
        <f>B35+1</f>
        <v/>
      </c>
      <c r="C36" s="419" t="inlineStr">
        <is>
          <t>Year 1 Base Rent PSF</t>
        </is>
      </c>
      <c r="D36" s="420" t="n"/>
      <c r="E36" s="420" t="n"/>
      <c r="F36" s="421" t="n"/>
      <c r="G36" s="459">
        <f>'Cash Flow'!I10</f>
        <v/>
      </c>
      <c r="H36" s="421" t="n"/>
      <c r="I36" s="424" t="inlineStr">
        <is>
          <t xml:space="preserve">Describe median and avg. rent comps here.  </t>
        </is>
      </c>
      <c r="J36" s="420" t="n"/>
      <c r="K36" s="420" t="n"/>
      <c r="L36" s="420" t="n"/>
      <c r="M36" s="420" t="n"/>
      <c r="N36" s="421" t="n"/>
      <c r="O36" s="48" t="n"/>
    </row>
    <row r="37" ht="15.75" customHeight="1" s="577">
      <c r="B37" s="18">
        <f>B36+1</f>
        <v/>
      </c>
      <c r="C37" s="431" t="inlineStr">
        <is>
          <t>Annual Rent Increases</t>
        </is>
      </c>
      <c r="D37" s="420" t="n"/>
      <c r="E37" s="420" t="n"/>
      <c r="F37" s="421" t="n"/>
      <c r="G37" s="473">
        <f>'Cash Flow'!E10</f>
        <v/>
      </c>
      <c r="H37" s="421" t="n"/>
      <c r="I37" s="424" t="n"/>
      <c r="J37" s="420" t="n"/>
      <c r="K37" s="420" t="n"/>
      <c r="L37" s="420" t="n"/>
      <c r="M37" s="420" t="n"/>
      <c r="N37" s="421" t="n"/>
      <c r="O37" s="48" t="n"/>
    </row>
    <row r="38" ht="15.75" customHeight="1" s="577">
      <c r="B38" s="18">
        <f>B37+1</f>
        <v/>
      </c>
      <c r="C38" s="431" t="inlineStr">
        <is>
          <t>OPEX</t>
        </is>
      </c>
      <c r="D38" s="420" t="n"/>
      <c r="E38" s="420" t="n"/>
      <c r="F38" s="421" t="n"/>
      <c r="G38" s="459">
        <f>'Cash Flow'!E11</f>
        <v/>
      </c>
      <c r="H38" s="421" t="n"/>
      <c r="I38" s="424" t="n"/>
      <c r="J38" s="420" t="n"/>
      <c r="K38" s="420" t="n"/>
      <c r="L38" s="420" t="n"/>
      <c r="M38" s="420" t="n"/>
      <c r="N38" s="421" t="n"/>
      <c r="O38" s="48" t="n"/>
    </row>
    <row r="39" ht="15.75" customHeight="1" s="577">
      <c r="B39" s="18">
        <f>B38+1</f>
        <v/>
      </c>
      <c r="C39" s="424" t="inlineStr">
        <is>
          <t>OPEX estimated annual increase</t>
        </is>
      </c>
      <c r="D39" s="420" t="n"/>
      <c r="E39" s="420" t="n"/>
      <c r="F39" s="421" t="n"/>
      <c r="G39" s="473">
        <f>'Cash Flow'!E18</f>
        <v/>
      </c>
      <c r="H39" s="421" t="n"/>
      <c r="I39" s="424" t="n"/>
      <c r="J39" s="420" t="n"/>
      <c r="K39" s="420" t="n"/>
      <c r="L39" s="420" t="n"/>
      <c r="M39" s="420" t="n"/>
      <c r="N39" s="421" t="n"/>
      <c r="O39" s="48" t="n"/>
    </row>
    <row r="40" ht="15.75" customHeight="1" s="577">
      <c r="B40" s="18">
        <f>B39+1</f>
        <v/>
      </c>
      <c r="C40" s="424" t="inlineStr">
        <is>
          <t>Year 1 Total Gross Rent PSF</t>
        </is>
      </c>
      <c r="D40" s="420" t="n"/>
      <c r="E40" s="420" t="n"/>
      <c r="F40" s="421" t="n"/>
      <c r="G40" s="459">
        <f>'Cash Flow'!P48</f>
        <v/>
      </c>
      <c r="H40" s="421" t="n"/>
      <c r="I40" s="424" t="n"/>
      <c r="J40" s="420" t="n"/>
      <c r="K40" s="420" t="n"/>
      <c r="L40" s="420" t="n"/>
      <c r="M40" s="420" t="n"/>
      <c r="N40" s="421" t="n"/>
    </row>
    <row r="41" ht="15.75" customHeight="1" s="577">
      <c r="B41" s="18">
        <f>B40+1</f>
        <v/>
      </c>
      <c r="C41" s="419" t="inlineStr">
        <is>
          <t>Tenant Improvement  Allowance ($)</t>
        </is>
      </c>
      <c r="D41" s="420" t="n"/>
      <c r="E41" s="420" t="n"/>
      <c r="F41" s="421" t="n"/>
      <c r="G41" s="459">
        <f>'Cash Flow'!G33</f>
        <v/>
      </c>
      <c r="H41" s="421" t="n"/>
      <c r="I41" s="424" t="n"/>
      <c r="J41" s="420" t="n"/>
      <c r="K41" s="420" t="n"/>
      <c r="L41" s="420" t="n"/>
      <c r="M41" s="420" t="n"/>
      <c r="N41" s="421" t="n"/>
    </row>
    <row r="42" ht="15.75" customHeight="1" s="577">
      <c r="B42" s="18">
        <f>B41+1</f>
        <v/>
      </c>
      <c r="C42" s="419" t="inlineStr">
        <is>
          <t xml:space="preserve">Rent at or below market average? </t>
        </is>
      </c>
      <c r="D42" s="420" t="n"/>
      <c r="E42" s="420" t="n"/>
      <c r="F42" s="421" t="n"/>
      <c r="G42" s="453" t="n"/>
      <c r="H42" s="421" t="n"/>
      <c r="I42" s="464" t="n"/>
      <c r="J42" s="420" t="n"/>
      <c r="K42" s="420" t="n"/>
      <c r="L42" s="420" t="n"/>
      <c r="M42" s="420" t="n"/>
      <c r="N42" s="439" t="n"/>
    </row>
    <row r="43" ht="15.95" customHeight="1" s="577">
      <c r="B43" s="18">
        <f>B42+1</f>
        <v/>
      </c>
      <c r="C43" s="419" t="inlineStr">
        <is>
          <t>Total Gross Yr 1 Annual Rent (Target below 200k)</t>
        </is>
      </c>
      <c r="D43" s="420" t="n"/>
      <c r="E43" s="420" t="n"/>
      <c r="F43" s="421" t="n"/>
      <c r="G43" s="453">
        <f>'Cash Flow'!N48</f>
        <v/>
      </c>
      <c r="H43" s="421" t="n"/>
      <c r="I43" s="464" t="n"/>
      <c r="J43" s="420" t="n"/>
      <c r="K43" s="420" t="n"/>
      <c r="L43" s="420" t="n"/>
      <c r="M43" s="420" t="n"/>
      <c r="N43" s="439" t="n"/>
    </row>
    <row r="44" ht="15.75" customHeight="1" s="577">
      <c r="A44" s="362" t="n"/>
      <c r="B44" s="18">
        <f>B43+1</f>
        <v/>
      </c>
      <c r="C44" s="419" t="inlineStr">
        <is>
          <t>Was the QC Addendum Used?</t>
        </is>
      </c>
      <c r="D44" s="420" t="n"/>
      <c r="E44" s="420" t="n"/>
      <c r="F44" s="421" t="n"/>
      <c r="G44" s="453" t="n"/>
      <c r="H44" s="421" t="n"/>
      <c r="I44" s="359" t="n"/>
      <c r="J44" s="360" t="n"/>
      <c r="K44" s="360" t="n"/>
      <c r="L44" s="360" t="n"/>
      <c r="M44" s="360" t="n"/>
      <c r="N44" s="361" t="n"/>
    </row>
    <row r="45" ht="15.95" customHeight="1" s="577">
      <c r="B45" s="18">
        <f>B44+1</f>
        <v/>
      </c>
      <c r="C45" s="435" t="inlineStr">
        <is>
          <t>Topology</t>
        </is>
      </c>
      <c r="D45" s="420" t="n"/>
      <c r="E45" s="420" t="n"/>
      <c r="F45" s="421" t="n"/>
      <c r="G45" s="422" t="inlineStr">
        <is>
          <t>Site</t>
        </is>
      </c>
      <c r="H45" s="421" t="n"/>
      <c r="I45" s="446" t="inlineStr">
        <is>
          <t>Commentary/Topology Summary (Please enter bridge if appropriate)</t>
        </is>
      </c>
      <c r="J45" s="420" t="n"/>
      <c r="K45" s="420" t="n"/>
      <c r="L45" s="420" t="n"/>
      <c r="M45" s="420" t="n"/>
      <c r="N45" s="421" t="n"/>
      <c r="O45" s="469" t="inlineStr">
        <is>
          <t>Section Owner:</t>
        </is>
      </c>
      <c r="P45" s="469" t="inlineStr">
        <is>
          <t>Topology</t>
        </is>
      </c>
    </row>
    <row r="46" ht="15.75" customHeight="1" s="577">
      <c r="B46" s="18">
        <f>B45+1</f>
        <v/>
      </c>
      <c r="C46" s="419" t="inlineStr">
        <is>
          <t>25-minute PDC - 12PM</t>
        </is>
      </c>
      <c r="D46" s="420" t="n"/>
      <c r="E46" s="420" t="n"/>
      <c r="F46" s="421" t="n"/>
      <c r="G46" s="473" t="n">
        <v>0.0023</v>
      </c>
      <c r="H46" s="421" t="n"/>
      <c r="I46" s="486" t="inlineStr">
        <is>
          <t>Selected site is 9.33  min (12pm) from the DT Clayton demand center. Gopuff serves this demand center with a slower speed 10.22 min (12pm). 
The 2026 topology plan for the St Louis metro is a 2-pin setup. See topology map tab for details</t>
        </is>
      </c>
      <c r="J46" s="443" t="n"/>
      <c r="K46" s="443" t="n"/>
      <c r="L46" s="443" t="n"/>
      <c r="M46" s="443" t="n"/>
      <c r="N46" s="448" t="n"/>
    </row>
    <row r="47" ht="15.75" customHeight="1" s="577">
      <c r="B47" s="18">
        <f>B46+1</f>
        <v/>
      </c>
      <c r="C47" s="419" t="inlineStr">
        <is>
          <t>Transit time to Ideal Centroid - 12PM</t>
        </is>
      </c>
      <c r="D47" s="420" t="n"/>
      <c r="E47" s="420" t="n"/>
      <c r="F47" s="421" t="n"/>
      <c r="G47" s="457" t="n">
        <v>9.33</v>
      </c>
      <c r="H47" s="421" t="n"/>
      <c r="I47" s="449" t="n"/>
      <c r="N47" s="450" t="n"/>
    </row>
    <row r="48" ht="15.75" customHeight="1" s="577">
      <c r="B48" s="18">
        <f>B47+1</f>
        <v/>
      </c>
      <c r="C48" s="419" t="inlineStr">
        <is>
          <t>Transit time to Ideal Centroid - 5PM</t>
        </is>
      </c>
      <c r="D48" s="420" t="n"/>
      <c r="E48" s="420" t="n"/>
      <c r="F48" s="421" t="n"/>
      <c r="G48" s="457" t="n">
        <v>9.83</v>
      </c>
      <c r="H48" s="421" t="n"/>
      <c r="I48" s="449" t="n"/>
      <c r="N48" s="450" t="n"/>
    </row>
    <row r="49" ht="15.75" customHeight="1" s="577">
      <c r="B49" s="18">
        <f>B48+1</f>
        <v/>
      </c>
      <c r="C49" s="419" t="inlineStr">
        <is>
          <t>Distance to Ideal Centroid</t>
        </is>
      </c>
      <c r="D49" s="420" t="n"/>
      <c r="E49" s="420" t="n"/>
      <c r="F49" s="421" t="n"/>
      <c r="G49" s="457" t="n">
        <v>2.56</v>
      </c>
      <c r="H49" s="421" t="n"/>
      <c r="I49" s="449" t="n"/>
      <c r="N49" s="450" t="n"/>
    </row>
    <row r="50" ht="15.75" customHeight="1" s="577">
      <c r="B50" s="18">
        <f>B49+1</f>
        <v/>
      </c>
      <c r="C50" s="435" t="inlineStr">
        <is>
          <t>Zoning/Operational Risk Assessment</t>
        </is>
      </c>
      <c r="D50" s="420" t="n"/>
      <c r="E50" s="420" t="n"/>
      <c r="F50" s="421" t="n"/>
      <c r="G50" s="446" t="inlineStr">
        <is>
          <t>Risk Rating</t>
        </is>
      </c>
      <c r="H50" s="435" t="inlineStr">
        <is>
          <t>Commentary/Summary/Bridge (Please enter bridge if red/yellow)</t>
        </is>
      </c>
      <c r="I50" s="420" t="n"/>
      <c r="J50" s="420" t="n"/>
      <c r="K50" s="420" t="n"/>
      <c r="L50" s="420" t="n"/>
      <c r="M50" s="420" t="n"/>
      <c r="N50" s="421" t="n"/>
      <c r="O50" s="469" t="inlineStr">
        <is>
          <t>Section Owner:</t>
        </is>
      </c>
      <c r="P50" s="469" t="inlineStr">
        <is>
          <t>Multiple</t>
        </is>
      </c>
    </row>
    <row r="51" ht="35.45" customHeight="1" s="577">
      <c r="B51" s="18">
        <f>B50+1</f>
        <v/>
      </c>
      <c r="C51" s="424" t="inlineStr">
        <is>
          <t>Zoning Risk Assessment</t>
        </is>
      </c>
      <c r="D51" s="420" t="n"/>
      <c r="E51" s="420" t="n"/>
      <c r="F51" s="421" t="n"/>
      <c r="G51" s="424" t="inlineStr">
        <is>
          <t>Green</t>
        </is>
      </c>
      <c r="H51" s="431" t="inlineStr">
        <is>
          <t>Warehouse and wholesaling are allowed by-right.
Retail is allowed as an accessory use to warehouse; retail is limited to 30% of the total floor area.</t>
        </is>
      </c>
      <c r="I51" s="420" t="n"/>
      <c r="J51" s="420" t="n"/>
      <c r="K51" s="420" t="n"/>
      <c r="L51" s="420" t="n"/>
      <c r="M51" s="420" t="n"/>
      <c r="N51" s="421" t="n"/>
      <c r="P51" s="469" t="inlineStr">
        <is>
          <t>Econ Dev</t>
        </is>
      </c>
    </row>
    <row r="52" ht="35.45" customHeight="1" s="577">
      <c r="B52" s="18">
        <f>B51+1</f>
        <v/>
      </c>
      <c r="C52" s="419" t="inlineStr">
        <is>
          <t>Jurisdictional Risk Assessment</t>
        </is>
      </c>
      <c r="D52" s="420" t="n"/>
      <c r="E52" s="420" t="n"/>
      <c r="F52" s="421" t="n"/>
      <c r="G52" s="424" t="inlineStr">
        <is>
          <t>Green</t>
        </is>
      </c>
      <c r="H52" s="445" t="inlineStr">
        <is>
          <t xml:space="preserve">Low-risk/Green. Zoning allows warehouse and retail (as accessory to warehouse). Project site is located in a commercial/industrial node; no adjacent residential.
</t>
        </is>
      </c>
      <c r="I52" s="420" t="n"/>
      <c r="J52" s="420" t="n"/>
      <c r="K52" s="420" t="n"/>
      <c r="L52" s="420" t="n"/>
      <c r="M52" s="420" t="n"/>
      <c r="N52" s="421" t="n"/>
      <c r="P52" s="469" t="inlineStr">
        <is>
          <t>EDP - Geographic lead</t>
        </is>
      </c>
    </row>
    <row r="53" ht="43.5" customHeight="1" s="577">
      <c r="B53" s="18">
        <f>B52+1</f>
        <v/>
      </c>
      <c r="C53" s="431" t="inlineStr">
        <is>
          <t>Ergonomic Safety Review</t>
        </is>
      </c>
      <c r="D53" s="420" t="n"/>
      <c r="E53" s="420" t="n"/>
      <c r="F53" s="421" t="n"/>
      <c r="G53" s="424" t="inlineStr">
        <is>
          <t>Yellow</t>
        </is>
      </c>
      <c r="H53" s="488" t="inlineStr">
        <is>
          <t>Medium-Low risk. Ergonomic risk dependent on implementation of tech weight filter, approved bin drawer solution, and cart selection. Global Ergonomics is working with QC team as design develops; site-specific assessments to follow.</t>
        </is>
      </c>
      <c r="I53" s="420" t="n"/>
      <c r="J53" s="420" t="n"/>
      <c r="K53" s="420" t="n"/>
      <c r="L53" s="420" t="n"/>
      <c r="M53" s="420" t="n"/>
      <c r="N53" s="439" t="n"/>
      <c r="P53" s="469" t="inlineStr">
        <is>
          <t>CAR Approval Manager</t>
        </is>
      </c>
    </row>
    <row r="54" ht="35.45" customHeight="1" s="577">
      <c r="B54" s="18">
        <f>B53+1</f>
        <v/>
      </c>
      <c r="C54" s="431" t="inlineStr">
        <is>
          <t>WHS Safety Risk (Parking, associate safety, ADA compliance etc.)</t>
        </is>
      </c>
      <c r="D54" s="420" t="n"/>
      <c r="E54" s="420" t="n"/>
      <c r="F54" s="421" t="n"/>
      <c r="G54" s="424" t="inlineStr">
        <is>
          <t>Yellow</t>
        </is>
      </c>
      <c r="H54" s="438" t="inlineStr">
        <is>
          <t>Medium risk. 
-Raised asphalt landing outside decommissioned door: Trip hazard near ADA/FLEX parking – verify solution
-IB dock door elevation mismatch: Also, confirm ramp doesn’t interfere with OB door
-IB dock door grade mismatch: 
-Conflict area adjacent to IB dock door: Add bollards, signage, and lighting to separate doors
-Stair top plywood and pipes: Replace with code-compliant treads; remove exposed pipes; add handrail (verify MO code dimensions)
-Panel protection along Northern wall: Install bollards (no specific dimensions unless code requires)
-Leadership desk and RTS cart spacing: Verify ≥36" clearance with cart in place (OSHA)
-ADA restroom required: Enlargement needed for compliance
-Fire safety: Install NFPA 13-compliant sprinkler system
-Parking and accessibility: Confirm ADA stall access path and box truck parking feasibility</t>
        </is>
      </c>
      <c r="I54" s="420" t="n"/>
      <c r="J54" s="420" t="n"/>
      <c r="K54" s="420" t="n"/>
      <c r="L54" s="420" t="n"/>
      <c r="M54" s="420" t="n"/>
      <c r="N54" s="439" t="n"/>
      <c r="P54" s="469" t="inlineStr">
        <is>
          <t>TM/CAR Approval Manager</t>
        </is>
      </c>
    </row>
    <row r="55" ht="15.75" customHeight="1" s="577">
      <c r="B55" s="18">
        <f>B54+1</f>
        <v/>
      </c>
      <c r="C55" s="419" t="inlineStr">
        <is>
          <t>WHS environmental Risk assessment</t>
        </is>
      </c>
      <c r="D55" s="420" t="n"/>
      <c r="E55" s="420" t="n"/>
      <c r="F55" s="421" t="n"/>
      <c r="G55" s="424" t="inlineStr">
        <is>
          <t>Red</t>
        </is>
      </c>
      <c r="H55" s="460" t="inlineStr">
        <is>
          <t xml:space="preserve"> High Risk- Historical above ground storage tank farm was located 275 feet from site that has known remaining contamination in the groundwater. Construction of site prior to 1958, there is a potential for hazardous building materials including asbestos to be present. Landlord should provide evidence of sampling and abatement prior to renovation.  Sub-slab soil vapor and indoor air sampling required due to known contamination</t>
        </is>
      </c>
      <c r="I55" s="420" t="n"/>
      <c r="J55" s="420" t="n"/>
      <c r="K55" s="420" t="n"/>
      <c r="L55" s="420" t="n"/>
      <c r="M55" s="420" t="n"/>
      <c r="N55" s="421" t="n"/>
      <c r="P55" s="469" t="inlineStr">
        <is>
          <t>TM</t>
        </is>
      </c>
    </row>
    <row r="56" ht="15.75" customHeight="1" s="577">
      <c r="B56" s="18">
        <f>B55+1</f>
        <v/>
      </c>
      <c r="C56" s="419" t="inlineStr">
        <is>
          <t>Permit Contingency Details</t>
        </is>
      </c>
      <c r="D56" s="420" t="n"/>
      <c r="E56" s="420" t="n"/>
      <c r="F56" s="421" t="n"/>
      <c r="G56" s="137" t="inlineStr">
        <is>
          <t>Green</t>
        </is>
      </c>
      <c r="H56" s="445" t="inlineStr">
        <is>
          <t>The lease does not have a permit contingency.  However, we anticipate having permits before the lease is signed.</t>
        </is>
      </c>
      <c r="I56" s="420" t="n"/>
      <c r="J56" s="420" t="n"/>
      <c r="K56" s="420" t="n"/>
      <c r="L56" s="420" t="n"/>
      <c r="M56" s="420" t="n"/>
      <c r="N56" s="421" t="n"/>
      <c r="P56" s="469" t="inlineStr">
        <is>
          <t>TM</t>
        </is>
      </c>
    </row>
    <row r="57" ht="15.75" customHeight="1" s="577">
      <c r="B57" s="18">
        <f>B56+1</f>
        <v/>
      </c>
      <c r="C57" s="419" t="inlineStr">
        <is>
          <t>Early Termination Right</t>
        </is>
      </c>
      <c r="D57" s="420" t="n"/>
      <c r="E57" s="420" t="n"/>
      <c r="F57" s="421" t="n"/>
      <c r="G57" s="137" t="inlineStr">
        <is>
          <t>Red</t>
        </is>
      </c>
      <c r="H57" s="445" t="inlineStr">
        <is>
          <t>Landlord declined to provide</t>
        </is>
      </c>
      <c r="I57" s="420" t="n"/>
      <c r="J57" s="420" t="n"/>
      <c r="K57" s="420" t="n"/>
      <c r="L57" s="420" t="n"/>
      <c r="M57" s="420" t="n"/>
      <c r="N57" s="421" t="n"/>
    </row>
    <row r="58" ht="15.75" customHeight="1" s="577">
      <c r="B58" s="18">
        <f>B57+1</f>
        <v/>
      </c>
      <c r="C58" s="419" t="inlineStr">
        <is>
          <t>Any LL  requirements that add Risk</t>
        </is>
      </c>
      <c r="D58" s="420" t="n"/>
      <c r="E58" s="420" t="n"/>
      <c r="F58" s="421" t="n"/>
      <c r="G58" s="424" t="inlineStr">
        <is>
          <t>Green</t>
        </is>
      </c>
      <c r="H58" s="460" t="inlineStr">
        <is>
          <t>None</t>
        </is>
      </c>
      <c r="I58" s="420" t="n"/>
      <c r="J58" s="420" t="n"/>
      <c r="K58" s="420" t="n"/>
      <c r="L58" s="420" t="n"/>
      <c r="M58" s="420" t="n"/>
      <c r="N58" s="421" t="n"/>
      <c r="P58" s="469" t="inlineStr">
        <is>
          <t>TM</t>
        </is>
      </c>
    </row>
    <row r="59" ht="15.75" customHeight="1" s="577">
      <c r="B59" s="18">
        <f>B58+1</f>
        <v/>
      </c>
      <c r="C59" s="419" t="inlineStr">
        <is>
          <t>Operational Risk Call outs?</t>
        </is>
      </c>
      <c r="D59" s="420" t="n"/>
      <c r="E59" s="420" t="n"/>
      <c r="F59" s="421" t="n"/>
      <c r="G59" s="424" t="inlineStr">
        <is>
          <t>Green</t>
        </is>
      </c>
      <c r="H59" s="460" t="inlineStr">
        <is>
          <t>None</t>
        </is>
      </c>
      <c r="I59" s="420" t="n"/>
      <c r="J59" s="420" t="n"/>
      <c r="K59" s="420" t="n"/>
      <c r="L59" s="420" t="n"/>
      <c r="M59" s="420" t="n"/>
      <c r="N59" s="421" t="n"/>
      <c r="P59" s="469" t="inlineStr">
        <is>
          <t>TM</t>
        </is>
      </c>
    </row>
    <row r="60" ht="60.75" customHeight="1" s="577">
      <c r="B60" s="18">
        <f>B59+1</f>
        <v/>
      </c>
      <c r="C60" s="419" t="inlineStr">
        <is>
          <t>Alcohol Assessment</t>
        </is>
      </c>
      <c r="D60" s="420" t="n"/>
      <c r="E60" s="420" t="n"/>
      <c r="F60" s="421" t="n"/>
      <c r="G60" s="424" t="inlineStr">
        <is>
          <t>No Restrictions</t>
        </is>
      </c>
      <c r="H60" s="463" t="inlineStr">
        <is>
          <t>1. Alcohol Type (B/W/S): B/W/S 2. Unique requirements or risks (Storefront/CUP/Restrictions/Size, etc.): None 3. Written zoning guidance requirements: None 4. Sensitive use restrictions: Must be &gt; 300 ft from a church or school. 5. Timeline: 2 months 6. Cost to purchase license: N/A</t>
        </is>
      </c>
      <c r="I60" s="420" t="n"/>
      <c r="J60" s="420" t="n"/>
      <c r="K60" s="420" t="n"/>
      <c r="L60" s="420" t="n"/>
      <c r="M60" s="420" t="n"/>
      <c r="N60" s="421" t="n"/>
      <c r="P60" s="469" t="inlineStr">
        <is>
          <t>TM with support from Legal</t>
        </is>
      </c>
    </row>
    <row r="61" ht="15.75" customHeight="1" s="577">
      <c r="B61" s="18">
        <f>B60+1</f>
        <v/>
      </c>
      <c r="C61" s="419" t="inlineStr">
        <is>
          <t>Tenant Exclusives: Restrictions on specific ASINs</t>
        </is>
      </c>
      <c r="D61" s="420" t="n"/>
      <c r="E61" s="420" t="n"/>
      <c r="F61" s="421" t="n"/>
      <c r="G61" s="137" t="n"/>
      <c r="H61" s="483" t="inlineStr">
        <is>
          <t xml:space="preserve">Provide details on exclusives, in particular, whether these exclusives are expected to impact QC operations. </t>
        </is>
      </c>
      <c r="I61" s="420" t="n"/>
      <c r="J61" s="420" t="n"/>
      <c r="K61" s="420" t="n"/>
      <c r="L61" s="420" t="n"/>
      <c r="M61" s="420" t="n"/>
      <c r="N61" s="439" t="n"/>
    </row>
    <row r="62" ht="32.45" customHeight="1" s="577">
      <c r="A62" s="474" t="n"/>
      <c r="B62" s="18">
        <f>B61+1</f>
        <v/>
      </c>
      <c r="C62" s="435" t="inlineStr">
        <is>
          <t>Preconstruction Cost and Building Condition Summary</t>
        </is>
      </c>
      <c r="D62" s="420" t="n"/>
      <c r="E62" s="420" t="n"/>
      <c r="F62" s="421" t="n"/>
      <c r="G62" s="446" t="inlineStr">
        <is>
          <t>Risk Rating/Category</t>
        </is>
      </c>
      <c r="H62" s="421" t="n"/>
      <c r="I62" s="446" t="inlineStr">
        <is>
          <t>Commentary/Summary/Bridge (Please enter bridge if red/yellow)</t>
        </is>
      </c>
      <c r="J62" s="420" t="n"/>
      <c r="K62" s="420" t="n"/>
      <c r="L62" s="420" t="n"/>
      <c r="M62" s="420" t="n"/>
      <c r="N62" s="421" t="n"/>
      <c r="O62" s="469" t="inlineStr">
        <is>
          <t>Section Owner:</t>
        </is>
      </c>
      <c r="P62" s="469" t="inlineStr">
        <is>
          <t>Precon</t>
        </is>
      </c>
    </row>
    <row r="63" ht="57" customHeight="1" s="577">
      <c r="A63" s="450" t="n"/>
      <c r="B63" s="18">
        <f>B62+1</f>
        <v/>
      </c>
      <c r="C63" s="433" t="inlineStr">
        <is>
          <t>Construction/SU CAPEX Cost</t>
        </is>
      </c>
      <c r="D63" s="421" t="n"/>
      <c r="E63" s="434">
        <f>L9</f>
        <v/>
      </c>
      <c r="F63" s="421" t="n"/>
      <c r="G63" s="433" t="inlineStr">
        <is>
          <t>Main CAPEX Driver</t>
        </is>
      </c>
      <c r="H63" s="421" t="n"/>
      <c r="I63" s="483" t="inlineStr">
        <is>
          <t>Please input main CAPEX drivers in cost estimation summary; this field always requires input</t>
        </is>
      </c>
      <c r="J63" s="420" t="n"/>
      <c r="K63" s="420" t="n"/>
      <c r="L63" s="420" t="n"/>
      <c r="M63" s="420" t="n"/>
      <c r="N63" s="439" t="n"/>
      <c r="O63" s="48" t="n"/>
      <c r="P63" s="469" t="inlineStr">
        <is>
          <t xml:space="preserve">Construction Field. </t>
        </is>
      </c>
    </row>
    <row r="64" ht="36" customHeight="1" s="577">
      <c r="A64" s="450" t="n"/>
      <c r="B64" s="18">
        <f>B63+1</f>
        <v/>
      </c>
      <c r="C64" s="441" t="inlineStr">
        <is>
          <t>Permit Risk Assessment</t>
        </is>
      </c>
      <c r="D64" s="420" t="n"/>
      <c r="E64" s="420" t="n"/>
      <c r="F64" s="421" t="n"/>
      <c r="G64" s="480" t="n"/>
      <c r="H64" s="421" t="n"/>
      <c r="I64" s="490" t="n"/>
      <c r="J64" s="420" t="n"/>
      <c r="K64" s="420" t="n"/>
      <c r="L64" s="420" t="n"/>
      <c r="M64" s="420" t="n"/>
      <c r="N64" s="439" t="n"/>
    </row>
    <row r="65" ht="48" customHeight="1" s="577">
      <c r="A65" s="450" t="n"/>
      <c r="B65" s="18">
        <f>B64+1</f>
        <v/>
      </c>
      <c r="C65" s="477" t="inlineStr">
        <is>
          <t>Bathroom; ADA Compliance</t>
        </is>
      </c>
      <c r="D65" s="420" t="n"/>
      <c r="E65" s="420" t="n"/>
      <c r="F65" s="421" t="n"/>
      <c r="G65" s="462" t="n"/>
      <c r="H65" s="421" t="n"/>
      <c r="I65" s="491" t="n"/>
      <c r="J65" s="420" t="n"/>
      <c r="K65" s="420" t="n"/>
      <c r="L65" s="420" t="n"/>
      <c r="M65" s="420" t="n"/>
      <c r="N65" s="439" t="n"/>
    </row>
    <row r="66" ht="32.1" customHeight="1" s="577">
      <c r="A66" s="450" t="n"/>
      <c r="B66" s="18">
        <f>B65+1</f>
        <v/>
      </c>
      <c r="C66" s="419" t="inlineStr">
        <is>
          <t>Existing Building Conditions Narrative</t>
        </is>
      </c>
      <c r="D66" s="420" t="n"/>
      <c r="E66" s="420" t="n"/>
      <c r="F66" s="421" t="n"/>
      <c r="G66" s="138" t="n"/>
      <c r="H66" s="138" t="n"/>
      <c r="I66" s="424" t="inlineStr">
        <is>
          <t>Summarize</t>
        </is>
      </c>
      <c r="J66" s="420" t="n"/>
      <c r="K66" s="420" t="n"/>
      <c r="L66" s="420" t="n"/>
      <c r="M66" s="420" t="n"/>
      <c r="N66" s="421" t="n"/>
    </row>
    <row r="67" ht="15.75" customHeight="1" s="577">
      <c r="A67" s="450" t="n"/>
      <c r="B67" s="18">
        <f>B66+1</f>
        <v/>
      </c>
      <c r="C67" s="437" t="inlineStr">
        <is>
          <t>Cost Estimation Basis</t>
        </is>
      </c>
      <c r="D67" s="420" t="n"/>
      <c r="E67" s="420" t="n"/>
      <c r="F67" s="421" t="n"/>
      <c r="G67" s="456" t="n"/>
      <c r="H67" s="421" t="n"/>
      <c r="I67" s="432" t="n"/>
      <c r="J67" s="420" t="n"/>
      <c r="K67" s="420" t="n"/>
      <c r="L67" s="420" t="n"/>
      <c r="M67" s="420" t="n"/>
      <c r="N67" s="421" t="n"/>
    </row>
    <row r="68" ht="15.75" customHeight="1" s="577">
      <c r="A68" s="450" t="n"/>
      <c r="B68" s="18">
        <f>B67+1</f>
        <v/>
      </c>
      <c r="C68" s="419" t="inlineStr">
        <is>
          <t>Power Assessment Narrative</t>
        </is>
      </c>
      <c r="D68" s="420" t="n"/>
      <c r="E68" s="420" t="n"/>
      <c r="F68" s="421" t="n"/>
      <c r="G68" s="441" t="n"/>
      <c r="H68" s="421" t="n"/>
      <c r="I68" s="458" t="inlineStr">
        <is>
          <t xml:space="preserve">Enter Power Assessment Narrative. </t>
        </is>
      </c>
      <c r="J68" s="420" t="n"/>
      <c r="K68" s="420" t="n"/>
      <c r="L68" s="420" t="n"/>
      <c r="M68" s="420" t="n"/>
      <c r="N68" s="421" t="n"/>
    </row>
    <row r="69" ht="15.75" customHeight="1" s="577">
      <c r="A69" s="450" t="n"/>
      <c r="B69" s="18">
        <f>B68+1</f>
        <v/>
      </c>
      <c r="C69" s="419" t="inlineStr">
        <is>
          <t>HVAC Risk Narrative</t>
        </is>
      </c>
      <c r="D69" s="420" t="n"/>
      <c r="E69" s="420" t="n"/>
      <c r="F69" s="421" t="n"/>
      <c r="G69" s="441" t="n"/>
      <c r="H69" s="421" t="n"/>
      <c r="I69" s="458" t="inlineStr">
        <is>
          <t>Please add age and condition of existing equipment</t>
        </is>
      </c>
      <c r="J69" s="420" t="n"/>
      <c r="K69" s="420" t="n"/>
      <c r="L69" s="420" t="n"/>
      <c r="M69" s="420" t="n"/>
      <c r="N69" s="421" t="n"/>
    </row>
    <row r="70" ht="15.75" customHeight="1" s="577">
      <c r="A70" s="450" t="n"/>
      <c r="B70" s="18">
        <f>B69+1</f>
        <v/>
      </c>
      <c r="C70" s="419" t="inlineStr">
        <is>
          <t>Food Safe Finishes (Flooring/Walls/Ceiling)</t>
        </is>
      </c>
      <c r="D70" s="420" t="n"/>
      <c r="E70" s="420" t="n"/>
      <c r="F70" s="421" t="n"/>
      <c r="G70" s="441" t="n"/>
      <c r="H70" s="421" t="n"/>
      <c r="I70" s="464" t="n"/>
      <c r="J70" s="420" t="n"/>
      <c r="K70" s="420" t="n"/>
      <c r="L70" s="420" t="n"/>
      <c r="M70" s="420" t="n"/>
      <c r="N70" s="439" t="n"/>
    </row>
    <row r="71" ht="15.75" customHeight="1" s="577">
      <c r="A71" s="450" t="n"/>
      <c r="B71" s="18">
        <f>B70+1</f>
        <v/>
      </c>
      <c r="C71" s="419" t="inlineStr">
        <is>
          <t>Design Stage</t>
        </is>
      </c>
      <c r="D71" s="420" t="n"/>
      <c r="E71" s="420" t="n"/>
      <c r="F71" s="421" t="n"/>
      <c r="G71" s="423" t="n"/>
      <c r="H71" s="421" t="n"/>
      <c r="I71" s="431" t="n"/>
      <c r="J71" s="420" t="n"/>
      <c r="K71" s="420" t="n"/>
      <c r="L71" s="420" t="n"/>
      <c r="M71" s="420" t="n"/>
      <c r="N71" s="421" t="n"/>
    </row>
    <row r="72" ht="15.75" customHeight="1" s="577">
      <c r="A72" s="450" t="n"/>
      <c r="B72" s="18">
        <f>B71+1</f>
        <v/>
      </c>
      <c r="C72" s="419" t="inlineStr">
        <is>
          <t>Timeline Risks</t>
        </is>
      </c>
      <c r="D72" s="420" t="n"/>
      <c r="E72" s="420" t="n"/>
      <c r="F72" s="421" t="n"/>
      <c r="G72" s="441" t="n"/>
      <c r="H72" s="421" t="n"/>
      <c r="I72" s="431" t="n"/>
      <c r="J72" s="420" t="n"/>
      <c r="K72" s="420" t="n"/>
      <c r="L72" s="420" t="n"/>
      <c r="M72" s="420" t="n"/>
      <c r="N72" s="421" t="n"/>
    </row>
    <row r="73" ht="32.1" customHeight="1" s="577">
      <c r="A73" s="450" t="n"/>
      <c r="B73" s="18">
        <f>B72+1</f>
        <v/>
      </c>
      <c r="C73" s="419" t="inlineStr">
        <is>
          <t>Budget Confidence Assessment</t>
        </is>
      </c>
      <c r="D73" s="420" t="n"/>
      <c r="E73" s="420" t="n"/>
      <c r="F73" s="421" t="n"/>
      <c r="G73" s="423" t="n"/>
      <c r="H73" s="421" t="n"/>
      <c r="I73" s="431" t="n"/>
      <c r="J73" s="420" t="n"/>
      <c r="K73" s="420" t="n"/>
      <c r="L73" s="420" t="n"/>
      <c r="M73" s="420" t="n"/>
      <c r="N73" s="421" t="n"/>
    </row>
    <row r="74" ht="32.1" customHeight="1" s="577">
      <c r="A74" s="450" t="n"/>
      <c r="B74" s="18">
        <f>B73+1</f>
        <v/>
      </c>
      <c r="C74" s="419" t="inlineStr">
        <is>
          <t>Demolition</t>
        </is>
      </c>
      <c r="D74" s="420" t="n"/>
      <c r="E74" s="420" t="n"/>
      <c r="F74" s="421" t="n"/>
      <c r="G74" s="423" t="n"/>
      <c r="H74" s="421" t="n"/>
      <c r="I74" s="464" t="n"/>
      <c r="J74" s="420" t="n"/>
      <c r="K74" s="420" t="n"/>
      <c r="L74" s="420" t="n"/>
      <c r="M74" s="420" t="n"/>
      <c r="N74" s="439" t="n"/>
    </row>
    <row r="75" ht="34.5" customHeight="1" s="577" thickBot="1">
      <c r="A75" s="450" t="n"/>
      <c r="B75" s="18">
        <f>B74+1</f>
        <v/>
      </c>
      <c r="C75" s="492" t="inlineStr">
        <is>
          <t>Potential Timeline Risks</t>
        </is>
      </c>
      <c r="D75" s="426" t="n"/>
      <c r="E75" s="426" t="n"/>
      <c r="F75" s="427" t="n"/>
      <c r="G75" s="454" t="n"/>
      <c r="H75" s="427" t="n"/>
      <c r="I75" s="425" t="inlineStr">
        <is>
          <t>Summary of any risks that could delay all or portion of launch, ex: not enough power, alcohol permits, food safety permits, etc</t>
        </is>
      </c>
      <c r="J75" s="426" t="n"/>
      <c r="K75" s="426" t="n"/>
      <c r="L75" s="426" t="n"/>
      <c r="M75" s="426" t="n"/>
      <c r="N75" s="427" t="n"/>
      <c r="O75" s="48" t="n"/>
    </row>
    <row r="76">
      <c r="G76" s="4" t="n"/>
      <c r="H76" s="2" t="n"/>
    </row>
    <row r="77">
      <c r="C77" s="3" t="n"/>
      <c r="G77" s="2" t="n"/>
    </row>
    <row r="78" ht="15.75" customHeight="1" s="577"/>
    <row r="79" ht="15.75" customHeight="1" s="577"/>
    <row r="80" ht="15.75" customHeight="1" s="577"/>
    <row r="81" ht="15.75" customHeight="1" s="577"/>
    <row r="82" ht="15.75" customHeight="1" s="577"/>
  </sheetData>
  <mergeCells count="179">
    <mergeCell ref="C52:F52"/>
    <mergeCell ref="I14:L14"/>
    <mergeCell ref="G21:H21"/>
    <mergeCell ref="C61:F61"/>
    <mergeCell ref="C39:F39"/>
    <mergeCell ref="I75:N75"/>
    <mergeCell ref="I28:N28"/>
    <mergeCell ref="N3:N4"/>
    <mergeCell ref="G71:H71"/>
    <mergeCell ref="C72:F72"/>
    <mergeCell ref="G23:H23"/>
    <mergeCell ref="C32:F32"/>
    <mergeCell ref="C37:F37"/>
    <mergeCell ref="I67:N67"/>
    <mergeCell ref="C63:D63"/>
    <mergeCell ref="E63:F63"/>
    <mergeCell ref="C62:F62"/>
    <mergeCell ref="C15:F15"/>
    <mergeCell ref="C7:E7"/>
    <mergeCell ref="C24:F24"/>
    <mergeCell ref="G18:H18"/>
    <mergeCell ref="H54:N54"/>
    <mergeCell ref="F8:J8"/>
    <mergeCell ref="I38:N38"/>
    <mergeCell ref="G34:H34"/>
    <mergeCell ref="C64:F64"/>
    <mergeCell ref="G68:H68"/>
    <mergeCell ref="C73:F73"/>
    <mergeCell ref="C26:F26"/>
    <mergeCell ref="H56:N56"/>
    <mergeCell ref="I40:N40"/>
    <mergeCell ref="C54:F54"/>
    <mergeCell ref="C41:F41"/>
    <mergeCell ref="C50:F50"/>
    <mergeCell ref="G20:H20"/>
    <mergeCell ref="C56:F56"/>
    <mergeCell ref="C43:F43"/>
    <mergeCell ref="I26:N26"/>
    <mergeCell ref="M15:N25"/>
    <mergeCell ref="G44:H44"/>
    <mergeCell ref="G75:H75"/>
    <mergeCell ref="G22:H22"/>
    <mergeCell ref="C27:F27"/>
    <mergeCell ref="C36:F36"/>
    <mergeCell ref="C17:F17"/>
    <mergeCell ref="I66:N66"/>
    <mergeCell ref="G67:H67"/>
    <mergeCell ref="C67:F67"/>
    <mergeCell ref="C19:F19"/>
    <mergeCell ref="G70:H70"/>
    <mergeCell ref="G48:H48"/>
    <mergeCell ref="C28:F28"/>
    <mergeCell ref="I68:N68"/>
    <mergeCell ref="G38:H38"/>
    <mergeCell ref="C69:F69"/>
    <mergeCell ref="C30:F30"/>
    <mergeCell ref="I39:N39"/>
    <mergeCell ref="G62:H62"/>
    <mergeCell ref="G49:H49"/>
    <mergeCell ref="I29:N29"/>
    <mergeCell ref="G24:H24"/>
    <mergeCell ref="H58:N58"/>
    <mergeCell ref="G33:H33"/>
    <mergeCell ref="G65:H65"/>
    <mergeCell ref="I31:N31"/>
    <mergeCell ref="H60:N60"/>
    <mergeCell ref="G35:H35"/>
    <mergeCell ref="C40:F40"/>
    <mergeCell ref="C14:H14"/>
    <mergeCell ref="G16:H16"/>
    <mergeCell ref="G25:H25"/>
    <mergeCell ref="I70:N70"/>
    <mergeCell ref="G9:H9"/>
    <mergeCell ref="C71:F71"/>
    <mergeCell ref="I9:J9"/>
    <mergeCell ref="K3:L3"/>
    <mergeCell ref="H57:N57"/>
    <mergeCell ref="I72:N72"/>
    <mergeCell ref="I41:N41"/>
    <mergeCell ref="C10:N10"/>
    <mergeCell ref="G42:H42"/>
    <mergeCell ref="K9:L9"/>
    <mergeCell ref="I71:N71"/>
    <mergeCell ref="M9:N9"/>
    <mergeCell ref="C3:E4"/>
    <mergeCell ref="I43:N43"/>
    <mergeCell ref="C57:F57"/>
    <mergeCell ref="C66:F66"/>
    <mergeCell ref="G39:H39"/>
    <mergeCell ref="A62:A75"/>
    <mergeCell ref="C18:F18"/>
    <mergeCell ref="C53:F53"/>
    <mergeCell ref="C2:N2"/>
    <mergeCell ref="I33:N33"/>
    <mergeCell ref="I42:N42"/>
    <mergeCell ref="C34:F34"/>
    <mergeCell ref="M3:M4"/>
    <mergeCell ref="C68:F68"/>
    <mergeCell ref="G37:H37"/>
    <mergeCell ref="G69:H69"/>
    <mergeCell ref="I35:N35"/>
    <mergeCell ref="C58:F58"/>
    <mergeCell ref="C11:N13"/>
    <mergeCell ref="C45:F45"/>
    <mergeCell ref="G15:H15"/>
    <mergeCell ref="C20:F20"/>
    <mergeCell ref="C29:F29"/>
    <mergeCell ref="H59:N59"/>
    <mergeCell ref="I69:N69"/>
    <mergeCell ref="C65:F65"/>
    <mergeCell ref="C47:F47"/>
    <mergeCell ref="I15:L25"/>
    <mergeCell ref="G64:H64"/>
    <mergeCell ref="I30:N30"/>
    <mergeCell ref="C44:F44"/>
    <mergeCell ref="H51:N51"/>
    <mergeCell ref="C6:E6"/>
    <mergeCell ref="C22:F22"/>
    <mergeCell ref="G73:H73"/>
    <mergeCell ref="C31:F31"/>
    <mergeCell ref="H61:N61"/>
    <mergeCell ref="G32:H32"/>
    <mergeCell ref="G63:H63"/>
    <mergeCell ref="G41:H41"/>
    <mergeCell ref="C46:F46"/>
    <mergeCell ref="C21:F21"/>
    <mergeCell ref="C51:F51"/>
    <mergeCell ref="C60:F60"/>
    <mergeCell ref="C70:F70"/>
    <mergeCell ref="G43:H43"/>
    <mergeCell ref="C48:F48"/>
    <mergeCell ref="C23:F23"/>
    <mergeCell ref="I32:N32"/>
    <mergeCell ref="I37:N37"/>
    <mergeCell ref="G27:H27"/>
    <mergeCell ref="C38:F38"/>
    <mergeCell ref="G36:H36"/>
    <mergeCell ref="G17:H17"/>
    <mergeCell ref="I62:N62"/>
    <mergeCell ref="I46:N49"/>
    <mergeCell ref="C49:F49"/>
    <mergeCell ref="C8:E8"/>
    <mergeCell ref="H53:N53"/>
    <mergeCell ref="G19:H19"/>
    <mergeCell ref="G28:H28"/>
    <mergeCell ref="I64:N64"/>
    <mergeCell ref="C33:F33"/>
    <mergeCell ref="C9:D9"/>
    <mergeCell ref="C42:F42"/>
    <mergeCell ref="I73:N73"/>
    <mergeCell ref="G3:H3"/>
    <mergeCell ref="G74:H74"/>
    <mergeCell ref="I3:J3"/>
    <mergeCell ref="C74:F74"/>
    <mergeCell ref="H50:N50"/>
    <mergeCell ref="H55:N55"/>
    <mergeCell ref="I63:N63"/>
    <mergeCell ref="C35:F35"/>
    <mergeCell ref="C16:F16"/>
    <mergeCell ref="G45:H45"/>
    <mergeCell ref="I65:N65"/>
    <mergeCell ref="C25:F25"/>
    <mergeCell ref="I34:N34"/>
    <mergeCell ref="I74:N74"/>
    <mergeCell ref="C55:F55"/>
    <mergeCell ref="C75:F75"/>
    <mergeCell ref="C5:E5"/>
    <mergeCell ref="G47:H47"/>
    <mergeCell ref="I27:N27"/>
    <mergeCell ref="H52:N52"/>
    <mergeCell ref="I36:N36"/>
    <mergeCell ref="M14:N14"/>
    <mergeCell ref="I45:N45"/>
    <mergeCell ref="C59:F59"/>
    <mergeCell ref="O2:O9"/>
    <mergeCell ref="G31:H31"/>
    <mergeCell ref="G46:H46"/>
    <mergeCell ref="G40:H40"/>
    <mergeCell ref="G72:H72"/>
  </mergeCells>
  <conditionalFormatting sqref="G51:G61">
    <cfRule type="cellIs" priority="29" operator="equal" dxfId="11">
      <formula>"Red"</formula>
    </cfRule>
    <cfRule type="cellIs" priority="30" operator="equal" dxfId="10">
      <formula>"Yellow"</formula>
    </cfRule>
    <cfRule type="cellIs" priority="31" operator="equal" dxfId="9">
      <formula>"Green"</formula>
    </cfRule>
  </conditionalFormatting>
  <conditionalFormatting sqref="G60">
    <cfRule type="cellIs" priority="21" operator="equal" dxfId="9">
      <formula>"No Restrictions"</formula>
    </cfRule>
    <cfRule type="cellIs" priority="22" operator="equal" dxfId="10">
      <formula>"Partial Restrictions"</formula>
    </cfRule>
    <cfRule type="cellIs" priority="23" operator="equal" dxfId="11">
      <formula>"Completely Restricted"</formula>
    </cfRule>
  </conditionalFormatting>
  <conditionalFormatting sqref="G61">
    <cfRule type="containsText" priority="14" operator="containsText" dxfId="10" text="Existing tenant exclusives with restrictions that are acceptable to Amazon">
      <formula>NOT(ISERROR(SEARCH("Existing tenant exclusives with restrictions that are acceptable to Amazon",G61)))</formula>
    </cfRule>
    <cfRule type="containsText" priority="15" operator="containsText" dxfId="9" text="No tenant exclusives">
      <formula>NOT(ISERROR(SEARCH("No tenant exclusives",G61)))</formula>
    </cfRule>
  </conditionalFormatting>
  <conditionalFormatting sqref="G25:H25">
    <cfRule type="cellIs" priority="32" operator="equal" dxfId="9">
      <formula>"No"</formula>
    </cfRule>
    <cfRule type="cellIs" priority="33" operator="equal" dxfId="10">
      <formula>"Yes"</formula>
    </cfRule>
  </conditionalFormatting>
  <conditionalFormatting sqref="G63:H74">
    <cfRule type="cellIs" priority="26" operator="equal" dxfId="10">
      <formula>"Yellow"</formula>
    </cfRule>
    <cfRule type="cellIs" priority="27" operator="equal" dxfId="9">
      <formula>"Green"</formula>
    </cfRule>
    <cfRule type="cellIs" priority="28" operator="equal" dxfId="11">
      <formula>"Red"</formula>
    </cfRule>
  </conditionalFormatting>
  <conditionalFormatting sqref="G65:H65">
    <cfRule type="containsText" priority="11" operator="containsText" dxfId="11" text="No existing restroom/extensive modifications required">
      <formula>NOT(ISERROR(SEARCH("No existing restroom/extensive modifications required",G65)))</formula>
    </cfRule>
    <cfRule type="containsText" priority="12" operator="containsText" dxfId="10" text="Existing restroom modifications required to make ADA compliant. ">
      <formula>NOT(ISERROR(SEARCH("Existing restroom modifications required to make ADA compliant. ",G65)))</formula>
    </cfRule>
    <cfRule type="containsText" priority="13" operator="containsText" dxfId="9" text="Existing ADA Restroom does not require modifications">
      <formula>NOT(ISERROR(SEARCH("Existing ADA Restroom does not require modifications",G65)))</formula>
    </cfRule>
  </conditionalFormatting>
  <conditionalFormatting sqref="G67:H67">
    <cfRule type="containsText" priority="34" operator="containsText" dxfId="11" text="High">
      <formula>NOT(ISERROR(SEARCH("High",G67)))</formula>
    </cfRule>
    <cfRule type="containsText" priority="35" operator="containsText" dxfId="10" text="Medium">
      <formula>NOT(ISERROR(SEARCH("Medium",G67)))</formula>
    </cfRule>
    <cfRule type="containsText" priority="36" operator="containsText" dxfId="9" text="Low">
      <formula>NOT(ISERROR(SEARCH("Low",G67)))</formula>
    </cfRule>
  </conditionalFormatting>
  <conditionalFormatting sqref="G68:H68">
    <cfRule type="containsText" priority="8" operator="containsText" dxfId="11" text="&lt;400A (Amp not appropriate for Orders Per Day Volume), 3 Phase. ">
      <formula>NOT(ISERROR(SEARCH("&lt;400A (Amp not appropriate for Orders Per Day Volume), 3 Phase. ",G68)))</formula>
    </cfRule>
    <cfRule type="containsText" priority="9" operator="containsText" dxfId="10" text="&gt;=400A (Or Amp appropriate for Orders Per Day Volume), 3 Phase. Modifications required">
      <formula>NOT(ISERROR(SEARCH("&gt;=400A (Or Amp appropriate for Orders Per Day Volume), 3 Phase. Modifications required",G68)))</formula>
    </cfRule>
    <cfRule type="containsText" priority="10" operator="containsText" dxfId="9" text="&gt;=400A (Or Amp appropriate for Orders Per Day Volume), 3 phase.  No panel modifications required">
      <formula>NOT(ISERROR(SEARCH("&gt;=400A (Or Amp appropriate for Orders Per Day Volume), 3 phase.  No panel modifications required",G68)))</formula>
    </cfRule>
    <cfRule type="cellIs" priority="59" operator="equal" dxfId="11">
      <formula>"Power Risk"</formula>
    </cfRule>
    <cfRule type="cellIs" priority="60" operator="equal" dxfId="9">
      <formula>"Power is adequate"</formula>
    </cfRule>
  </conditionalFormatting>
  <conditionalFormatting sqref="G68:H69 G70">
    <cfRule type="cellIs" priority="55" operator="equal" dxfId="10">
      <formula>"Requires engineering"</formula>
    </cfRule>
  </conditionalFormatting>
  <conditionalFormatting sqref="G69:H69 G70">
    <cfRule type="cellIs" priority="56" operator="equal" dxfId="11">
      <formula>"HVAC risk"</formula>
    </cfRule>
    <cfRule type="cellIs" priority="57" operator="equal" dxfId="9">
      <formula>"HVAC is adequate"</formula>
    </cfRule>
  </conditionalFormatting>
  <conditionalFormatting sqref="G69:H69">
    <cfRule type="containsText" priority="5" operator="containsText" dxfId="11" text="No HVAC provided">
      <formula>NOT(ISERROR(SEARCH("No HVAC provided",G69)))</formula>
    </cfRule>
    <cfRule type="containsText" priority="6" operator="containsText" dxfId="10" text="&lt;1 Ton per 400 sq ft">
      <formula>NOT(ISERROR(SEARCH("&lt;1 Ton per 400 sq ft",G69)))</formula>
    </cfRule>
    <cfRule type="containsText" priority="7" operator="containsText" dxfId="9" text="1 Ton available per 400 sq ft. ">
      <formula>NOT(ISERROR(SEARCH("1 Ton available per 400 sq ft. ",G69)))</formula>
    </cfRule>
  </conditionalFormatting>
  <conditionalFormatting sqref="G70:H70">
    <cfRule type="containsText" priority="2" operator="containsText" dxfId="11" text="Requires new finishes">
      <formula>NOT(ISERROR(SEARCH("Requires new finishes",G70)))</formula>
    </cfRule>
    <cfRule type="containsText" priority="3" operator="containsText" dxfId="10" text="Permeable but can be remediated with reasonable cost">
      <formula>NOT(ISERROR(SEARCH("Permeable but can be remediated with reasonable cost",G70)))</formula>
    </cfRule>
    <cfRule type="containsText" priority="4" operator="containsText" dxfId="9" text="Not permeable">
      <formula>NOT(ISERROR(SEARCH("Not permeable",G70)))</formula>
    </cfRule>
  </conditionalFormatting>
  <conditionalFormatting sqref="G71:H71">
    <cfRule type="cellIs" priority="44" operator="equal" dxfId="10">
      <formula>"Survey; Amazon Test Fit"</formula>
    </cfRule>
    <cfRule type="cellIs" priority="45" operator="equal" dxfId="11">
      <formula>"No Survey; No Drawing"</formula>
    </cfRule>
    <cfRule type="cellIs" priority="46" operator="equal" dxfId="11">
      <formula>"No Survey"</formula>
    </cfRule>
    <cfRule type="cellIs" priority="47" operator="equal" dxfId="9">
      <formula>"Construction Documents"</formula>
    </cfRule>
    <cfRule type="cellIs" priority="48" operator="equal" dxfId="9">
      <formula>"Schematic Design"</formula>
    </cfRule>
    <cfRule type="cellIs" priority="49" operator="equal" dxfId="10">
      <formula>"Amazon Test Fit"</formula>
    </cfRule>
    <cfRule type="cellIs" priority="50" operator="equal" dxfId="10">
      <formula>"Survey"</formula>
    </cfRule>
    <cfRule type="cellIs" priority="51" operator="equal" dxfId="11">
      <formula>"No drawing"</formula>
    </cfRule>
  </conditionalFormatting>
  <conditionalFormatting sqref="G72:H72">
    <cfRule type="containsText" priority="37" operator="containsText" dxfId="9" text="No known Risks">
      <formula>NOT(ISERROR(SEARCH("No known Risks",G72)))</formula>
    </cfRule>
    <cfRule type="containsText" priority="41" operator="containsText" dxfId="10" text="Leadtimes for equipment">
      <formula>NOT(ISERROR(SEARCH("Leadtimes for equipment",G72)))</formula>
    </cfRule>
    <cfRule type="containsText" priority="42" operator="containsText" dxfId="10" text="Power Upgrade Required">
      <formula>NOT(ISERROR(SEARCH("Power Upgrade Required",G72)))</formula>
    </cfRule>
    <cfRule type="containsText" priority="43" operator="containsText" dxfId="11" text="Permit Issues">
      <formula>NOT(ISERROR(SEARCH("Permit Issues",G72)))</formula>
    </cfRule>
  </conditionalFormatting>
  <conditionalFormatting sqref="G73:H73 G74">
    <cfRule type="containsText" priority="38" operator="containsText" dxfId="9" text="High">
      <formula>NOT(ISERROR(SEARCH("High",G73)))</formula>
    </cfRule>
    <cfRule type="containsText" priority="39" operator="containsText" dxfId="10" text="Medium">
      <formula>NOT(ISERROR(SEARCH("Medium",G73)))</formula>
    </cfRule>
    <cfRule type="containsText" priority="40" operator="containsText" dxfId="11" text="Low">
      <formula>NOT(ISERROR(SEARCH("Low",G73)))</formula>
    </cfRule>
  </conditionalFormatting>
  <conditionalFormatting sqref="G74:H74">
    <cfRule type="containsText" priority="1" operator="containsText" dxfId="11" text="Extensive Demolition/Patchback work">
      <formula>NOT(ISERROR(SEARCH("Extensive Demolition/Patchback work",G74)))</formula>
    </cfRule>
    <cfRule type="cellIs" priority="24" operator="equal" dxfId="10">
      <formula>"Yes"</formula>
    </cfRule>
    <cfRule type="cellIs" priority="25" operator="equal" dxfId="9">
      <formula>"No"</formula>
    </cfRule>
  </conditionalFormatting>
  <dataValidations count="1">
    <dataValidation sqref="G29:G30" showDropDown="0" showInputMessage="1" showErrorMessage="1" allowBlank="1" type="list">
      <formula1>"Under 90%,90-100%,Over 100%"</formula1>
    </dataValidation>
  </dataValidations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>
  <sheetPr>
    <tabColor theme="0" tint="-0.1499984740745262"/>
    <outlinePr summaryBelow="1" summaryRight="1"/>
    <pageSetUpPr/>
  </sheetPr>
  <dimension ref="B2:F23"/>
  <sheetViews>
    <sheetView showGridLines="0" workbookViewId="0">
      <selection activeCell="D32" sqref="D32"/>
    </sheetView>
  </sheetViews>
  <sheetFormatPr baseColWidth="8" defaultRowHeight="15"/>
  <cols>
    <col width="24.28515625" customWidth="1" style="577" min="2" max="2"/>
    <col width="37.85546875" customWidth="1" style="577" min="3" max="3"/>
    <col width="16.140625" customWidth="1" style="577" min="4" max="4"/>
    <col width="15.140625" customWidth="1" style="577" min="5" max="5"/>
    <col width="59.7109375" customWidth="1" style="577" min="6" max="6"/>
  </cols>
  <sheetData>
    <row r="2">
      <c r="B2" s="46" t="inlineStr">
        <is>
          <t>SECTION</t>
        </is>
      </c>
      <c r="C2" s="46" t="inlineStr">
        <is>
          <t>FIELD</t>
        </is>
      </c>
      <c r="D2" s="46" t="inlineStr">
        <is>
          <t>INPUT</t>
        </is>
      </c>
      <c r="E2" s="109" t="inlineStr">
        <is>
          <t>required?</t>
        </is>
      </c>
      <c r="F2" s="46" t="inlineStr">
        <is>
          <t>Notes</t>
        </is>
      </c>
    </row>
    <row r="3">
      <c r="B3" s="110" t="inlineStr">
        <is>
          <t>Site Detail</t>
        </is>
      </c>
      <c r="C3" s="110" t="inlineStr">
        <is>
          <t>Use Case (Feasibility or CAR)</t>
        </is>
      </c>
      <c r="D3" s="111" t="inlineStr">
        <is>
          <t>Feasibility</t>
        </is>
      </c>
      <c r="E3" s="112" t="inlineStr">
        <is>
          <t>Y</t>
        </is>
      </c>
      <c r="F3" s="62" t="n"/>
    </row>
    <row r="4">
      <c r="B4" s="110" t="inlineStr">
        <is>
          <t>Site Detail</t>
        </is>
      </c>
      <c r="C4" s="110" t="inlineStr">
        <is>
          <t>Site Code</t>
        </is>
      </c>
      <c r="D4" s="113">
        <f>'Site Selection Scorecard'!C1</f>
        <v/>
      </c>
      <c r="E4" s="112" t="inlineStr">
        <is>
          <t>Y</t>
        </is>
      </c>
      <c r="F4" s="114" t="n"/>
    </row>
    <row r="5">
      <c r="B5" s="110" t="inlineStr">
        <is>
          <t>Site Detail</t>
        </is>
      </c>
      <c r="C5" s="110" t="inlineStr">
        <is>
          <t>Launch Date</t>
        </is>
      </c>
      <c r="D5" s="115" t="n">
        <v>46054</v>
      </c>
      <c r="E5" s="112" t="inlineStr">
        <is>
          <t>Y</t>
        </is>
      </c>
      <c r="F5" s="116" t="inlineStr">
        <is>
          <t>for launches before Jan 2026, enter launch date 01/01/26</t>
        </is>
      </c>
    </row>
    <row r="6">
      <c r="B6" s="110" t="inlineStr">
        <is>
          <t>Capital Investment</t>
        </is>
      </c>
      <c r="C6" s="110" t="inlineStr">
        <is>
          <t>Construction Capex</t>
        </is>
      </c>
      <c r="D6" s="590">
        <f>'CAR Approval Page 0'!I7</f>
        <v/>
      </c>
      <c r="E6" s="112" t="inlineStr">
        <is>
          <t>Y</t>
        </is>
      </c>
      <c r="F6" s="62" t="n"/>
    </row>
    <row r="7">
      <c r="B7" s="110" t="inlineStr">
        <is>
          <t>Capital Investment</t>
        </is>
      </c>
      <c r="C7" s="110" t="inlineStr">
        <is>
          <t>Start Up Capex</t>
        </is>
      </c>
      <c r="D7" s="590">
        <f>'CAR Approval Page 0'!K7</f>
        <v/>
      </c>
      <c r="E7" s="112" t="n"/>
      <c r="F7" s="62" t="n"/>
    </row>
    <row r="8">
      <c r="B8" s="110" t="inlineStr">
        <is>
          <t>Capital Investment</t>
        </is>
      </c>
      <c r="C8" s="110" t="inlineStr">
        <is>
          <t>Design &amp; DD Capex</t>
        </is>
      </c>
      <c r="D8" s="590">
        <f>'CAR Approval Page 0'!F7</f>
        <v/>
      </c>
      <c r="E8" s="112" t="n"/>
      <c r="F8" s="62" t="n"/>
    </row>
    <row r="9">
      <c r="B9" s="110" t="inlineStr">
        <is>
          <t>Capital Investment</t>
        </is>
      </c>
      <c r="C9" s="110" t="inlineStr">
        <is>
          <t>Startup (OPEX Only)</t>
        </is>
      </c>
      <c r="D9" s="591">
        <f>'CAR Approval Page 0'!L7</f>
        <v/>
      </c>
      <c r="E9" s="112" t="n"/>
      <c r="F9" s="62" t="n"/>
    </row>
    <row r="10">
      <c r="B10" s="110" t="inlineStr">
        <is>
          <t>Lease Obligation &amp; Details</t>
        </is>
      </c>
      <c r="C10" s="110" t="inlineStr">
        <is>
          <t>Lease start date</t>
        </is>
      </c>
      <c r="D10" s="115">
        <f>'CAR Approval Page 0'!G33</f>
        <v/>
      </c>
      <c r="E10" s="112" t="inlineStr">
        <is>
          <t>Y</t>
        </is>
      </c>
      <c r="F10" s="119" t="n"/>
    </row>
    <row r="11">
      <c r="B11" s="110" t="inlineStr">
        <is>
          <t>Lease Obligation &amp; Details</t>
        </is>
      </c>
      <c r="C11" s="110" t="inlineStr">
        <is>
          <t>Lease end date</t>
        </is>
      </c>
      <c r="D11" s="115">
        <f>'CAR Approval Page 0'!G34</f>
        <v/>
      </c>
      <c r="E11" s="112" t="inlineStr">
        <is>
          <t>Y</t>
        </is>
      </c>
      <c r="F11" s="62" t="n"/>
    </row>
    <row r="12">
      <c r="B12" s="110" t="inlineStr">
        <is>
          <t>Lease Obligation &amp; Details</t>
        </is>
      </c>
      <c r="C12" s="110" t="inlineStr">
        <is>
          <t>Lease term (months)</t>
        </is>
      </c>
      <c r="D12" s="120">
        <f>DATEDIF(D10,D11,"m")+1</f>
        <v/>
      </c>
      <c r="E12" s="112" t="n"/>
      <c r="F12" s="121" t="inlineStr">
        <is>
          <t>formula</t>
        </is>
      </c>
    </row>
    <row r="13">
      <c r="B13" s="110" t="inlineStr">
        <is>
          <t>Lease Obligation &amp; Details</t>
        </is>
      </c>
      <c r="C13" s="110" t="inlineStr">
        <is>
          <t>TIA? (y/n)</t>
        </is>
      </c>
      <c r="D13" s="111" t="inlineStr">
        <is>
          <t>no</t>
        </is>
      </c>
      <c r="E13" s="112" t="n"/>
      <c r="F13" s="62" t="n"/>
    </row>
    <row r="14">
      <c r="B14" s="110" t="inlineStr">
        <is>
          <t>Lease Obligation &amp; Details</t>
        </is>
      </c>
      <c r="C14" s="110" t="inlineStr">
        <is>
          <t>TI (tenent improvement allowance)</t>
        </is>
      </c>
      <c r="D14" s="591">
        <f>'Site Selection Scorecard'!C3</f>
        <v/>
      </c>
      <c r="E14" s="112" t="n"/>
      <c r="F14" s="62" t="n"/>
    </row>
    <row r="15">
      <c r="B15" s="110" t="inlineStr">
        <is>
          <t>Lease Obligation &amp; Details</t>
        </is>
      </c>
      <c r="C15" s="110" t="inlineStr">
        <is>
          <t>Base rent per sqft</t>
        </is>
      </c>
      <c r="D15" s="592">
        <f>'CAR Approval Page 0'!G36</f>
        <v/>
      </c>
      <c r="E15" s="112" t="inlineStr">
        <is>
          <t>Y</t>
        </is>
      </c>
      <c r="F15" s="121" t="inlineStr">
        <is>
          <t>Guardrails only</t>
        </is>
      </c>
    </row>
    <row r="16">
      <c r="B16" s="110" t="inlineStr">
        <is>
          <t>Lease Obligation &amp; Details</t>
        </is>
      </c>
      <c r="C16" s="110" t="inlineStr">
        <is>
          <t>Annual Rent Increase</t>
        </is>
      </c>
      <c r="D16" s="123">
        <f>'CAR Approval Page 0'!G37</f>
        <v/>
      </c>
      <c r="E16" s="112" t="inlineStr">
        <is>
          <t>Y</t>
        </is>
      </c>
      <c r="F16" s="121" t="inlineStr">
        <is>
          <t>Guardrails only</t>
        </is>
      </c>
    </row>
    <row r="17">
      <c r="B17" s="110" t="inlineStr">
        <is>
          <t>Lease Obligation &amp; Details</t>
        </is>
      </c>
      <c r="C17" s="110" t="inlineStr">
        <is>
          <t>Lease opex  per sqft</t>
        </is>
      </c>
      <c r="D17" s="592">
        <f>'CAR Approval Page 0'!G38</f>
        <v/>
      </c>
      <c r="E17" s="112" t="inlineStr">
        <is>
          <t>Y</t>
        </is>
      </c>
      <c r="F17" s="121" t="inlineStr">
        <is>
          <t>Guardrails only</t>
        </is>
      </c>
    </row>
    <row r="18">
      <c r="B18" s="110" t="inlineStr">
        <is>
          <t>Lease Obligation &amp; Details</t>
        </is>
      </c>
      <c r="C18" s="110" t="inlineStr">
        <is>
          <t>Annual est Opex Increase</t>
        </is>
      </c>
      <c r="D18" s="123">
        <f>'CAR Approval Page 0'!G39</f>
        <v/>
      </c>
      <c r="E18" s="112" t="inlineStr">
        <is>
          <t>Y</t>
        </is>
      </c>
      <c r="F18" s="121" t="inlineStr">
        <is>
          <t>Guardrails only</t>
        </is>
      </c>
    </row>
    <row r="19">
      <c r="B19" s="110" t="inlineStr">
        <is>
          <t>Lease Obligation &amp; Details</t>
        </is>
      </c>
      <c r="C19" s="110" t="inlineStr">
        <is>
          <t>Total building sqft</t>
        </is>
      </c>
      <c r="D19" s="124">
        <f>'CAR Approval Page 0'!G40</f>
        <v/>
      </c>
      <c r="E19" s="112" t="inlineStr">
        <is>
          <t>Y</t>
        </is>
      </c>
      <c r="F19" s="62" t="n"/>
    </row>
    <row r="20">
      <c r="B20" s="110" t="inlineStr">
        <is>
          <t>Topology</t>
        </is>
      </c>
      <c r="C20" s="110" t="inlineStr">
        <is>
          <t>mechanical capacity (orders per day)</t>
        </is>
      </c>
      <c r="D20" s="113">
        <f>'Site Selection Scorecard'!E10</f>
        <v/>
      </c>
      <c r="E20" s="112" t="inlineStr">
        <is>
          <t>Y</t>
        </is>
      </c>
      <c r="F20" s="116" t="n"/>
    </row>
    <row r="21">
      <c r="B21" s="110" t="inlineStr">
        <is>
          <t>Topology</t>
        </is>
      </c>
      <c r="C21" s="110" t="inlineStr">
        <is>
          <t>20-minute PDC - 12pm</t>
        </is>
      </c>
      <c r="D21" s="593">
        <f>'Site Selection Scorecard'!E8</f>
        <v/>
      </c>
      <c r="E21" s="112" t="inlineStr">
        <is>
          <t>Y</t>
        </is>
      </c>
      <c r="F21" s="62" t="n"/>
    </row>
    <row r="22">
      <c r="B22" s="110" t="inlineStr">
        <is>
          <t>Alcohol</t>
        </is>
      </c>
      <c r="C22" s="110" t="inlineStr">
        <is>
          <t>Alcohol? (y/n)</t>
        </is>
      </c>
      <c r="D22" s="111" t="inlineStr">
        <is>
          <t>no</t>
        </is>
      </c>
      <c r="E22" s="112" t="inlineStr">
        <is>
          <t>Y</t>
        </is>
      </c>
      <c r="F22" s="62" t="n"/>
    </row>
    <row r="23">
      <c r="B23" s="110" t="inlineStr">
        <is>
          <t>Alcohol</t>
        </is>
      </c>
      <c r="C23" s="110" t="inlineStr">
        <is>
          <t>Alcohol launch date</t>
        </is>
      </c>
      <c r="D23" s="115" t="n"/>
      <c r="E23" s="112" t="n"/>
      <c r="F23" s="121" t="inlineStr">
        <is>
          <t>first date of alcohol availability</t>
        </is>
      </c>
    </row>
  </sheetData>
  <dataValidations count="2">
    <dataValidation sqref="D3" showDropDown="0" showInputMessage="1" showErrorMessage="1" allowBlank="1" type="list">
      <formula1>$S$5:$S$6</formula1>
    </dataValidation>
    <dataValidation sqref="D13 D22" showDropDown="0" showInputMessage="1" showErrorMessage="1" allowBlank="1" type="list">
      <formula1>$Q$5:$Q$6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tabColor theme="5" tint="0.7999816888943144"/>
    <outlinePr summaryBelow="1" summaryRight="1"/>
    <pageSetUpPr/>
  </sheetPr>
  <dimension ref="W1:W3"/>
  <sheetViews>
    <sheetView showGridLines="0" topLeftCell="AI1" workbookViewId="0">
      <selection activeCell="W21" sqref="W21"/>
    </sheetView>
  </sheetViews>
  <sheetFormatPr baseColWidth="8" defaultRowHeight="15"/>
  <sheetData>
    <row r="1" ht="15" customHeight="1" s="577">
      <c r="W1" t="inlineStr">
        <is>
          <t>Black Triangle: Selected Sites</t>
        </is>
      </c>
    </row>
    <row r="2" ht="15" customHeight="1" s="577">
      <c r="W2" t="inlineStr">
        <is>
          <t>Green Triangle: Ideal Pin</t>
        </is>
      </c>
    </row>
    <row r="3" ht="15" customHeight="1" s="577">
      <c r="W3" t="inlineStr">
        <is>
          <t>Purple Cross: Gopuff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9"/>
  <sheetViews>
    <sheetView showGridLines="0" topLeftCell="A2" zoomScaleNormal="100" workbookViewId="0">
      <selection activeCell="F42" sqref="F42"/>
    </sheetView>
  </sheetViews>
  <sheetFormatPr baseColWidth="8" defaultRowHeight="15"/>
  <cols>
    <col width="24.7109375" customWidth="1" style="577" min="1" max="9"/>
    <col width="28.5703125" customWidth="1" style="577" min="10" max="10"/>
    <col width="23.7109375" customWidth="1" style="577" min="11" max="11"/>
    <col width="17.5703125" customWidth="1" style="577" min="12" max="12"/>
  </cols>
  <sheetData>
    <row r="1">
      <c r="A1" s="503" t="inlineStr">
        <is>
          <t>Page 0 Dropdowns</t>
        </is>
      </c>
      <c r="B1" s="420" t="n"/>
      <c r="C1" s="420" t="n"/>
      <c r="D1" s="420" t="n"/>
      <c r="E1" s="420" t="n"/>
      <c r="F1" s="420" t="n"/>
      <c r="G1" s="420" t="n"/>
      <c r="H1" s="420" t="n"/>
      <c r="I1" s="420" t="n"/>
      <c r="J1" s="421" t="n"/>
    </row>
    <row r="2">
      <c r="A2" s="46" t="inlineStr">
        <is>
          <t>General</t>
        </is>
      </c>
      <c r="B2" s="46" t="inlineStr">
        <is>
          <t>General</t>
        </is>
      </c>
      <c r="C2" s="46" t="inlineStr">
        <is>
          <t>General</t>
        </is>
      </c>
      <c r="D2" s="46" t="inlineStr">
        <is>
          <t>General</t>
        </is>
      </c>
      <c r="E2" s="46" t="inlineStr">
        <is>
          <t>Precon</t>
        </is>
      </c>
      <c r="F2" s="46" t="inlineStr">
        <is>
          <t>Precon</t>
        </is>
      </c>
      <c r="G2" s="46" t="inlineStr">
        <is>
          <t>Precon</t>
        </is>
      </c>
      <c r="H2" s="46" t="inlineStr">
        <is>
          <t>Precon</t>
        </is>
      </c>
      <c r="I2" s="46" t="inlineStr">
        <is>
          <t>Precon</t>
        </is>
      </c>
      <c r="J2" s="46" t="inlineStr">
        <is>
          <t>Precon</t>
        </is>
      </c>
    </row>
    <row r="3" ht="14.45" customHeight="1" s="577">
      <c r="A3" s="47" t="inlineStr">
        <is>
          <t>Launch Type</t>
        </is>
      </c>
      <c r="B3" s="47" t="inlineStr">
        <is>
          <t>Transaction Type</t>
        </is>
      </c>
      <c r="C3" s="47" t="inlineStr">
        <is>
          <t>Y/N Dropdown</t>
        </is>
      </c>
      <c r="D3" s="47" t="inlineStr">
        <is>
          <t>G/Y/R</t>
        </is>
      </c>
      <c r="E3" s="47" t="inlineStr">
        <is>
          <t>Cost Estimation Basis</t>
        </is>
      </c>
      <c r="F3" s="47" t="inlineStr">
        <is>
          <t>Power Assessment</t>
        </is>
      </c>
      <c r="G3" s="47" t="inlineStr">
        <is>
          <t>HVAC Assessment</t>
        </is>
      </c>
      <c r="H3" s="47" t="inlineStr">
        <is>
          <t>Design Stage</t>
        </is>
      </c>
      <c r="I3" s="47" t="inlineStr">
        <is>
          <t>Timeline Risks</t>
        </is>
      </c>
      <c r="J3" s="47" t="inlineStr">
        <is>
          <t>Budget Confidence Assessment</t>
        </is>
      </c>
    </row>
    <row r="4" ht="14.45" customHeight="1" s="577">
      <c r="A4" s="22" t="inlineStr">
        <is>
          <t>New Launch</t>
        </is>
      </c>
      <c r="B4" s="22" t="inlineStr">
        <is>
          <t>Lease</t>
        </is>
      </c>
      <c r="C4" s="22" t="inlineStr">
        <is>
          <t>Yes</t>
        </is>
      </c>
      <c r="D4" s="43" t="inlineStr">
        <is>
          <t>Green</t>
        </is>
      </c>
      <c r="E4" s="44" t="inlineStr">
        <is>
          <t>Precon ROM</t>
        </is>
      </c>
      <c r="F4" s="43" t="inlineStr">
        <is>
          <t>Power is adequate</t>
        </is>
      </c>
      <c r="G4" s="133" t="inlineStr">
        <is>
          <t xml:space="preserve">1 Ton available per 400 sq ft. </t>
        </is>
      </c>
      <c r="H4" s="45" t="inlineStr">
        <is>
          <t>No drawing</t>
        </is>
      </c>
      <c r="I4" s="45" t="inlineStr">
        <is>
          <t>Permit Issues</t>
        </is>
      </c>
      <c r="J4" s="43" t="inlineStr">
        <is>
          <t>P2 Estimate - Final GMP</t>
        </is>
      </c>
    </row>
    <row r="5" ht="14.45" customHeight="1" s="577">
      <c r="A5" s="22" t="inlineStr">
        <is>
          <t>Retrofit</t>
        </is>
      </c>
      <c r="B5" s="22" t="inlineStr">
        <is>
          <t>Own</t>
        </is>
      </c>
      <c r="C5" s="22" t="inlineStr">
        <is>
          <t>No</t>
        </is>
      </c>
      <c r="D5" s="44" t="inlineStr">
        <is>
          <t>Yellow</t>
        </is>
      </c>
      <c r="E5" s="43" t="inlineStr">
        <is>
          <t>GC Validated</t>
        </is>
      </c>
      <c r="F5" s="45" t="inlineStr">
        <is>
          <t>Power Risk</t>
        </is>
      </c>
      <c r="G5" s="133" t="inlineStr">
        <is>
          <t>&lt;1 Ton per 400 sq ft</t>
        </is>
      </c>
      <c r="H5" s="44" t="inlineStr">
        <is>
          <t>Survey</t>
        </is>
      </c>
      <c r="I5" s="44" t="inlineStr">
        <is>
          <t>Power Upgrade Required</t>
        </is>
      </c>
      <c r="J5" s="44" t="inlineStr">
        <is>
          <t>P1 Estimate - CBRE Vendor ROM</t>
        </is>
      </c>
    </row>
    <row r="6" ht="14.45" customHeight="1" s="577">
      <c r="A6" s="22" t="inlineStr">
        <is>
          <t>Expansion</t>
        </is>
      </c>
      <c r="B6" s="22" t="inlineStr">
        <is>
          <t>3P</t>
        </is>
      </c>
      <c r="C6" s="22" t="n"/>
      <c r="D6" s="45" t="inlineStr">
        <is>
          <t>Red</t>
        </is>
      </c>
      <c r="E6" s="43" t="inlineStr">
        <is>
          <t>GC Budget</t>
        </is>
      </c>
      <c r="F6" s="44" t="inlineStr">
        <is>
          <t>Requires engineering</t>
        </is>
      </c>
      <c r="G6" s="133" t="inlineStr">
        <is>
          <t>No HVAC provided</t>
        </is>
      </c>
      <c r="H6" s="44" t="inlineStr">
        <is>
          <t>Amazon Test Fit</t>
        </is>
      </c>
      <c r="I6" s="44" t="inlineStr">
        <is>
          <t>Leadtimes for equipment</t>
        </is>
      </c>
      <c r="J6" s="45" t="inlineStr">
        <is>
          <t>P0 Estimate - Site Selection Checklist</t>
        </is>
      </c>
    </row>
    <row r="7">
      <c r="A7" s="22" t="inlineStr">
        <is>
          <t>Initiative</t>
        </is>
      </c>
      <c r="B7" s="22" t="n"/>
      <c r="C7" s="22" t="n"/>
      <c r="D7" s="22" t="n"/>
      <c r="E7" s="45" t="inlineStr">
        <is>
          <t>PC Rom + no drawing</t>
        </is>
      </c>
      <c r="F7" s="22" t="n"/>
      <c r="G7" s="22" t="n"/>
      <c r="H7" s="43" t="inlineStr">
        <is>
          <t>Schematic Design</t>
        </is>
      </c>
      <c r="I7" s="43" t="inlineStr">
        <is>
          <t>No known Risks</t>
        </is>
      </c>
      <c r="J7" s="22" t="n"/>
    </row>
    <row r="8">
      <c r="A8" s="22" t="inlineStr">
        <is>
          <t>Lease Renewal</t>
        </is>
      </c>
      <c r="B8" s="22" t="n"/>
      <c r="C8" s="22" t="n"/>
      <c r="D8" s="22" t="n"/>
      <c r="E8" s="22" t="n"/>
      <c r="F8" s="22" t="n"/>
      <c r="G8" s="22" t="n"/>
      <c r="H8" s="43" t="inlineStr">
        <is>
          <t>Construction Documents</t>
        </is>
      </c>
      <c r="I8" s="22" t="inlineStr">
        <is>
          <t>Other/Please Define</t>
        </is>
      </c>
      <c r="J8" s="22" t="n"/>
    </row>
    <row r="9">
      <c r="A9" s="22" t="n"/>
      <c r="B9" s="22" t="n"/>
      <c r="C9" s="22" t="n"/>
      <c r="D9" s="22" t="n"/>
      <c r="E9" s="22" t="n"/>
      <c r="F9" s="22" t="n"/>
      <c r="G9" s="22" t="n"/>
      <c r="H9" s="45" t="inlineStr">
        <is>
          <t>No Survey</t>
        </is>
      </c>
      <c r="I9" s="22" t="n"/>
      <c r="J9" s="22" t="n"/>
    </row>
    <row r="10">
      <c r="A10" s="22" t="n"/>
      <c r="B10" s="22" t="n"/>
      <c r="C10" s="22" t="n"/>
      <c r="D10" s="22" t="n"/>
      <c r="E10" s="22" t="n"/>
      <c r="F10" s="22" t="n"/>
      <c r="G10" s="22" t="n"/>
      <c r="H10" s="45" t="inlineStr">
        <is>
          <t>No Survey; No Drawing</t>
        </is>
      </c>
      <c r="I10" s="22" t="n"/>
      <c r="J10" s="22" t="n"/>
    </row>
    <row r="11">
      <c r="A11" s="22" t="n"/>
      <c r="B11" s="22" t="n"/>
      <c r="C11" s="22" t="n"/>
      <c r="D11" s="22" t="n"/>
      <c r="E11" s="22" t="n"/>
      <c r="F11" s="22" t="n"/>
      <c r="G11" s="22" t="n"/>
      <c r="H11" s="44" t="inlineStr">
        <is>
          <t>Survey; Amazon Test Fit</t>
        </is>
      </c>
      <c r="I11" s="22" t="n"/>
      <c r="J11" s="22" t="n"/>
    </row>
    <row r="12">
      <c r="A12" s="22" t="n"/>
      <c r="B12" s="22" t="n"/>
      <c r="C12" s="22" t="n"/>
      <c r="D12" s="22" t="n"/>
      <c r="E12" s="22" t="n"/>
      <c r="F12" s="22" t="n"/>
      <c r="G12" s="22" t="n"/>
      <c r="H12" s="22" t="n"/>
      <c r="I12" s="22" t="n"/>
      <c r="J12" s="22" t="n"/>
    </row>
    <row r="13">
      <c r="A13" s="22" t="n"/>
      <c r="B13" s="22" t="n"/>
      <c r="C13" s="22" t="n"/>
      <c r="D13" s="22" t="n"/>
      <c r="E13" s="22" t="n"/>
      <c r="F13" s="22" t="n"/>
      <c r="G13" s="22" t="n"/>
      <c r="H13" s="22" t="n"/>
      <c r="I13" s="22" t="n"/>
      <c r="J13" s="22" t="n"/>
    </row>
    <row r="14">
      <c r="A14" s="22" t="n"/>
      <c r="B14" s="22" t="n"/>
      <c r="C14" s="22" t="n"/>
      <c r="D14" s="22" t="n"/>
      <c r="E14" s="22" t="n"/>
      <c r="F14" s="22" t="n"/>
      <c r="G14" s="22" t="n"/>
      <c r="H14" s="22" t="n"/>
      <c r="I14" s="22" t="n"/>
      <c r="J14" s="22" t="n"/>
    </row>
    <row r="15">
      <c r="A15" s="22" t="n"/>
      <c r="B15" s="22" t="n"/>
      <c r="C15" s="22" t="n"/>
      <c r="D15" s="22" t="n"/>
      <c r="E15" s="22" t="n"/>
      <c r="F15" s="22" t="n"/>
      <c r="G15" s="22" t="n"/>
      <c r="H15" s="22" t="n"/>
      <c r="I15" s="22" t="n"/>
      <c r="J15" s="22" t="n"/>
    </row>
    <row r="16">
      <c r="A16" s="22" t="n"/>
      <c r="B16" s="22" t="n"/>
      <c r="C16" s="22" t="n"/>
      <c r="D16" s="22" t="n"/>
      <c r="E16" s="22" t="n"/>
      <c r="F16" s="22" t="n"/>
      <c r="G16" s="22" t="n"/>
      <c r="H16" s="22" t="n"/>
      <c r="I16" s="22" t="n"/>
      <c r="J16" s="22" t="n"/>
    </row>
    <row r="17">
      <c r="A17" s="22" t="n"/>
      <c r="B17" s="22" t="n"/>
      <c r="C17" s="22" t="n"/>
      <c r="D17" s="22" t="n"/>
      <c r="E17" s="22" t="n"/>
      <c r="F17" s="22" t="n"/>
      <c r="G17" s="22" t="n"/>
      <c r="H17" s="22" t="n"/>
      <c r="I17" s="22" t="n"/>
      <c r="J17" s="22" t="n"/>
    </row>
    <row r="18">
      <c r="A18" s="22" t="n"/>
      <c r="B18" s="22" t="n"/>
      <c r="C18" s="22" t="n"/>
      <c r="D18" s="22" t="n"/>
      <c r="E18" s="22" t="n"/>
      <c r="F18" s="22" t="n"/>
      <c r="G18" s="22" t="n"/>
      <c r="H18" s="22" t="n"/>
      <c r="I18" s="22" t="n"/>
      <c r="J18" s="22" t="n"/>
    </row>
    <row r="19">
      <c r="A19" s="22" t="n"/>
      <c r="B19" s="22" t="n"/>
      <c r="C19" s="22" t="n"/>
      <c r="D19" s="22" t="n"/>
      <c r="E19" s="22" t="n"/>
      <c r="F19" s="22" t="n"/>
      <c r="G19" s="22" t="n"/>
      <c r="H19" s="22" t="n"/>
      <c r="I19" s="22" t="n"/>
      <c r="J19" s="22" t="n"/>
    </row>
    <row r="24">
      <c r="A24" s="503" t="inlineStr">
        <is>
          <t>Scorecard Dropdowns</t>
        </is>
      </c>
      <c r="B24" s="420" t="n"/>
      <c r="C24" s="420" t="n"/>
      <c r="D24" s="420" t="n"/>
      <c r="E24" s="420" t="n"/>
      <c r="F24" s="420" t="n"/>
      <c r="G24" s="420" t="n"/>
      <c r="H24" s="421" t="n"/>
      <c r="I24" s="92" t="n"/>
      <c r="J24" s="93" t="n"/>
      <c r="K24" s="93" t="n"/>
      <c r="L24" s="93" t="n"/>
    </row>
    <row r="25">
      <c r="A25" s="47" t="inlineStr">
        <is>
          <t xml:space="preserve">Rent </t>
        </is>
      </c>
      <c r="B25" s="47" t="inlineStr">
        <is>
          <t>Bathroom</t>
        </is>
      </c>
      <c r="C25" s="47" t="inlineStr">
        <is>
          <t>Power</t>
        </is>
      </c>
      <c r="D25" s="47" t="inlineStr">
        <is>
          <t>HVAC</t>
        </is>
      </c>
      <c r="E25" s="47" t="inlineStr">
        <is>
          <t>Flooring</t>
        </is>
      </c>
      <c r="F25" s="47" t="inlineStr">
        <is>
          <t>Zoning Risk</t>
        </is>
      </c>
      <c r="G25" s="47" t="inlineStr">
        <is>
          <t>Environmental Risk</t>
        </is>
      </c>
      <c r="H25" s="47" t="inlineStr">
        <is>
          <t>Safety Risk</t>
        </is>
      </c>
      <c r="I25" s="47" t="inlineStr">
        <is>
          <t>Restrictions on specific ASINS</t>
        </is>
      </c>
      <c r="J25" s="91" t="inlineStr">
        <is>
          <t>GSRA Risk Scoring</t>
        </is>
      </c>
      <c r="K25" s="91" t="inlineStr">
        <is>
          <t>Alcohol Restrictions</t>
        </is>
      </c>
      <c r="L25" s="91" t="inlineStr">
        <is>
          <t>Demolition</t>
        </is>
      </c>
    </row>
    <row r="26" ht="57.95" customHeight="1" s="577">
      <c r="A26" s="23" t="inlineStr">
        <is>
          <t>Yes</t>
        </is>
      </c>
      <c r="B26" s="134" t="inlineStr">
        <is>
          <t>Existing ADA Restroom does not require modifications</t>
        </is>
      </c>
      <c r="C26" s="133" t="inlineStr">
        <is>
          <t>&gt;=400A (Or Amp appropriate for Orders Per Day Volume), 3 phase.  No panel modifications required</t>
        </is>
      </c>
      <c r="D26" s="23" t="inlineStr">
        <is>
          <t xml:space="preserve">Adequate; 10 tons per 5k sq feet </t>
        </is>
      </c>
      <c r="E26" s="133" t="inlineStr">
        <is>
          <t>Not permeable</t>
        </is>
      </c>
      <c r="F26" s="79" t="inlineStr">
        <is>
          <t>Zoning Permits</t>
        </is>
      </c>
      <c r="G26" s="23" t="inlineStr">
        <is>
          <t>Low Risk (no known/potential life safety issues)</t>
        </is>
      </c>
      <c r="H26" s="23" t="inlineStr">
        <is>
          <t>Meets safety requirements</t>
        </is>
      </c>
      <c r="I26" s="23" t="inlineStr">
        <is>
          <t>No tenant exclusives</t>
        </is>
      </c>
      <c r="J26" s="94" t="inlineStr">
        <is>
          <t>Critical</t>
        </is>
      </c>
      <c r="K26" s="106" t="inlineStr">
        <is>
          <t>No Restrictions</t>
        </is>
      </c>
      <c r="L26" s="133" t="inlineStr">
        <is>
          <t>No</t>
        </is>
      </c>
    </row>
    <row r="27" ht="57.95" customHeight="1" s="577">
      <c r="A27" s="23" t="inlineStr">
        <is>
          <t>No</t>
        </is>
      </c>
      <c r="B27" s="135" t="inlineStr">
        <is>
          <t xml:space="preserve">Existing restroom modifications required to make ADA compliant. </t>
        </is>
      </c>
      <c r="C27" s="133" t="inlineStr">
        <is>
          <t>&gt;=400A (Or Amp appropriate for Orders Per Day Volume), 3 Phase. Modifications required</t>
        </is>
      </c>
      <c r="D27" s="78" t="inlineStr">
        <is>
          <t>Not adequate but can be remediated with reasonable cost</t>
        </is>
      </c>
      <c r="E27" s="133" t="inlineStr">
        <is>
          <t>Permeable but can be remediated with reasonable cost</t>
        </is>
      </c>
      <c r="F27" s="79" t="inlineStr">
        <is>
          <t>Likely Permits QC Use</t>
        </is>
      </c>
      <c r="G27" s="23" t="inlineStr">
        <is>
          <t>Medium Risk (potential life safety / health risk)</t>
        </is>
      </c>
      <c r="H27" s="23" t="inlineStr">
        <is>
          <t>Does not meet safety requirements but can be brought into compliance with reasonable cost</t>
        </is>
      </c>
      <c r="I27" s="23" t="inlineStr">
        <is>
          <t>Existing tenant exclusives with restrictions that are acceptable to Amazon</t>
        </is>
      </c>
      <c r="J27" s="94" t="inlineStr">
        <is>
          <t>Very High</t>
        </is>
      </c>
      <c r="K27" s="107" t="inlineStr">
        <is>
          <t>Partial Restrictions</t>
        </is>
      </c>
      <c r="L27" s="133" t="inlineStr">
        <is>
          <t>Yes</t>
        </is>
      </c>
    </row>
    <row r="28" ht="43.5" customHeight="1" s="577">
      <c r="A28" s="23" t="n"/>
      <c r="B28" s="136" t="inlineStr">
        <is>
          <t>No existing restroom/extensive modifications required</t>
        </is>
      </c>
      <c r="C28" s="133" t="inlineStr">
        <is>
          <t xml:space="preserve">&lt;400A (Amp not appropriate for Orders Per Day Volume), 3 Phase. </t>
        </is>
      </c>
      <c r="D28" s="23" t="n"/>
      <c r="E28" s="133" t="inlineStr">
        <is>
          <t>Requires new finishes</t>
        </is>
      </c>
      <c r="F28" s="79" t="inlineStr">
        <is>
          <t>QC use permitted with Modifications.</t>
        </is>
      </c>
      <c r="G28" s="23" t="n"/>
      <c r="H28" s="23" t="n"/>
      <c r="I28" s="23" t="n"/>
      <c r="J28" s="45" t="inlineStr">
        <is>
          <t>High</t>
        </is>
      </c>
      <c r="K28" s="45" t="inlineStr">
        <is>
          <t>Completely Restricted</t>
        </is>
      </c>
      <c r="L28" s="133" t="inlineStr">
        <is>
          <t>Extensive Demolition/Patchback work</t>
        </is>
      </c>
    </row>
    <row r="29">
      <c r="A29" s="23" t="n"/>
      <c r="B29" s="23" t="n"/>
      <c r="C29" s="62" t="n"/>
      <c r="D29" s="23" t="n"/>
      <c r="E29" s="23" t="n"/>
      <c r="F29" s="23" t="n"/>
      <c r="G29" s="23" t="n"/>
      <c r="H29" s="23" t="n"/>
      <c r="I29" s="23" t="n"/>
      <c r="J29" s="44" t="inlineStr">
        <is>
          <t>Moderate</t>
        </is>
      </c>
      <c r="K29" s="22" t="n"/>
      <c r="L29" s="22" t="n"/>
    </row>
    <row r="30">
      <c r="A30" s="23" t="n"/>
      <c r="B30" s="23" t="n"/>
      <c r="C30" s="62" t="n"/>
      <c r="D30" s="23" t="n"/>
      <c r="E30" s="23" t="n"/>
      <c r="F30" s="23" t="n"/>
      <c r="G30" s="23" t="n"/>
      <c r="H30" s="23" t="n"/>
      <c r="I30" s="23" t="n"/>
      <c r="J30" s="43" t="inlineStr">
        <is>
          <t>Low</t>
        </is>
      </c>
      <c r="K30" s="22" t="n"/>
      <c r="L30" s="22" t="n"/>
    </row>
    <row r="31">
      <c r="A31" s="23" t="n"/>
      <c r="B31" s="23" t="n"/>
      <c r="C31" s="62" t="n"/>
      <c r="D31" s="23" t="n"/>
      <c r="E31" s="23" t="n"/>
      <c r="F31" s="23" t="n"/>
      <c r="G31" s="23" t="n"/>
      <c r="H31" s="23" t="n"/>
      <c r="I31" s="23" t="n"/>
      <c r="J31" s="22" t="n"/>
      <c r="K31" s="22" t="n"/>
      <c r="L31" s="22" t="n"/>
    </row>
    <row r="32">
      <c r="A32" s="23" t="n"/>
      <c r="B32" s="23" t="n"/>
      <c r="C32" s="62" t="n"/>
      <c r="D32" s="23" t="n"/>
      <c r="E32" s="23" t="n"/>
      <c r="F32" s="23" t="n"/>
      <c r="G32" s="23" t="n"/>
      <c r="H32" s="23" t="n"/>
      <c r="I32" s="23" t="n"/>
      <c r="J32" s="22" t="n"/>
      <c r="K32" s="22" t="n"/>
      <c r="L32" s="22" t="n"/>
    </row>
    <row r="35">
      <c r="A35" s="503" t="inlineStr">
        <is>
          <t>ROM Dropdown</t>
        </is>
      </c>
      <c r="B35" s="420" t="n"/>
      <c r="C35" s="421" t="n"/>
    </row>
    <row r="36">
      <c r="A36" s="22" t="inlineStr">
        <is>
          <t>Y/N</t>
        </is>
      </c>
      <c r="B36" s="22" t="inlineStr">
        <is>
          <t>Team</t>
        </is>
      </c>
      <c r="C36" s="22" t="inlineStr">
        <is>
          <t>CAPEX/OPEX</t>
        </is>
      </c>
    </row>
    <row r="37">
      <c r="A37" s="22" t="inlineStr">
        <is>
          <t>Yes</t>
        </is>
      </c>
      <c r="B37" s="22" t="inlineStr">
        <is>
          <t>Construction</t>
        </is>
      </c>
      <c r="C37" s="22" t="inlineStr">
        <is>
          <t>CAPEX</t>
        </is>
      </c>
    </row>
    <row r="38">
      <c r="A38" s="22" t="inlineStr">
        <is>
          <t>No</t>
        </is>
      </c>
      <c r="B38" s="99" t="inlineStr">
        <is>
          <t>Startup</t>
        </is>
      </c>
      <c r="C38" s="22" t="inlineStr">
        <is>
          <t>OPEX</t>
        </is>
      </c>
    </row>
    <row r="39" ht="15" customHeight="1" s="577">
      <c r="B39" s="418" t="inlineStr">
        <is>
          <t>DD &amp; Design</t>
        </is>
      </c>
    </row>
  </sheetData>
  <mergeCells count="3">
    <mergeCell ref="A35:C35"/>
    <mergeCell ref="A1:J1"/>
    <mergeCell ref="A24:H24"/>
  </mergeCells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>
  <sheetPr>
    <tabColor theme="3" tint="0.8999908444471572"/>
    <outlinePr summaryBelow="1" summaryRight="1"/>
    <pageSetUpPr/>
  </sheetPr>
  <dimension ref="A1:U310"/>
  <sheetViews>
    <sheetView showGridLines="0" workbookViewId="0">
      <selection activeCell="E21" sqref="E21"/>
    </sheetView>
  </sheetViews>
  <sheetFormatPr baseColWidth="8" defaultColWidth="9.140625" defaultRowHeight="13.5"/>
  <cols>
    <col width="3.7109375" customWidth="1" style="540" min="1" max="1"/>
    <col width="6.5703125" customWidth="1" style="540" min="2" max="2"/>
    <col width="12.42578125" customWidth="1" style="540" min="3" max="3"/>
    <col width="18.42578125" customWidth="1" style="540" min="4" max="4"/>
    <col width="15.7109375" customWidth="1" style="540" min="5" max="6"/>
    <col width="13.28515625" customWidth="1" style="540" min="7" max="7"/>
    <col width="14.7109375" customWidth="1" style="540" min="8" max="8"/>
    <col width="9.140625" customWidth="1" style="540" min="9" max="10"/>
    <col width="14.42578125" customWidth="1" style="540" min="11" max="11"/>
    <col width="7.85546875" customWidth="1" style="540" min="12" max="12"/>
    <col width="6.85546875" customWidth="1" style="540" min="13" max="13"/>
    <col width="7.28515625" customWidth="1" style="540" min="14" max="14"/>
    <col width="7.7109375" customWidth="1" style="540" min="15" max="15"/>
    <col width="12" customWidth="1" style="540" min="16" max="16"/>
    <col width="12.28515625" customWidth="1" style="540" min="17" max="17"/>
    <col width="15.7109375" customWidth="1" style="540" min="18" max="21"/>
    <col width="9.140625" customWidth="1" style="540" min="22" max="22"/>
    <col width="9.140625" customWidth="1" style="540" min="23" max="16384"/>
  </cols>
  <sheetData>
    <row r="1" ht="70.5" customFormat="1" customHeight="1" s="140">
      <c r="B1" s="139" t="n"/>
      <c r="C1" s="139" t="n"/>
      <c r="D1" s="139" t="n"/>
      <c r="E1" s="139" t="n"/>
      <c r="F1" s="139" t="n"/>
      <c r="G1" s="139" t="n"/>
      <c r="H1" s="139" t="n"/>
      <c r="I1" s="139" t="n"/>
      <c r="J1" s="139" t="n"/>
      <c r="K1" s="139" t="n"/>
      <c r="L1" s="139" t="n"/>
      <c r="M1" s="139" t="n"/>
      <c r="N1" s="139" t="n"/>
      <c r="O1" s="139" t="n"/>
      <c r="P1" s="139" t="n"/>
    </row>
    <row r="2" ht="41.1" customFormat="1" customHeight="1" s="141">
      <c r="B2" s="538" t="inlineStr">
        <is>
          <t>MR/SPEC:  UPDATE IN GREEN CELLS ONLY</t>
        </is>
      </c>
      <c r="C2" s="523" t="n"/>
      <c r="D2" s="523" t="n"/>
      <c r="E2" s="523" t="n"/>
      <c r="F2" s="523" t="n"/>
      <c r="G2" s="523" t="n"/>
      <c r="H2" s="523" t="n"/>
      <c r="I2" s="523" t="n"/>
      <c r="J2" s="523" t="n"/>
      <c r="K2" s="523" t="n"/>
      <c r="L2" s="523" t="n"/>
      <c r="M2" s="523" t="n"/>
      <c r="N2" s="523" t="n"/>
      <c r="O2" s="523" t="n"/>
      <c r="P2" s="524" t="n"/>
    </row>
    <row r="3" ht="12.6" customFormat="1" customHeight="1" s="142"/>
    <row r="4" ht="18.6" customFormat="1" customHeight="1" s="144">
      <c r="B4" s="143" t="inlineStr">
        <is>
          <t>Address</t>
        </is>
      </c>
      <c r="C4" s="143" t="n"/>
      <c r="D4" s="594" t="inlineStr">
        <is>
          <t xml:space="preserve">2335 South Hanley Road, Brentwood, Missouri 63144 </t>
        </is>
      </c>
      <c r="E4" s="523" t="n"/>
      <c r="F4" s="523" t="n"/>
      <c r="G4" s="523" t="n"/>
      <c r="H4" s="523" t="n"/>
      <c r="I4" s="524" t="n"/>
    </row>
    <row r="5" ht="18" customFormat="1" customHeight="1" s="144">
      <c r="B5" s="143" t="inlineStr">
        <is>
          <t>Ownership</t>
        </is>
      </c>
      <c r="C5" s="145" t="n"/>
      <c r="D5" s="595" t="inlineStr">
        <is>
          <t>2335-37 SOUTH HANLEY ROAD, LLC</t>
        </is>
      </c>
      <c r="E5" s="523" t="n"/>
      <c r="F5" s="523" t="n"/>
      <c r="G5" s="523" t="n"/>
      <c r="H5" s="523" t="n"/>
      <c r="I5" s="524" t="n"/>
    </row>
    <row r="6" ht="6.95" customFormat="1" customHeight="1" s="142">
      <c r="L6" s="146" t="n"/>
      <c r="M6" s="146" t="n"/>
      <c r="N6" s="146" t="n"/>
      <c r="O6" s="146" t="n"/>
    </row>
    <row r="7" ht="15" customFormat="1" customHeight="1" s="140">
      <c r="B7" s="147" t="inlineStr">
        <is>
          <t>Lease Terms</t>
        </is>
      </c>
      <c r="C7" s="148" t="n"/>
      <c r="D7" s="149" t="n"/>
      <c r="E7" s="150" t="n"/>
      <c r="F7" s="151" t="n"/>
      <c r="G7" s="147" t="inlineStr">
        <is>
          <t>Base Rent Schedule</t>
        </is>
      </c>
      <c r="H7" s="149" t="n"/>
      <c r="I7" s="150" t="n"/>
      <c r="J7" s="152" t="n"/>
      <c r="K7" s="152" t="n"/>
      <c r="L7" s="596" t="n"/>
      <c r="M7" s="152" t="n"/>
    </row>
    <row r="8" ht="24.95" customHeight="1" s="577">
      <c r="B8" s="509" t="inlineStr">
        <is>
          <t>Building Square footage</t>
        </is>
      </c>
      <c r="C8" s="510" t="n"/>
      <c r="D8" s="510" t="n"/>
      <c r="E8" s="597" t="n">
        <v>4750</v>
      </c>
      <c r="F8" s="155" t="n"/>
      <c r="G8" s="156" t="inlineStr">
        <is>
          <t>Starting Mo.</t>
        </is>
      </c>
      <c r="H8" s="157" t="inlineStr">
        <is>
          <t>Ending Mo.</t>
        </is>
      </c>
      <c r="I8" s="158" t="inlineStr">
        <is>
          <t>$ Per SF
(Annual)</t>
        </is>
      </c>
      <c r="J8" s="159" t="n"/>
      <c r="K8" s="159" t="n"/>
      <c r="L8" s="160" t="n"/>
    </row>
    <row r="9" ht="15" customFormat="1" customHeight="1" s="171">
      <c r="B9" s="511" t="inlineStr">
        <is>
          <t>Starting Base Rent (PSF)</t>
        </is>
      </c>
      <c r="C9" s="512" t="n"/>
      <c r="D9" s="512" t="n"/>
      <c r="E9" s="598">
        <f>5937.5/E8*12</f>
        <v/>
      </c>
      <c r="F9" s="599" t="n"/>
      <c r="G9" s="164">
        <f>IF(H9=0,0,1)</f>
        <v/>
      </c>
      <c r="H9" s="165">
        <f>E22</f>
        <v/>
      </c>
      <c r="I9" s="600" t="n">
        <v>0</v>
      </c>
      <c r="J9" s="167" t="n"/>
      <c r="K9" s="168" t="n"/>
      <c r="L9" s="601" t="n"/>
      <c r="M9" s="170" t="n"/>
      <c r="R9" s="172" t="n"/>
      <c r="S9" s="602" t="n"/>
      <c r="T9" s="174" t="n"/>
    </row>
    <row r="10" ht="15" customFormat="1" customHeight="1" s="171">
      <c r="B10" s="511" t="inlineStr">
        <is>
          <t>Base Rent Increases</t>
        </is>
      </c>
      <c r="C10" s="512" t="n"/>
      <c r="D10" s="512" t="n"/>
      <c r="E10" s="175" t="n">
        <v>0.025</v>
      </c>
      <c r="F10" s="599" t="n"/>
      <c r="G10" s="176">
        <f>H9+1</f>
        <v/>
      </c>
      <c r="H10" s="177" t="n">
        <v>12</v>
      </c>
      <c r="I10" s="603">
        <f>E9</f>
        <v/>
      </c>
      <c r="K10" s="179" t="n"/>
      <c r="L10" s="180" t="n"/>
    </row>
    <row r="11" ht="15" customFormat="1" customHeight="1" s="171">
      <c r="B11" s="550" t="inlineStr">
        <is>
          <t>Starting OpEx (PSF)</t>
        </is>
      </c>
      <c r="C11" s="512" t="n"/>
      <c r="D11" s="604" t="n"/>
      <c r="E11" s="605">
        <f>IFERROR((IFERROR(INDEX(G71:G88,MATCH(TRUE,INDEX((G71:G88&lt;&gt;0),0),0)),0)+IFERROR(INDEX(F71:F88,MATCH(TRUE,INDEX((F71:F88&lt;&gt;0),0),0)),0)+H71)*12/E8,0)</f>
        <v/>
      </c>
      <c r="F11" s="606">
        <f>IFERROR(IF((E11/E9)&lt;25%,"ALERT","OK")," ")</f>
        <v/>
      </c>
      <c r="G11" s="176">
        <f>IF(H10&lt;$E$21,IF(H10&gt;1,(H10+1),""),"")</f>
        <v/>
      </c>
      <c r="H11" s="177">
        <f>IF(G11="","",IF(G11+11&gt;$E$21,$E$21,G11+11))</f>
        <v/>
      </c>
      <c r="I11" s="607">
        <f>IF(H11&lt;&gt;"",(I10*(1+$E$10)),0)</f>
        <v/>
      </c>
      <c r="K11" s="179" t="n"/>
      <c r="L11" s="608" t="n"/>
      <c r="Q11" s="186" t="n"/>
      <c r="R11" s="186" t="n"/>
      <c r="S11" s="186" t="n"/>
      <c r="T11" s="186" t="n"/>
    </row>
    <row r="12" ht="15" customFormat="1" customHeight="1" s="171">
      <c r="B12" s="554" t="inlineStr">
        <is>
          <t>CAM</t>
        </is>
      </c>
      <c r="C12" s="512" t="n"/>
      <c r="D12" s="512" t="n"/>
      <c r="E12" s="609">
        <f>1500/E8</f>
        <v/>
      </c>
      <c r="F12" s="610" t="n"/>
      <c r="G12" s="176">
        <f>IF(H11&lt;$E$21,IF(H11&gt;1,(H11+1),""),"")</f>
        <v/>
      </c>
      <c r="H12" s="177">
        <f>IF(G12="","",IF(G12+11&gt;$E$21,$E$21,G12+11))</f>
        <v/>
      </c>
      <c r="I12" s="607">
        <f>IF(H12&lt;&gt;"",(I11*(1+$E$10)),0)</f>
        <v/>
      </c>
      <c r="K12" s="179" t="n"/>
      <c r="L12" s="611" t="n"/>
      <c r="Q12" s="191" t="n"/>
      <c r="R12" s="612" t="n"/>
      <c r="S12" s="612" t="n"/>
      <c r="T12" s="612" t="n"/>
    </row>
    <row r="13" ht="15" customFormat="1" customHeight="1" s="171">
      <c r="B13" s="554" t="inlineStr">
        <is>
          <t>Insurance</t>
        </is>
      </c>
      <c r="C13" s="512" t="n"/>
      <c r="D13" s="512" t="n"/>
      <c r="E13" s="609">
        <f>6800/E8</f>
        <v/>
      </c>
      <c r="F13" s="193" t="n"/>
      <c r="G13" s="176">
        <f>IF(H12&lt;$E$21,IF(H12&gt;1,(H12+1),""),"")</f>
        <v/>
      </c>
      <c r="H13" s="177">
        <f>IF(G13="","",IF(G13+11&gt;$E$21,$E$21,G13+11))</f>
        <v/>
      </c>
      <c r="I13" s="607">
        <f>IF(H13&lt;&gt;"",(I12*(1+$E$10)),0)</f>
        <v/>
      </c>
      <c r="K13" s="179" t="n"/>
      <c r="L13" s="613" t="n"/>
      <c r="M13" s="179" t="n"/>
      <c r="Q13" s="191" t="n"/>
      <c r="R13" s="612" t="n"/>
      <c r="S13" s="612" t="n"/>
      <c r="T13" s="612" t="n"/>
    </row>
    <row r="14" ht="15" customFormat="1" customHeight="1" s="171">
      <c r="B14" s="554" t="inlineStr">
        <is>
          <t>Taxes</t>
        </is>
      </c>
      <c r="C14" s="512" t="n"/>
      <c r="D14" s="512" t="n"/>
      <c r="E14" s="614">
        <f>16000/E8</f>
        <v/>
      </c>
      <c r="F14" s="196" t="n"/>
      <c r="G14" s="176">
        <f>IF(H13&lt;$E$21,IF(H13&gt;1,(H13+1),""),"")</f>
        <v/>
      </c>
      <c r="H14" s="177">
        <f>IF(G14="","",IF(G14+11&gt;$E$21,$E$21,G14+11))</f>
        <v/>
      </c>
      <c r="I14" s="607">
        <f>IF(H14&lt;&gt;"",(I13*(1+$E$10)),0)</f>
        <v/>
      </c>
      <c r="K14" s="179" t="n"/>
      <c r="L14" s="613" t="n"/>
      <c r="M14" s="615" t="n"/>
      <c r="Q14" s="191" t="n"/>
      <c r="R14" s="612" t="n"/>
      <c r="S14" s="612" t="n"/>
      <c r="T14" s="612" t="n"/>
    </row>
    <row r="15" ht="15" customFormat="1" customHeight="1" s="171">
      <c r="B15" s="198" t="n"/>
      <c r="D15" s="187" t="inlineStr">
        <is>
          <t>Contingency %</t>
        </is>
      </c>
      <c r="E15" s="616" t="n">
        <v>0.2</v>
      </c>
      <c r="F15" s="196" t="n"/>
      <c r="G15" s="176">
        <f>IF(H14&lt;$E$21,IF(H14&gt;1,(H14+1),""),"")</f>
        <v/>
      </c>
      <c r="H15" s="177">
        <f>IF(G15="","",IF(G15+11&gt;$E$21,$E$21,G15+11))</f>
        <v/>
      </c>
      <c r="I15" s="607">
        <f>IF(H15&lt;&gt;"",(I14*(1+$E$10)),0)</f>
        <v/>
      </c>
      <c r="K15" s="179" t="n"/>
      <c r="L15" s="613" t="n"/>
      <c r="M15" s="179" t="n"/>
    </row>
    <row r="16" ht="15" customFormat="1" customHeight="1" s="171">
      <c r="B16" s="200" t="n">
        <v>0.03</v>
      </c>
      <c r="C16" s="201" t="inlineStr">
        <is>
          <t>Base Rent</t>
        </is>
      </c>
      <c r="D16" s="187" t="inlineStr">
        <is>
          <t>Prop Mgmt Fee</t>
        </is>
      </c>
      <c r="E16" s="617">
        <f>IFERROR((INDEX(G71:G88,MATCH(TRUE,INDEX((G71:G88&lt;&gt;0),0),0))/E8)*12,0)</f>
        <v/>
      </c>
      <c r="F16" s="203" t="n"/>
      <c r="G16" s="176">
        <f>IF(H15&lt;$E$21,IF(H15&gt;1,(H15+1),""),"")</f>
        <v/>
      </c>
      <c r="H16" s="177">
        <f>IF(G16="","",IF(G16+11&gt;$E$21,$E$21,G16+11))</f>
        <v/>
      </c>
      <c r="I16" s="607">
        <f>IF(H16&lt;&gt;"",(I15*(1+$E$10)),0)</f>
        <v/>
      </c>
      <c r="K16" s="179" t="n"/>
      <c r="L16" s="613" t="n"/>
      <c r="M16" s="179" t="n"/>
      <c r="Q16" s="174" t="n"/>
      <c r="R16" s="186" t="n"/>
      <c r="S16" s="186" t="n"/>
      <c r="T16" s="186" t="n"/>
      <c r="U16" s="186" t="n"/>
    </row>
    <row r="17" ht="15" customFormat="1" customHeight="1" s="171">
      <c r="B17" s="204" t="n">
        <v>0</v>
      </c>
      <c r="C17" s="205" t="inlineStr">
        <is>
          <t>Base Rent</t>
        </is>
      </c>
      <c r="D17" s="187" t="inlineStr">
        <is>
          <t>Rent Tax</t>
        </is>
      </c>
      <c r="E17" s="617">
        <f>IFERROR((INDEX(F71:F88,MATCH(TRUE,INDEX((F71:F88&lt;&gt;0),0),0))/E8)*12,0)</f>
        <v/>
      </c>
      <c r="F17" s="193" t="n"/>
      <c r="G17" s="176">
        <f>IF(H16&lt;$E$21,IF(H16&gt;1,(H16+1),""),"")</f>
        <v/>
      </c>
      <c r="H17" s="177">
        <f>IF(G17="","",IF(G17+11&gt;$E$21,$E$21,G17+11))</f>
        <v/>
      </c>
      <c r="I17" s="607">
        <f>IF(H17&lt;&gt;"",(I16*(1+$E$10)),0)</f>
        <v/>
      </c>
      <c r="K17" s="179" t="n"/>
      <c r="L17" s="613" t="n"/>
      <c r="M17" s="179" t="n"/>
      <c r="Q17" s="174" t="n"/>
      <c r="R17" s="206" t="n"/>
      <c r="S17" s="206" t="n"/>
      <c r="T17" s="618" t="n"/>
      <c r="U17" s="618" t="n"/>
    </row>
    <row r="18" ht="15" customFormat="1" customHeight="1" s="171">
      <c r="B18" s="208" t="inlineStr">
        <is>
          <t>Annual OPEX Increases</t>
        </is>
      </c>
      <c r="C18" s="143" t="n"/>
      <c r="D18" s="209" t="n"/>
      <c r="E18" s="210" t="n">
        <v>0.02</v>
      </c>
      <c r="F18" s="211" t="n"/>
      <c r="G18" s="176">
        <f>IF(H17&lt;$E$21,IF(H17&gt;1,(H17+1),""),"")</f>
        <v/>
      </c>
      <c r="H18" s="177">
        <f>IF(G18="","",IF(G18+11&gt;$E$21,$E$21,G18+11))</f>
        <v/>
      </c>
      <c r="I18" s="607">
        <f>IF(H18&lt;&gt;"",(I17*(1+$E$10)),0)</f>
        <v/>
      </c>
      <c r="K18" s="179" t="n"/>
      <c r="L18" s="613" t="n"/>
      <c r="M18" s="179" t="inlineStr">
        <is>
          <t>e</t>
        </is>
      </c>
      <c r="Q18" s="174" t="n"/>
      <c r="R18" s="206" t="n"/>
      <c r="S18" s="206" t="n"/>
      <c r="T18" s="618" t="n"/>
      <c r="U18" s="618" t="n"/>
    </row>
    <row r="19" ht="15" customFormat="1" customHeight="1" s="171">
      <c r="B19" s="208" t="inlineStr">
        <is>
          <t>OPEX Increases Occur (1/1/next year)</t>
        </is>
      </c>
      <c r="C19" s="143" t="n"/>
      <c r="D19" s="209" t="n"/>
      <c r="E19" s="212" t="n">
        <v>46388</v>
      </c>
      <c r="F19" s="619" t="n"/>
      <c r="G19" s="176">
        <f>IF(H18&lt;$E$21,IF(H18&gt;1,(H18+1),""),"")</f>
        <v/>
      </c>
      <c r="H19" s="177">
        <f>IF(G19="","",IF(G19+11&gt;$E$21,$E$21,G19+11))</f>
        <v/>
      </c>
      <c r="I19" s="607">
        <f>IF(H19&lt;&gt;"",(I18*(1+$E$10)),0)</f>
        <v/>
      </c>
      <c r="K19" s="179" t="n"/>
      <c r="L19" s="613" t="n"/>
      <c r="M19" s="179" t="n"/>
      <c r="Q19" s="174" t="n"/>
      <c r="R19" s="618" t="n"/>
      <c r="S19" s="618" t="n"/>
      <c r="T19" s="618" t="n"/>
      <c r="U19" s="618" t="n"/>
    </row>
    <row r="20" ht="15" customFormat="1" customHeight="1" s="171">
      <c r="B20" s="208" t="inlineStr">
        <is>
          <t>Lease Commencement</t>
        </is>
      </c>
      <c r="C20" s="143" t="n"/>
      <c r="D20" s="209" t="n"/>
      <c r="E20" s="214" t="n">
        <v>46204</v>
      </c>
      <c r="F20" s="215" t="n"/>
      <c r="G20" s="176">
        <f>IF(H19&lt;$E$21,IF(H19&gt;1,(H19+1),""),"")</f>
        <v/>
      </c>
      <c r="H20" s="177">
        <f>IF(G20="","",IF(G20+11&gt;$E$21,$E$21,G20+11))</f>
        <v/>
      </c>
      <c r="I20" s="607">
        <f>IF(H20&lt;&gt;"",(I19*(1+$E$10)),0)</f>
        <v/>
      </c>
      <c r="K20" s="179" t="n"/>
      <c r="L20" s="613" t="n"/>
      <c r="M20" s="179" t="n"/>
      <c r="Q20" s="216" t="n"/>
      <c r="R20" s="620" t="n"/>
      <c r="S20" s="620" t="n"/>
      <c r="T20" s="620" t="n"/>
      <c r="U20" s="618" t="n"/>
    </row>
    <row r="21" ht="15" customFormat="1" customHeight="1" s="171">
      <c r="B21" s="208" t="inlineStr">
        <is>
          <t>Term (Months)</t>
        </is>
      </c>
      <c r="C21" s="143" t="n"/>
      <c r="D21" s="209" t="n"/>
      <c r="E21" s="218" t="n">
        <v>60</v>
      </c>
      <c r="F21" s="621" t="n"/>
      <c r="G21" s="176">
        <f>IF(H20&lt;$E$21,IF(H20&gt;1,(H20+1),""),"")</f>
        <v/>
      </c>
      <c r="H21" s="177">
        <f>IF(G21="","",IF(G21+11&gt;$E$21,$E$21,G21+11))</f>
        <v/>
      </c>
      <c r="I21" s="607">
        <f>IF(H21&lt;&gt;"",(I20*(1+$E$10)),0)</f>
        <v/>
      </c>
      <c r="K21" s="179" t="n"/>
      <c r="L21" s="613" t="n"/>
      <c r="M21" s="179" t="n"/>
    </row>
    <row r="22" ht="15" customFormat="1" customHeight="1" s="171">
      <c r="B22" s="208" t="inlineStr">
        <is>
          <t>Free Rent (Months)</t>
        </is>
      </c>
      <c r="C22" s="143" t="n"/>
      <c r="D22" s="209" t="n"/>
      <c r="E22" s="220" t="n">
        <v>0</v>
      </c>
      <c r="F22" s="619" t="n"/>
      <c r="G22" s="176">
        <f>IF(H21&lt;$E$21,IF(H21&gt;1,(H21+1),""),"")</f>
        <v/>
      </c>
      <c r="H22" s="177">
        <f>IF(G22="","",IF(G22+11&gt;$E$21,$E$21,G22+11))</f>
        <v/>
      </c>
      <c r="I22" s="607">
        <f>IF(H22&lt;&gt;"",(I21*(1+$E$10)),0)</f>
        <v/>
      </c>
      <c r="K22" s="179" t="n"/>
      <c r="M22" s="179" t="n"/>
      <c r="Q22" s="174" t="n"/>
      <c r="R22" s="206" t="n"/>
    </row>
    <row r="23" ht="15" customFormat="1" customHeight="1" s="171">
      <c r="B23" s="208" t="inlineStr">
        <is>
          <t>Termination Option (Month?)</t>
        </is>
      </c>
      <c r="C23" s="143" t="n"/>
      <c r="D23" s="209" t="n"/>
      <c r="E23" s="622" t="inlineStr">
        <is>
          <t>n/a</t>
        </is>
      </c>
      <c r="F23" s="623" t="n"/>
      <c r="G23" s="176">
        <f>IF(H22&lt;$E$21,IF(H22&gt;1,(H22+1),""),"")</f>
        <v/>
      </c>
      <c r="H23" s="177">
        <f>IF(G23="","",IF(G23+11&gt;$E$21,$E$21,G23+11))</f>
        <v/>
      </c>
      <c r="I23" s="607">
        <f>IF(H23&lt;&gt;"",(I22*(1+$E$10)),0)</f>
        <v/>
      </c>
      <c r="L23" s="624" t="n"/>
      <c r="Q23" s="174" t="n"/>
      <c r="R23" s="206" t="n"/>
    </row>
    <row r="24" ht="15" customFormat="1" customHeight="1" s="171">
      <c r="B24" s="208" t="inlineStr">
        <is>
          <t>Termination Fee (Inc. Un-Amot TI/Fees)</t>
        </is>
      </c>
      <c r="C24" s="143" t="n"/>
      <c r="D24" s="209" t="n"/>
      <c r="E24" s="625" t="n">
        <v>0</v>
      </c>
      <c r="F24" s="623" t="n"/>
      <c r="G24" s="176">
        <f>IF(H23&lt;$E$21,IF(H23&gt;1,(H23+1),""),"")</f>
        <v/>
      </c>
      <c r="H24" s="177">
        <f>IF(G24="","",IF(G24+11&gt;$E$21,$E$21,G24+11))</f>
        <v/>
      </c>
      <c r="I24" s="607">
        <f>IF(H24&lt;&gt;"",(I23*(1+$E$10)),0)</f>
        <v/>
      </c>
      <c r="L24" s="624" t="n"/>
      <c r="Q24" s="174" t="n"/>
      <c r="R24" s="618" t="n"/>
    </row>
    <row r="25" ht="15" customFormat="1" customHeight="1" s="171">
      <c r="B25" s="208" t="inlineStr">
        <is>
          <t>Termination Fee Notes</t>
        </is>
      </c>
      <c r="C25" s="143" t="n"/>
      <c r="D25" s="209" t="n"/>
      <c r="E25" s="625" t="n">
        <v>0</v>
      </c>
      <c r="F25" s="623" t="n"/>
      <c r="G25" s="176">
        <f>IF(H24&lt;$E$21,IF(H24&gt;1,(H24+1),""),"")</f>
        <v/>
      </c>
      <c r="H25" s="177">
        <f>IF(G25="","",IF(G25+11&gt;$E$21,$E$21,G25+11))</f>
        <v/>
      </c>
      <c r="I25" s="607">
        <f>IF(H25&lt;&gt;"",(I24*(1+$E$10)),0)</f>
        <v/>
      </c>
      <c r="L25" s="624" t="n"/>
      <c r="Q25" s="174" t="n"/>
      <c r="R25" s="618" t="n"/>
    </row>
    <row r="26" ht="15" customFormat="1" customHeight="1" s="171">
      <c r="B26" s="225" t="inlineStr">
        <is>
          <t>Tenant Improvement $/SF</t>
        </is>
      </c>
      <c r="C26" s="226" t="n"/>
      <c r="D26" s="227" t="n"/>
      <c r="E26" s="626" t="n">
        <v>0</v>
      </c>
      <c r="F26" s="623" t="n"/>
      <c r="G26" s="176">
        <f>IF(H25&lt;$E$21,IF(H25&gt;1,(H25+1),""),"")</f>
        <v/>
      </c>
      <c r="H26" s="177">
        <f>IF(G26="","",IF(G26+11&gt;$E$21,$E$21,G26+11))</f>
        <v/>
      </c>
      <c r="I26" s="607">
        <f>IF(H26&lt;&gt;"",(I25*(1+$E$10)),0)</f>
        <v/>
      </c>
      <c r="L26" s="624" t="n"/>
    </row>
    <row r="27" ht="15" customFormat="1" customHeight="1" s="229">
      <c r="F27" s="627" t="n"/>
      <c r="G27" s="176">
        <f>IF(H26&lt;$E$21,IF(H26&gt;1,(H26+1),""),"")</f>
        <v/>
      </c>
      <c r="H27" s="177">
        <f>IF(G27="","",IF(G27+11&gt;$E$21,$E$21,G27+11))</f>
        <v/>
      </c>
      <c r="I27" s="607">
        <f>IF(H27&lt;&gt;"",(I26*(1+$E$10)),0)</f>
        <v/>
      </c>
      <c r="L27" s="628" t="n"/>
    </row>
    <row r="28" ht="15" customFormat="1" customHeight="1" s="229">
      <c r="B28" s="232" t="n"/>
      <c r="C28" s="232" t="n"/>
      <c r="D28" s="232" t="n"/>
      <c r="E28" s="627" t="n"/>
      <c r="F28" s="627" t="n"/>
      <c r="G28" s="176">
        <f>IF(H27&lt;$E$21,IF(H27&gt;1,(H27+1),""),"")</f>
        <v/>
      </c>
      <c r="H28" s="177">
        <f>IF(G28="","",IF(G28+11&gt;$E$21,$E$21,G28+11))</f>
        <v/>
      </c>
      <c r="I28" s="607">
        <f>IF(H28&lt;&gt;"",(I27*(1+$E$10)),0)</f>
        <v/>
      </c>
      <c r="L28" s="628" t="n"/>
    </row>
    <row r="29" ht="15" customFormat="1" customHeight="1" s="229">
      <c r="B29" s="232" t="n"/>
      <c r="C29" s="232" t="n"/>
      <c r="D29" s="232" t="n"/>
      <c r="E29" s="627" t="n"/>
      <c r="F29" s="627" t="n"/>
      <c r="G29" s="233">
        <f>IF(H28&lt;$E$21,IF(H28&gt;1,(H28+1),""),"")</f>
        <v/>
      </c>
      <c r="H29" s="234">
        <f>IF(G29="","",IF(G29+11&gt;$E$21,$E$21,G29+11))</f>
        <v/>
      </c>
      <c r="I29" s="629">
        <f>IF(H29&lt;&gt;"",(I28*(1+$E$10)),0)</f>
        <v/>
      </c>
      <c r="L29" s="628" t="n"/>
    </row>
    <row r="30" ht="12.75" customFormat="1" customHeight="1" s="142">
      <c r="B30" s="236" t="n"/>
      <c r="C30" s="236" t="n"/>
      <c r="D30" s="236" t="n"/>
      <c r="E30" s="237" t="n"/>
      <c r="F30" s="238" t="n"/>
      <c r="G30" s="238" t="n"/>
      <c r="H30" s="238" t="n"/>
    </row>
    <row r="31" ht="15" customFormat="1" customHeight="1" s="140">
      <c r="B31" s="147" t="inlineStr">
        <is>
          <t>Tenant Improvement Allowances</t>
        </is>
      </c>
      <c r="C31" s="149" t="n"/>
      <c r="D31" s="149" t="n"/>
      <c r="E31" s="630" t="n"/>
      <c r="F31" s="631" t="n"/>
      <c r="G31" s="632" t="n"/>
      <c r="H31" s="523" t="n"/>
      <c r="I31" s="633" t="n"/>
      <c r="J31" s="523" t="n"/>
      <c r="K31" s="632" t="n"/>
      <c r="L31" s="634" t="n"/>
    </row>
    <row r="32" ht="41.1" customFormat="1" customHeight="1" s="249">
      <c r="B32" s="243" t="n"/>
      <c r="C32" s="244" t="n"/>
      <c r="D32" s="245" t="inlineStr">
        <is>
          <t>TI Included
in Base Rent</t>
        </is>
      </c>
      <c r="E32" s="246" t="inlineStr">
        <is>
          <t>Additional Amortized TI
Bucket 1</t>
        </is>
      </c>
      <c r="F32" s="157" t="inlineStr">
        <is>
          <t>Additional Amortized TI
Bucket 2</t>
        </is>
      </c>
      <c r="G32" s="574" t="inlineStr">
        <is>
          <t>Total TI
Funds Available</t>
        </is>
      </c>
      <c r="H32" s="552" t="n"/>
      <c r="I32" s="551" t="inlineStr">
        <is>
          <t>Total Development Budget</t>
        </is>
      </c>
      <c r="J32" s="552" t="n"/>
      <c r="K32" s="553" t="inlineStr">
        <is>
          <t>Capital
Required</t>
        </is>
      </c>
      <c r="L32" s="524" t="n"/>
      <c r="M32" s="635" t="n"/>
    </row>
    <row r="33" ht="15" customHeight="1" s="577">
      <c r="B33" s="558" t="inlineStr">
        <is>
          <t>Principal</t>
        </is>
      </c>
      <c r="C33" s="537" t="n"/>
      <c r="D33" s="636">
        <f>E26*E8</f>
        <v/>
      </c>
      <c r="E33" s="637" t="n"/>
      <c r="F33" s="638" t="n"/>
      <c r="G33" s="639">
        <f>E33+D33+F33</f>
        <v/>
      </c>
      <c r="H33" s="560" t="n"/>
      <c r="I33" s="640" t="n"/>
      <c r="J33" s="566" t="n"/>
      <c r="K33" s="641">
        <f>MAX(0,I33-F33-E33-D33)</f>
        <v/>
      </c>
      <c r="L33" s="444" t="n"/>
    </row>
    <row r="34" ht="15" customHeight="1" s="577">
      <c r="B34" s="525" t="inlineStr">
        <is>
          <t>Term</t>
        </is>
      </c>
      <c r="C34" s="521" t="n"/>
      <c r="D34" s="253" t="n"/>
      <c r="E34" s="254" t="n"/>
      <c r="F34" s="255" t="n"/>
      <c r="G34" s="561" t="n"/>
      <c r="H34" s="562" t="n"/>
      <c r="I34" s="567" t="n"/>
      <c r="J34" s="568" t="n"/>
      <c r="K34" s="542" t="n"/>
      <c r="L34" s="479" t="n"/>
    </row>
    <row r="35" ht="15" customHeight="1" s="577">
      <c r="B35" s="525" t="inlineStr">
        <is>
          <t>Interest Rate</t>
        </is>
      </c>
      <c r="C35" s="521" t="n"/>
      <c r="D35" s="256" t="n"/>
      <c r="E35" s="257" t="n"/>
      <c r="F35" s="258" t="n"/>
      <c r="G35" s="561" t="n"/>
      <c r="H35" s="562" t="n"/>
      <c r="I35" s="567" t="n"/>
      <c r="J35" s="568" t="n"/>
      <c r="K35" s="542" t="n"/>
      <c r="L35" s="479" t="n"/>
    </row>
    <row r="36" ht="17.25" customHeight="1" s="577">
      <c r="B36" s="530" t="inlineStr">
        <is>
          <t>Monthly Payment</t>
        </is>
      </c>
      <c r="C36" s="531" t="n"/>
      <c r="D36" s="642" t="n"/>
      <c r="E36" s="643">
        <f>IFERROR(PMT(E35/12,E34,-E33,0),0)</f>
        <v/>
      </c>
      <c r="F36" s="644">
        <f>IFERROR(PMT(F35/12,F34,-F33,0),0)</f>
        <v/>
      </c>
      <c r="G36" s="561" t="n"/>
      <c r="H36" s="562" t="n"/>
      <c r="I36" s="567" t="n"/>
      <c r="J36" s="568" t="n"/>
      <c r="K36" s="542" t="n"/>
      <c r="L36" s="479" t="n"/>
    </row>
    <row r="37" ht="17.25" customHeight="1" s="577">
      <c r="B37" s="262" t="n"/>
      <c r="C37" s="528" t="inlineStr">
        <is>
          <t>Month Amortized TI Starts</t>
        </is>
      </c>
      <c r="D37" s="529" t="n"/>
      <c r="E37" s="263" t="n"/>
      <c r="F37" s="264" t="n"/>
      <c r="G37" s="563" t="n"/>
      <c r="H37" s="564" t="n"/>
      <c r="I37" s="569" t="n"/>
      <c r="J37" s="570" t="n"/>
      <c r="K37" s="543" t="n"/>
      <c r="L37" s="472" t="n"/>
    </row>
    <row r="38" ht="15" customFormat="1" customHeight="1" s="142"/>
    <row r="39" ht="16.5" customFormat="1" customHeight="1" s="140">
      <c r="B39" s="265" t="inlineStr">
        <is>
          <t>Entire Lease Obligation</t>
        </is>
      </c>
      <c r="C39" s="266" t="n"/>
      <c r="D39" s="267" t="n"/>
      <c r="E39" s="268" t="n"/>
      <c r="F39" s="645" t="n"/>
      <c r="G39" s="645" t="n"/>
      <c r="H39" s="645" t="n"/>
      <c r="I39" s="645" t="n"/>
      <c r="J39" s="646" t="n"/>
      <c r="K39" s="647" t="n"/>
      <c r="L39" s="523" t="n"/>
      <c r="M39" s="524" t="n"/>
    </row>
    <row r="40" ht="25.5" customFormat="1" customHeight="1" s="249">
      <c r="B40" s="271" t="n"/>
      <c r="C40" s="272" t="n"/>
      <c r="D40" s="575" t="inlineStr">
        <is>
          <t>Base Rent</t>
        </is>
      </c>
      <c r="E40" s="247" t="inlineStr">
        <is>
          <t>Operating
Expenses</t>
        </is>
      </c>
      <c r="F40" s="518" t="inlineStr">
        <is>
          <t>Amortized TI Bucket 1</t>
        </is>
      </c>
      <c r="G40" s="519" t="n"/>
      <c r="H40" s="274" t="inlineStr">
        <is>
          <t>Amortized   Bucket 2</t>
        </is>
      </c>
      <c r="I40" s="575" t="inlineStr">
        <is>
          <t>Out of Pocket TI</t>
        </is>
      </c>
      <c r="J40" s="519" t="n"/>
      <c r="K40" s="532" t="inlineStr">
        <is>
          <t>Total Obligation</t>
        </is>
      </c>
      <c r="L40" s="523" t="n"/>
      <c r="M40" s="524" t="n"/>
    </row>
    <row r="41" ht="18.75" customHeight="1" s="577">
      <c r="B41" s="275" t="n"/>
      <c r="C41" s="276" t="inlineStr">
        <is>
          <t>Totals</t>
        </is>
      </c>
      <c r="D41" s="648">
        <f>SUMIF(E71:E310,"&lt;"&amp;99^"99")</f>
        <v/>
      </c>
      <c r="E41" s="649">
        <f>SUMIF(I71:J310,"&lt;"&amp;99^"99")</f>
        <v/>
      </c>
      <c r="F41" s="650">
        <f>SUMIF(K71:K310,"&lt;"&amp;99^"99")</f>
        <v/>
      </c>
      <c r="G41" s="514" t="n"/>
      <c r="H41" s="651">
        <f>SUMIF(L71:M310,"&lt;"&amp;99^"99")</f>
        <v/>
      </c>
      <c r="I41" s="652">
        <f>K33</f>
        <v/>
      </c>
      <c r="J41" s="514" t="n"/>
      <c r="K41" s="653">
        <f>I41+H41+F41+E41+D41</f>
        <v/>
      </c>
      <c r="L41" s="443" t="n"/>
      <c r="M41" s="444" t="n"/>
    </row>
    <row r="42" ht="18.75" customHeight="1" s="577">
      <c r="B42" s="275" t="n"/>
      <c r="C42" s="276" t="inlineStr">
        <is>
          <t>Monthly Average</t>
        </is>
      </c>
      <c r="D42" s="548">
        <f>D41/$E$21</f>
        <v/>
      </c>
      <c r="E42" s="281">
        <f>E41/$E$21</f>
        <v/>
      </c>
      <c r="F42" s="654">
        <f>F41/$E$21</f>
        <v/>
      </c>
      <c r="G42" s="505" t="n"/>
      <c r="H42" s="281">
        <f>H41/$E$21</f>
        <v/>
      </c>
      <c r="I42" s="655" t="n"/>
      <c r="J42" s="656" t="n"/>
      <c r="K42" s="657">
        <f>K41/$E$21</f>
        <v/>
      </c>
      <c r="M42" s="479" t="n"/>
    </row>
    <row r="43" ht="18.75" customHeight="1" s="577">
      <c r="B43" s="275" t="n"/>
      <c r="C43" s="276" t="inlineStr">
        <is>
          <t>Annual Average per SF</t>
        </is>
      </c>
      <c r="D43" s="548">
        <f>+D42/E8*12</f>
        <v/>
      </c>
      <c r="E43" s="281">
        <f>+E42/E8*12</f>
        <v/>
      </c>
      <c r="F43" s="548">
        <f>+F42/E8*12</f>
        <v/>
      </c>
      <c r="G43" s="505" t="n"/>
      <c r="H43" s="281">
        <f>+H42/E8*12</f>
        <v/>
      </c>
      <c r="I43" s="281" t="n"/>
      <c r="J43" s="284" t="n"/>
      <c r="K43" s="557">
        <f>+K42/E8*12</f>
        <v/>
      </c>
      <c r="M43" s="479" t="n"/>
    </row>
    <row r="44" ht="18.75" customHeight="1" s="577">
      <c r="A44" s="285" t="n"/>
      <c r="B44" s="286" t="n">
        <v>0.12</v>
      </c>
      <c r="C44" s="658">
        <f>"NPV ("&amp;B44*100&amp;"%)"</f>
        <v/>
      </c>
      <c r="D44" s="659">
        <f>NPV((1+$B$44)^(1/12)-1,OFFSET(E71:E310,0,0,COUNT(E71:E310),1))</f>
        <v/>
      </c>
      <c r="E44" s="659">
        <f>NPV((1+$B$44)^(1/12)-1,OFFSET(I71:I310,0,0,COUNT(I71:I310),1))</f>
        <v/>
      </c>
      <c r="F44" s="660">
        <f>NPV((1+$B$44)^(1/12)-1,OFFSET(K71:K310,0,0,COUNT(K71:K310),1))</f>
        <v/>
      </c>
      <c r="G44" s="517" t="n"/>
      <c r="H44" s="659">
        <f>NPV((1+$B$44)^(1/12)-1,OFFSET(L71:L310,0,0,COUNT(L71:L310),1))</f>
        <v/>
      </c>
      <c r="I44" s="661">
        <f>I41</f>
        <v/>
      </c>
      <c r="J44" s="517" t="n"/>
      <c r="K44" s="662">
        <f>I44+H44+F44+E44+D44</f>
        <v/>
      </c>
      <c r="L44" s="471" t="n"/>
      <c r="M44" s="472" t="n"/>
    </row>
    <row r="45" ht="15" customFormat="1" customHeight="1" s="142">
      <c r="D45" s="236" t="n"/>
      <c r="E45" s="289" t="n"/>
      <c r="F45" s="289" t="n"/>
      <c r="G45" s="289" t="n"/>
      <c r="H45" s="289" t="n"/>
      <c r="I45" s="663" t="n"/>
      <c r="J45" s="663" t="n"/>
      <c r="K45" s="664" t="n"/>
      <c r="L45" s="664" t="n"/>
      <c r="M45" s="664" t="n"/>
      <c r="N45" s="664" t="n"/>
      <c r="O45" s="664" t="n"/>
      <c r="P45" s="664" t="n"/>
    </row>
    <row r="46" ht="16.5" customFormat="1" customHeight="1" s="140">
      <c r="B46" s="147" t="inlineStr">
        <is>
          <t>Annual Lease Obligation</t>
        </is>
      </c>
      <c r="C46" s="149" t="n"/>
      <c r="D46" s="292" t="n"/>
      <c r="E46" s="293" t="n"/>
      <c r="F46" s="293" t="n"/>
      <c r="G46" s="293" t="n"/>
      <c r="H46" s="293" t="n"/>
      <c r="I46" s="665" t="n"/>
      <c r="J46" s="665" t="n"/>
      <c r="K46" s="666" t="n"/>
      <c r="L46" s="666" t="n"/>
      <c r="M46" s="666" t="n"/>
      <c r="N46" s="666" t="n"/>
      <c r="O46" s="666" t="n"/>
      <c r="P46" s="667" t="n"/>
    </row>
    <row r="47" ht="37.5" customFormat="1" customHeight="1" s="249">
      <c r="B47" s="271" t="n"/>
      <c r="C47" s="272" t="n"/>
      <c r="D47" s="274" t="n"/>
      <c r="E47" s="518" t="inlineStr">
        <is>
          <t>Annualized
Base Rent</t>
        </is>
      </c>
      <c r="F47" s="518" t="inlineStr">
        <is>
          <t>Rent Tax</t>
        </is>
      </c>
      <c r="G47" s="518" t="inlineStr">
        <is>
          <t>PM Fee</t>
        </is>
      </c>
      <c r="H47" s="518" t="inlineStr">
        <is>
          <t>CAM, Tax
&amp; Ins</t>
        </is>
      </c>
      <c r="I47" s="518" t="inlineStr">
        <is>
          <t>Annualized
Operating Expenses</t>
        </is>
      </c>
      <c r="J47" s="519" t="n"/>
      <c r="K47" s="518" t="inlineStr">
        <is>
          <t>Annualized
Amortized TI</t>
        </is>
      </c>
      <c r="L47" s="518" t="inlineStr">
        <is>
          <t>Annualized
Amortized TI</t>
        </is>
      </c>
      <c r="M47" s="519" t="n"/>
      <c r="N47" s="518" t="inlineStr">
        <is>
          <t>Annualized
Gross Rent</t>
        </is>
      </c>
      <c r="O47" s="519" t="n"/>
      <c r="P47" s="298" t="inlineStr">
        <is>
          <t>Annualized
Gross Rent per SF</t>
        </is>
      </c>
    </row>
    <row r="48" ht="12.6" customFormat="1" customHeight="1" s="299">
      <c r="B48" s="300" t="n"/>
      <c r="C48" s="536" t="inlineStr">
        <is>
          <t>Year 1</t>
        </is>
      </c>
      <c r="D48" s="537" t="n"/>
      <c r="E48" s="668">
        <f>SUMIF(E71:E82,"&lt;"&amp;99^"99")</f>
        <v/>
      </c>
      <c r="F48" s="668">
        <f>SUMIF(F71:F82,"&lt;"&amp;99^"99")</f>
        <v/>
      </c>
      <c r="G48" s="668">
        <f>SUMIF(G71:G82,"&lt;"&amp;99^"99")</f>
        <v/>
      </c>
      <c r="H48" s="668">
        <f>SUMIF(H71:H82,"&lt;"&amp;99^"99")</f>
        <v/>
      </c>
      <c r="I48" s="669">
        <f>SUMIF(I71:I82,"&lt;"&amp;99^"99")</f>
        <v/>
      </c>
      <c r="J48" s="514" t="n"/>
      <c r="K48" s="668">
        <f>SUMIF(K71:K82,"&lt;"&amp;99^"99")</f>
        <v/>
      </c>
      <c r="L48" s="669">
        <f>SUMIF(L71:L82,"&lt;"&amp;99^"99")</f>
        <v/>
      </c>
      <c r="M48" s="514" t="n"/>
      <c r="N48" s="669">
        <f>SUMIF(N71:N82,"&lt;"&amp;99^"99")</f>
        <v/>
      </c>
      <c r="O48" s="514" t="n"/>
      <c r="P48" s="670">
        <f>+N48/$E$8</f>
        <v/>
      </c>
    </row>
    <row r="49" ht="12.6" customFormat="1" customHeight="1" s="299">
      <c r="B49" s="303" t="n"/>
      <c r="C49" s="520" t="inlineStr">
        <is>
          <t>Year 2</t>
        </is>
      </c>
      <c r="D49" s="521" t="n"/>
      <c r="E49" s="671">
        <f>SUMIF(E83:E94,"&lt;"&amp;99^"99")</f>
        <v/>
      </c>
      <c r="F49" s="671">
        <f>SUMIF(F83:F94,"&lt;"&amp;99^"99")</f>
        <v/>
      </c>
      <c r="G49" s="671">
        <f>SUMIF(G83:G94,"&lt;"&amp;99^"99")</f>
        <v/>
      </c>
      <c r="H49" s="671">
        <f>SUMIF(H83:H94,"&lt;"&amp;99^"99")</f>
        <v/>
      </c>
      <c r="I49" s="672">
        <f>SUMIF(I83:I94,"&lt;"&amp;99^"99")</f>
        <v/>
      </c>
      <c r="J49" s="505" t="n"/>
      <c r="K49" s="671">
        <f>SUMIF(K83:K94,"&lt;"&amp;99^"99")</f>
        <v/>
      </c>
      <c r="L49" s="672">
        <f>SUMIF(L83:L94,"&lt;"&amp;99^"99")</f>
        <v/>
      </c>
      <c r="M49" s="505" t="n"/>
      <c r="N49" s="672">
        <f>SUMIF(N83:N94,"&lt;"&amp;99^"99")</f>
        <v/>
      </c>
      <c r="O49" s="505" t="n"/>
      <c r="P49" s="673">
        <f>+N49/$E$8</f>
        <v/>
      </c>
    </row>
    <row r="50" ht="12.6" customFormat="1" customHeight="1" s="299">
      <c r="B50" s="303" t="n"/>
      <c r="C50" s="520" t="inlineStr">
        <is>
          <t>Year 3</t>
        </is>
      </c>
      <c r="D50" s="521" t="n"/>
      <c r="E50" s="671">
        <f>SUMIF(E95:E106,"&lt;"&amp;99^"99")</f>
        <v/>
      </c>
      <c r="F50" s="671">
        <f>SUMIF(F95:F106,"&lt;"&amp;99^"99")</f>
        <v/>
      </c>
      <c r="G50" s="671">
        <f>SUMIF(G95:G106,"&lt;"&amp;99^"99")</f>
        <v/>
      </c>
      <c r="H50" s="671">
        <f>SUMIF(H95:H106,"&lt;"&amp;99^"99")</f>
        <v/>
      </c>
      <c r="I50" s="672">
        <f>SUMIF(I95:I106, "&lt;"&amp;99^"99")</f>
        <v/>
      </c>
      <c r="J50" s="505" t="n"/>
      <c r="K50" s="671">
        <f>SUMIF(K95:K106,"&lt;"&amp;99^"99")</f>
        <v/>
      </c>
      <c r="L50" s="672">
        <f>SUMIF(L95:L106, "&lt;"&amp;99^"99")</f>
        <v/>
      </c>
      <c r="M50" s="505" t="n"/>
      <c r="N50" s="672">
        <f>SUMIF(N95:N106, "&lt;"&amp;99^"99")</f>
        <v/>
      </c>
      <c r="O50" s="505" t="n"/>
      <c r="P50" s="673">
        <f>+N50/$E$8</f>
        <v/>
      </c>
    </row>
    <row r="51" ht="12.6" customFormat="1" customHeight="1" s="299">
      <c r="B51" s="303" t="n"/>
      <c r="C51" s="520" t="inlineStr">
        <is>
          <t>Year 4</t>
        </is>
      </c>
      <c r="D51" s="521" t="n"/>
      <c r="E51" s="671">
        <f>SUMIF(E107:E118,"&lt;"&amp;99^"99")</f>
        <v/>
      </c>
      <c r="F51" s="671">
        <f>SUMIF(F107:F118,"&lt;"&amp;99^"99")</f>
        <v/>
      </c>
      <c r="G51" s="671">
        <f>SUMIF(G107:G118,"&lt;"&amp;99^"99")</f>
        <v/>
      </c>
      <c r="H51" s="671">
        <f>SUMIF(H107:H118,"&lt;"&amp;99^"99")</f>
        <v/>
      </c>
      <c r="I51" s="672">
        <f>SUMIF(I107:I118,"&lt;"&amp;99^"99")</f>
        <v/>
      </c>
      <c r="J51" s="505" t="n"/>
      <c r="K51" s="671">
        <f>SUMIF(K107:K118,"&lt;"&amp;99^"99")</f>
        <v/>
      </c>
      <c r="L51" s="672">
        <f>SUMIF(L107:L118,"&lt;"&amp;99^"99")</f>
        <v/>
      </c>
      <c r="M51" s="505" t="n"/>
      <c r="N51" s="672">
        <f>SUMIF(N107:N118,"&lt;"&amp;99^"99")</f>
        <v/>
      </c>
      <c r="O51" s="505" t="n"/>
      <c r="P51" s="673">
        <f>+N51/$E$8</f>
        <v/>
      </c>
    </row>
    <row r="52" ht="12.6" customFormat="1" customHeight="1" s="299">
      <c r="B52" s="303" t="n"/>
      <c r="C52" s="520" t="inlineStr">
        <is>
          <t>Year 5</t>
        </is>
      </c>
      <c r="D52" s="521" t="n"/>
      <c r="E52" s="671">
        <f>SUMIF(E119:E130,"&lt;"&amp;99^"99")</f>
        <v/>
      </c>
      <c r="F52" s="671">
        <f>SUMIF(F119:F130,"&lt;"&amp;99^"99")</f>
        <v/>
      </c>
      <c r="G52" s="671">
        <f>SUMIF(G119:G130,"&lt;"&amp;99^"99")</f>
        <v/>
      </c>
      <c r="H52" s="671">
        <f>SUMIF(H119:H130,"&lt;"&amp;99^"99")</f>
        <v/>
      </c>
      <c r="I52" s="672">
        <f>SUMIF(I119:I130,"&lt;"&amp;99^"99")</f>
        <v/>
      </c>
      <c r="J52" s="505" t="n"/>
      <c r="K52" s="671">
        <f>SUMIF(K119:K130,"&lt;"&amp;99^"99")</f>
        <v/>
      </c>
      <c r="L52" s="672">
        <f>SUMIF(L119:L130,"&lt;"&amp;99^"99")</f>
        <v/>
      </c>
      <c r="M52" s="505" t="n"/>
      <c r="N52" s="672">
        <f>SUMIF(N119:N130,"&lt;"&amp;99^"99")</f>
        <v/>
      </c>
      <c r="O52" s="505" t="n"/>
      <c r="P52" s="673">
        <f>+N52/$E$8</f>
        <v/>
      </c>
    </row>
    <row r="53" ht="12.6" customFormat="1" customHeight="1" s="299">
      <c r="B53" s="303" t="n"/>
      <c r="C53" s="520" t="inlineStr">
        <is>
          <t>Year 6</t>
        </is>
      </c>
      <c r="D53" s="521" t="n"/>
      <c r="E53" s="672">
        <f>SUMIF(E131:E142,"&lt;"&amp;99^"99")</f>
        <v/>
      </c>
      <c r="F53" s="672">
        <f>SUMIF(F131:F142,"&lt;"&amp;99^"99")</f>
        <v/>
      </c>
      <c r="G53" s="672">
        <f>SUMIF(G131:G142,"&lt;"&amp;99^"99")</f>
        <v/>
      </c>
      <c r="H53" s="672">
        <f>SUMIF(H131:H142,"&lt;"&amp;99^"99")</f>
        <v/>
      </c>
      <c r="I53" s="672">
        <f>SUMIF(I131:I142,"&lt;"&amp;99^"99")</f>
        <v/>
      </c>
      <c r="J53" s="505" t="n"/>
      <c r="K53" s="672">
        <f>SUMIF(K131:K142,"&lt;"&amp;99^"99")</f>
        <v/>
      </c>
      <c r="L53" s="672">
        <f>SUMIF(L131:L142,"&lt;"&amp;99^"99")</f>
        <v/>
      </c>
      <c r="M53" s="505" t="n"/>
      <c r="N53" s="672">
        <f>SUMIF(N131:N142,"&lt;"&amp;99^"99")</f>
        <v/>
      </c>
      <c r="O53" s="505" t="n"/>
      <c r="P53" s="673">
        <f>+N53/$E$8</f>
        <v/>
      </c>
    </row>
    <row r="54" ht="12.6" customFormat="1" customHeight="1" s="299">
      <c r="B54" s="303" t="n"/>
      <c r="C54" s="520" t="inlineStr">
        <is>
          <t>Year 7</t>
        </is>
      </c>
      <c r="D54" s="521" t="n"/>
      <c r="E54" s="672">
        <f>SUMIF(E143:E154,"&lt;"&amp;99^"99")</f>
        <v/>
      </c>
      <c r="F54" s="672">
        <f>SUMIF(F143:F154,"&lt;"&amp;99^"99")</f>
        <v/>
      </c>
      <c r="G54" s="672">
        <f>SUMIF(G143:G154,"&lt;"&amp;99^"99")</f>
        <v/>
      </c>
      <c r="H54" s="672">
        <f>SUMIF(H143:H154,"&lt;"&amp;99^"99")</f>
        <v/>
      </c>
      <c r="I54" s="672">
        <f>SUMIF(I143:I154,"&lt;"&amp;99^"99")</f>
        <v/>
      </c>
      <c r="J54" s="505" t="n"/>
      <c r="K54" s="672">
        <f>SUMIF(K143:K154,"&lt;"&amp;99^"99")</f>
        <v/>
      </c>
      <c r="L54" s="672">
        <f>SUMIF(L143:L154,"&lt;"&amp;99^"99")</f>
        <v/>
      </c>
      <c r="M54" s="505" t="n"/>
      <c r="N54" s="672">
        <f>SUMIF(N143:N154,"&lt;"&amp;99^"99")</f>
        <v/>
      </c>
      <c r="O54" s="505" t="n"/>
      <c r="P54" s="673">
        <f>+N54/$E$8</f>
        <v/>
      </c>
    </row>
    <row r="55" ht="12.6" customFormat="1" customHeight="1" s="299">
      <c r="B55" s="303" t="n"/>
      <c r="C55" s="520" t="inlineStr">
        <is>
          <t>Year 8</t>
        </is>
      </c>
      <c r="D55" s="521" t="n"/>
      <c r="E55" s="672">
        <f>SUMIF(E155:E166,"&lt;"&amp;99^"99")</f>
        <v/>
      </c>
      <c r="F55" s="672">
        <f>SUMIF(F155:F166,"&lt;"&amp;99^"99")</f>
        <v/>
      </c>
      <c r="G55" s="672">
        <f>SUMIF(G155:G166,"&lt;"&amp;99^"99")</f>
        <v/>
      </c>
      <c r="H55" s="672">
        <f>SUMIF(H155:H166,"&lt;"&amp;99^"99")</f>
        <v/>
      </c>
      <c r="I55" s="672">
        <f>SUMIF(I155:I166,"&lt;"&amp;99^"99")</f>
        <v/>
      </c>
      <c r="J55" s="505" t="n"/>
      <c r="K55" s="672">
        <f>SUMIF(K155:K166,"&lt;"&amp;99^"99")</f>
        <v/>
      </c>
      <c r="L55" s="672">
        <f>SUMIF(L155:L166,"&lt;"&amp;99^"99")</f>
        <v/>
      </c>
      <c r="M55" s="505" t="n"/>
      <c r="N55" s="672">
        <f>SUMIF(N155:N166,"&lt;"&amp;99^"99")</f>
        <v/>
      </c>
      <c r="O55" s="505" t="n"/>
      <c r="P55" s="673">
        <f>+N55/$E$8</f>
        <v/>
      </c>
    </row>
    <row r="56" ht="12.6" customFormat="1" customHeight="1" s="299">
      <c r="B56" s="303" t="n"/>
      <c r="C56" s="520" t="inlineStr">
        <is>
          <t>Year 9</t>
        </is>
      </c>
      <c r="D56" s="521" t="n"/>
      <c r="E56" s="672">
        <f>SUMIF(E167:E178,"&lt;"&amp;99^"99")</f>
        <v/>
      </c>
      <c r="F56" s="672">
        <f>SUMIF(F167:F178,"&lt;"&amp;99^"99")</f>
        <v/>
      </c>
      <c r="G56" s="672">
        <f>SUMIF(G167:G178,"&lt;"&amp;99^"99")</f>
        <v/>
      </c>
      <c r="H56" s="672">
        <f>SUMIF(H167:H178,"&lt;"&amp;99^"99")</f>
        <v/>
      </c>
      <c r="I56" s="672">
        <f>SUMIF(I167:I178,"&lt;"&amp;99^"99")</f>
        <v/>
      </c>
      <c r="J56" s="505" t="n"/>
      <c r="K56" s="672">
        <f>SUMIF(K167:K178,"&lt;"&amp;99^"99")</f>
        <v/>
      </c>
      <c r="L56" s="672">
        <f>SUMIF(L167:L178,"&lt;"&amp;99^"99")</f>
        <v/>
      </c>
      <c r="M56" s="505" t="n"/>
      <c r="N56" s="672">
        <f>SUMIF(N167:N178,"&lt;"&amp;99^"99")</f>
        <v/>
      </c>
      <c r="O56" s="505" t="n"/>
      <c r="P56" s="673">
        <f>+N56/$E$8</f>
        <v/>
      </c>
    </row>
    <row r="57" ht="12.6" customFormat="1" customHeight="1" s="299">
      <c r="B57" s="303" t="n"/>
      <c r="C57" s="520" t="inlineStr">
        <is>
          <t>Year 10</t>
        </is>
      </c>
      <c r="D57" s="521" t="n"/>
      <c r="E57" s="672">
        <f>SUMIF(E179:E190,"&lt;"&amp;99^"99")</f>
        <v/>
      </c>
      <c r="F57" s="672">
        <f>SUMIF(F179:F190,"&lt;"&amp;99^"99")</f>
        <v/>
      </c>
      <c r="G57" s="672">
        <f>SUMIF(G179:G190,"&lt;"&amp;99^"99")</f>
        <v/>
      </c>
      <c r="H57" s="672">
        <f>SUMIF(H179:H190,"&lt;"&amp;99^"99")</f>
        <v/>
      </c>
      <c r="I57" s="672">
        <f>SUMIF(I179:I190,"&lt;"&amp;99^"99")</f>
        <v/>
      </c>
      <c r="J57" s="505" t="n"/>
      <c r="K57" s="672">
        <f>SUMIF(K179:K190,"&lt;"&amp;99^"99")</f>
        <v/>
      </c>
      <c r="L57" s="672">
        <f>SUMIF(L179:L190,"&lt;"&amp;99^"99")</f>
        <v/>
      </c>
      <c r="M57" s="505" t="n"/>
      <c r="N57" s="672">
        <f>SUMIF(N179:N190,"&lt;"&amp;99^"99")</f>
        <v/>
      </c>
      <c r="O57" s="505" t="n"/>
      <c r="P57" s="673">
        <f>+N57/$E$8</f>
        <v/>
      </c>
    </row>
    <row r="58" ht="12.6" customFormat="1" customHeight="1" s="299">
      <c r="B58" s="303" t="n"/>
      <c r="C58" s="520" t="inlineStr">
        <is>
          <t>Year 11</t>
        </is>
      </c>
      <c r="D58" s="521" t="n"/>
      <c r="E58" s="672">
        <f>SUMIF(E191:E202,"&lt;"&amp;99^"99")</f>
        <v/>
      </c>
      <c r="F58" s="672">
        <f>SUMIF(F191:F202,"&lt;"&amp;99^"99")</f>
        <v/>
      </c>
      <c r="G58" s="672">
        <f>SUMIF(G191:G202,"&lt;"&amp;99^"99")</f>
        <v/>
      </c>
      <c r="H58" s="672">
        <f>SUMIF(H191:H202,"&lt;"&amp;99^"99")</f>
        <v/>
      </c>
      <c r="I58" s="672">
        <f>SUMIF(I191:I202,"&lt;"&amp;99^"99")</f>
        <v/>
      </c>
      <c r="J58" s="505" t="n"/>
      <c r="K58" s="672">
        <f>SUMIF(K191:K202,"&lt;"&amp;99^"99")</f>
        <v/>
      </c>
      <c r="L58" s="672">
        <f>SUMIF(L191:L202,"&lt;"&amp;99^"99")</f>
        <v/>
      </c>
      <c r="M58" s="505" t="n"/>
      <c r="N58" s="672">
        <f>SUMIF(N191:N202,"&lt;"&amp;99^"99")</f>
        <v/>
      </c>
      <c r="O58" s="505" t="n"/>
      <c r="P58" s="673">
        <f>+N58/$E$8</f>
        <v/>
      </c>
    </row>
    <row r="59" ht="12.6" customFormat="1" customHeight="1" s="299">
      <c r="B59" s="303" t="n"/>
      <c r="C59" s="520" t="inlineStr">
        <is>
          <t>Year 12</t>
        </is>
      </c>
      <c r="D59" s="521" t="n"/>
      <c r="E59" s="672">
        <f>SUMIF(E203:E214,"&lt;"&amp;99^"99")</f>
        <v/>
      </c>
      <c r="F59" s="672">
        <f>SUMIF(F203:F214,"&lt;"&amp;99^"99")</f>
        <v/>
      </c>
      <c r="G59" s="672">
        <f>SUMIF(G203:G214,"&lt;"&amp;99^"99")</f>
        <v/>
      </c>
      <c r="H59" s="672">
        <f>SUMIF(H203:H214,"&lt;"&amp;99^"99")</f>
        <v/>
      </c>
      <c r="I59" s="672">
        <f>SUMIF(I203:I214,"&lt;"&amp;99^"99")</f>
        <v/>
      </c>
      <c r="J59" s="505" t="n"/>
      <c r="K59" s="672">
        <f>SUMIF(K203:K214,"&lt;"&amp;99^"99")</f>
        <v/>
      </c>
      <c r="L59" s="672">
        <f>SUMIF(L203:L214,"&lt;"&amp;99^"99")</f>
        <v/>
      </c>
      <c r="M59" s="505" t="n"/>
      <c r="N59" s="672">
        <f>SUMIF(N203:N214,"&lt;"&amp;99^"99")</f>
        <v/>
      </c>
      <c r="O59" s="505" t="n"/>
      <c r="P59" s="673">
        <f>+N59/$E$8</f>
        <v/>
      </c>
    </row>
    <row r="60" ht="12.6" customFormat="1" customHeight="1" s="299">
      <c r="B60" s="303" t="n"/>
      <c r="C60" s="520" t="inlineStr">
        <is>
          <t>Year 13</t>
        </is>
      </c>
      <c r="D60" s="521" t="n"/>
      <c r="E60" s="672">
        <f>SUMIF(E215:E226,"&lt;"&amp;99^"99")</f>
        <v/>
      </c>
      <c r="F60" s="672">
        <f>SUMIF(F215:F226,"&lt;"&amp;99^"99")</f>
        <v/>
      </c>
      <c r="G60" s="672">
        <f>SUMIF(G215:G226,"&lt;"&amp;99^"99")</f>
        <v/>
      </c>
      <c r="H60" s="672">
        <f>SUMIF(H215:H226,"&lt;"&amp;99^"99")</f>
        <v/>
      </c>
      <c r="I60" s="672">
        <f>SUMIF(I215:I226,"&lt;"&amp;99^"99")</f>
        <v/>
      </c>
      <c r="J60" s="505" t="n"/>
      <c r="K60" s="672">
        <f>SUMIF(K215:K226,"&lt;"&amp;99^"99")</f>
        <v/>
      </c>
      <c r="L60" s="672">
        <f>SUMIF(L215:L226,"&lt;"&amp;99^"99")</f>
        <v/>
      </c>
      <c r="M60" s="505" t="n"/>
      <c r="N60" s="672">
        <f>SUMIF(N215:N226,"&lt;"&amp;99^"99")</f>
        <v/>
      </c>
      <c r="O60" s="505" t="n"/>
      <c r="P60" s="673">
        <f>+N60/$E$8</f>
        <v/>
      </c>
    </row>
    <row r="61" ht="12.6" customFormat="1" customHeight="1" s="299">
      <c r="B61" s="303" t="n"/>
      <c r="C61" s="520" t="inlineStr">
        <is>
          <t>Year 14</t>
        </is>
      </c>
      <c r="D61" s="521" t="n"/>
      <c r="E61" s="672">
        <f>SUMIF(E227:E238,"&lt;"&amp;99^"99")</f>
        <v/>
      </c>
      <c r="F61" s="672">
        <f>SUMIF(F227:F238,"&lt;"&amp;99^"99")</f>
        <v/>
      </c>
      <c r="G61" s="672">
        <f>SUMIF(G227:G238,"&lt;"&amp;99^"99")</f>
        <v/>
      </c>
      <c r="H61" s="672">
        <f>SUMIF(H227:H238,"&lt;"&amp;99^"99")</f>
        <v/>
      </c>
      <c r="I61" s="672">
        <f>SUMIF(I227:I238,"&lt;"&amp;99^"99")</f>
        <v/>
      </c>
      <c r="J61" s="505" t="n"/>
      <c r="K61" s="672">
        <f>SUMIF(K227:K238,"&lt;"&amp;99^"99")</f>
        <v/>
      </c>
      <c r="L61" s="672">
        <f>SUMIF(L227:L238,"&lt;"&amp;99^"99")</f>
        <v/>
      </c>
      <c r="M61" s="505" t="n"/>
      <c r="N61" s="672">
        <f>SUMIF(N227:N238,"&lt;"&amp;99^"99")</f>
        <v/>
      </c>
      <c r="O61" s="505" t="n"/>
      <c r="P61" s="673">
        <f>+N61/$E$8</f>
        <v/>
      </c>
    </row>
    <row r="62" ht="12.6" customFormat="1" customHeight="1" s="299">
      <c r="B62" s="303" t="n"/>
      <c r="C62" s="520" t="inlineStr">
        <is>
          <t>Year 15</t>
        </is>
      </c>
      <c r="D62" s="521" t="n"/>
      <c r="E62" s="672">
        <f>SUMIF(E239:E250,"&lt;"&amp;99^"99")</f>
        <v/>
      </c>
      <c r="F62" s="672">
        <f>SUMIF(F239:F250,"&lt;"&amp;99^"99")</f>
        <v/>
      </c>
      <c r="G62" s="672">
        <f>SUMIF(G239:G250,"&lt;"&amp;99^"99")</f>
        <v/>
      </c>
      <c r="H62" s="672">
        <f>SUMIF(H239:H250,"&lt;"&amp;99^"99")</f>
        <v/>
      </c>
      <c r="I62" s="672">
        <f>SUMIF(I239:I250,"&lt;"&amp;99^"99")</f>
        <v/>
      </c>
      <c r="J62" s="505" t="n"/>
      <c r="K62" s="672">
        <f>SUMIF(K239:K250,"&lt;"&amp;99^"99")</f>
        <v/>
      </c>
      <c r="L62" s="672">
        <f>SUMIF(L239:L250,"&lt;"&amp;99^"99")</f>
        <v/>
      </c>
      <c r="M62" s="505" t="n"/>
      <c r="N62" s="672">
        <f>SUMIF(N239:N250,"&lt;"&amp;99^"99")</f>
        <v/>
      </c>
      <c r="O62" s="505" t="n"/>
      <c r="P62" s="673">
        <f>+N62/$E$8</f>
        <v/>
      </c>
    </row>
    <row r="63" ht="12.6" customFormat="1" customHeight="1" s="299">
      <c r="B63" s="303" t="n"/>
      <c r="C63" s="520" t="inlineStr">
        <is>
          <t>Year 16</t>
        </is>
      </c>
      <c r="D63" s="521" t="n"/>
      <c r="E63" s="672">
        <f>SUMIF(E251:E262,"&lt;"&amp;99^"99")</f>
        <v/>
      </c>
      <c r="F63" s="672">
        <f>SUMIF(F251:F262,"&lt;"&amp;99^"99")</f>
        <v/>
      </c>
      <c r="G63" s="672">
        <f>SUMIF(G251:G262,"&lt;"&amp;99^"99")</f>
        <v/>
      </c>
      <c r="H63" s="672">
        <f>SUMIF(H251:H262,"&lt;"&amp;99^"99")</f>
        <v/>
      </c>
      <c r="I63" s="672">
        <f>SUMIF(I251:I262,"&lt;"&amp;99^"99")</f>
        <v/>
      </c>
      <c r="J63" s="505" t="n"/>
      <c r="K63" s="672">
        <f>SUMIF(K251:K262,"&lt;"&amp;99^"99")</f>
        <v/>
      </c>
      <c r="L63" s="672">
        <f>SUMIF(L251:L262,"&lt;"&amp;99^"99")</f>
        <v/>
      </c>
      <c r="M63" s="505" t="n"/>
      <c r="N63" s="672">
        <f>SUMIF(N251:N262,"&lt;"&amp;99^"99")</f>
        <v/>
      </c>
      <c r="O63" s="505" t="n"/>
      <c r="P63" s="673">
        <f>+N63/$E$8</f>
        <v/>
      </c>
    </row>
    <row r="64" ht="12.6" customFormat="1" customHeight="1" s="299">
      <c r="B64" s="303" t="n"/>
      <c r="C64" s="520" t="inlineStr">
        <is>
          <t>Year 17</t>
        </is>
      </c>
      <c r="D64" s="521" t="n"/>
      <c r="E64" s="672">
        <f>SUMIF(E263:E274,"&lt;"&amp;99^"99")</f>
        <v/>
      </c>
      <c r="F64" s="672">
        <f>SUMIF(F263:F274,"&lt;"&amp;99^"99")</f>
        <v/>
      </c>
      <c r="G64" s="672">
        <f>SUMIF(G263:G274,"&lt;"&amp;99^"99")</f>
        <v/>
      </c>
      <c r="H64" s="672">
        <f>SUMIF(H263:H274,"&lt;"&amp;99^"99")</f>
        <v/>
      </c>
      <c r="I64" s="672">
        <f>SUMIF(I263:I274,"&lt;"&amp;99^"99")</f>
        <v/>
      </c>
      <c r="J64" s="505" t="n"/>
      <c r="K64" s="672">
        <f>SUMIF(K263:K274,"&lt;"&amp;99^"99")</f>
        <v/>
      </c>
      <c r="L64" s="672">
        <f>SUMIF(L263:L274,"&lt;"&amp;99^"99")</f>
        <v/>
      </c>
      <c r="M64" s="505" t="n"/>
      <c r="N64" s="672">
        <f>SUMIF(N263:N274,"&lt;"&amp;99^"99")</f>
        <v/>
      </c>
      <c r="O64" s="505" t="n"/>
      <c r="P64" s="673">
        <f>+N64/$E$8</f>
        <v/>
      </c>
    </row>
    <row r="65" ht="12.6" customFormat="1" customHeight="1" s="299">
      <c r="B65" s="307" t="n"/>
      <c r="C65" s="520" t="inlineStr">
        <is>
          <t>Year 18</t>
        </is>
      </c>
      <c r="D65" s="521" t="n"/>
      <c r="E65" s="672">
        <f>SUMIF(E275:E286,"&lt;"&amp;99^"99")</f>
        <v/>
      </c>
      <c r="F65" s="672">
        <f>SUMIF(F275:F286,"&lt;"&amp;99^"99")</f>
        <v/>
      </c>
      <c r="G65" s="672">
        <f>SUMIF(G275:G286,"&lt;"&amp;99^"99")</f>
        <v/>
      </c>
      <c r="H65" s="672">
        <f>SUMIF(H275:H286,"&lt;"&amp;99^"99")</f>
        <v/>
      </c>
      <c r="I65" s="672">
        <f>SUMIF(I275:I286,"&lt;"&amp;99^"99")</f>
        <v/>
      </c>
      <c r="J65" s="505" t="n"/>
      <c r="K65" s="672">
        <f>SUMIF(K275:K286,"&lt;"&amp;99^"99")</f>
        <v/>
      </c>
      <c r="L65" s="672">
        <f>SUMIF(L275:L286,"&lt;"&amp;99^"99")</f>
        <v/>
      </c>
      <c r="M65" s="505" t="n"/>
      <c r="N65" s="672">
        <f>SUMIF(N275:N286,"&lt;"&amp;99^"99")</f>
        <v/>
      </c>
      <c r="O65" s="505" t="n"/>
      <c r="P65" s="673">
        <f>+N65/$E$8</f>
        <v/>
      </c>
    </row>
    <row r="66" ht="12.6" customFormat="1" customHeight="1" s="299">
      <c r="B66" s="307" t="n"/>
      <c r="C66" s="520" t="inlineStr">
        <is>
          <t>Year 19</t>
        </is>
      </c>
      <c r="D66" s="521" t="n"/>
      <c r="E66" s="671">
        <f>SUMIF(E287:E298,"&lt;"&amp;99^"99")</f>
        <v/>
      </c>
      <c r="F66" s="671">
        <f>SUMIF(F287:F298,"&lt;"&amp;99^"99")</f>
        <v/>
      </c>
      <c r="G66" s="671">
        <f>SUMIF(G287:G298,"&lt;"&amp;99^"99")</f>
        <v/>
      </c>
      <c r="H66" s="671">
        <f>SUMIF(H287:H298,"&lt;"&amp;99^"99")</f>
        <v/>
      </c>
      <c r="I66" s="672">
        <f>SUMIF(I287:I298,"&lt;"&amp;99^"99")</f>
        <v/>
      </c>
      <c r="J66" s="505" t="n"/>
      <c r="K66" s="671">
        <f>SUMIF(K287:K298,"&lt;"&amp;99^"99")</f>
        <v/>
      </c>
      <c r="L66" s="672">
        <f>SUMIF(L287:L298,"&lt;"&amp;99^"99")</f>
        <v/>
      </c>
      <c r="M66" s="505" t="n"/>
      <c r="N66" s="672">
        <f>SUMIF(N287:N298,"&lt;"&amp;99^"99")</f>
        <v/>
      </c>
      <c r="O66" s="505" t="n"/>
      <c r="P66" s="673">
        <f>+N66/$E$8</f>
        <v/>
      </c>
    </row>
    <row r="67" ht="12.6" customFormat="1" customHeight="1" s="299">
      <c r="B67" s="308" t="n"/>
      <c r="C67" s="571" t="inlineStr">
        <is>
          <t>Year 20</t>
        </is>
      </c>
      <c r="D67" s="572" t="n"/>
      <c r="E67" s="674">
        <f>SUMIF(E299:E310,"&lt;"&amp;99^"99")</f>
        <v/>
      </c>
      <c r="F67" s="674">
        <f>SUMIF(F299:F310,"&lt;"&amp;99^"99")</f>
        <v/>
      </c>
      <c r="G67" s="674">
        <f>SUMIF(G299:G310,"&lt;"&amp;99^"99")</f>
        <v/>
      </c>
      <c r="H67" s="674">
        <f>SUMIF(H299:H310,"&lt;"&amp;99^"99")</f>
        <v/>
      </c>
      <c r="I67" s="675">
        <f>SUMIF(I299:I310, "&lt;"&amp;99^"99")</f>
        <v/>
      </c>
      <c r="J67" s="517" t="n"/>
      <c r="K67" s="674">
        <f>SUMIF(K299:K310,"&lt;"&amp;99^"99")</f>
        <v/>
      </c>
      <c r="L67" s="675">
        <f>SUMIF(L299:L310, "&lt;"&amp;99^"99")</f>
        <v/>
      </c>
      <c r="M67" s="517" t="n"/>
      <c r="N67" s="675">
        <f>SUMIF(N299:N310, "&lt;"&amp;99^"99")</f>
        <v/>
      </c>
      <c r="O67" s="517" t="n"/>
      <c r="P67" s="676">
        <f>+N67/$E$8</f>
        <v/>
      </c>
    </row>
    <row r="68" ht="15" customFormat="1" customHeight="1" s="142">
      <c r="D68" s="311" t="n"/>
      <c r="E68" s="677" t="n"/>
      <c r="F68" s="677" t="n"/>
      <c r="G68" s="677" t="n"/>
      <c r="H68" s="677" t="n"/>
      <c r="I68" s="677" t="n"/>
      <c r="J68" s="677" t="n"/>
      <c r="K68" s="677" t="n"/>
      <c r="L68" s="677" t="n"/>
      <c r="M68" s="677" t="n"/>
      <c r="N68" s="677" t="n"/>
      <c r="O68" s="677" t="n"/>
      <c r="P68" s="678" t="n"/>
    </row>
    <row r="69" ht="16.5" customFormat="1" customHeight="1" s="140">
      <c r="B69" s="265" t="inlineStr">
        <is>
          <t>Monthly Cash Flow</t>
        </is>
      </c>
      <c r="C69" s="266" t="n"/>
      <c r="D69" s="267" t="n"/>
      <c r="E69" s="268" t="n"/>
      <c r="F69" s="268" t="n"/>
      <c r="G69" s="268" t="n"/>
      <c r="H69" s="268" t="n"/>
      <c r="I69" s="645" t="n"/>
      <c r="J69" s="645" t="n"/>
      <c r="K69" s="646" t="n"/>
      <c r="L69" s="646" t="n"/>
      <c r="M69" s="646" t="n"/>
      <c r="N69" s="646" t="n"/>
      <c r="O69" s="646" t="n"/>
      <c r="P69" s="667" t="n"/>
    </row>
    <row r="70" ht="37.5" customFormat="1" customHeight="1" s="249">
      <c r="B70" s="314" t="n"/>
      <c r="C70" s="272" t="n"/>
      <c r="D70" s="518" t="inlineStr">
        <is>
          <t>Base Rate PSF</t>
        </is>
      </c>
      <c r="E70" s="518" t="inlineStr">
        <is>
          <t>Monthly 
Base Rent</t>
        </is>
      </c>
      <c r="F70" s="518" t="inlineStr">
        <is>
          <t>Rent Tax</t>
        </is>
      </c>
      <c r="G70" s="518" t="inlineStr">
        <is>
          <t>PM Fee</t>
        </is>
      </c>
      <c r="H70" s="518" t="inlineStr">
        <is>
          <t>CAM, Tax
&amp; Ins</t>
        </is>
      </c>
      <c r="I70" s="518" t="inlineStr">
        <is>
          <t>Monthly
Operating Expenses</t>
        </is>
      </c>
      <c r="J70" s="519" t="n"/>
      <c r="K70" s="247" t="inlineStr">
        <is>
          <t>Monthly
Amortized TI Bucket 1</t>
        </is>
      </c>
      <c r="L70" s="518" t="inlineStr">
        <is>
          <t>Monthly
Amortized TI Bucket 2</t>
        </is>
      </c>
      <c r="M70" s="519" t="n"/>
      <c r="N70" s="518" t="inlineStr">
        <is>
          <t>Monthly
Gross Rent</t>
        </is>
      </c>
      <c r="O70" s="519" t="n"/>
      <c r="P70" s="298" t="inlineStr">
        <is>
          <t>Annual
Gross Rent per SF</t>
        </is>
      </c>
    </row>
    <row r="71" ht="12.6" customFormat="1" customHeight="1" s="299">
      <c r="B71" s="315">
        <f>IF(B70+1&lt;=$E$21,B70+1,IF(B70&gt;=$E$21,"",IF(B70="","")))</f>
        <v/>
      </c>
      <c r="C71" s="316">
        <f>E20</f>
        <v/>
      </c>
      <c r="D71" s="679">
        <f>VLOOKUP(B71,$G$9:$I$29,3)</f>
        <v/>
      </c>
      <c r="E71" s="680">
        <f>D71*$E$8/12</f>
        <v/>
      </c>
      <c r="F71" s="681">
        <f>IF($C$17="Gross Rent",$B$17*(H71++G71+E71),IF($C$17="Base Rent",$B$17*E71))</f>
        <v/>
      </c>
      <c r="G71" s="681">
        <f>IF($C$16="Base Rent",$B$16*E71,IF($C$16="Gross Rent",$B$16*(H71+E71)))</f>
        <v/>
      </c>
      <c r="H71" s="681">
        <f>((SUM(E12:E14)*E8/12))+((SUM(E12:E14)*E8/12))*E15</f>
        <v/>
      </c>
      <c r="I71" s="682">
        <f>SUM(F71:H71)</f>
        <v/>
      </c>
      <c r="J71" s="514" t="n"/>
      <c r="K71" s="681">
        <f>IF($E$37&gt;B71,0,$E$36 IF(B71&gt;$E$21,0,$E$36))</f>
        <v/>
      </c>
      <c r="L71" s="683">
        <f>IF($F$37&gt;B71,0,$F$36 IF(B71&gt;$E$21,0,$F$36))</f>
        <v/>
      </c>
      <c r="M71" s="514" t="n"/>
      <c r="N71" s="682">
        <f>SUM(L71,K71,I71,E71)</f>
        <v/>
      </c>
      <c r="O71" s="514" t="n"/>
      <c r="P71" s="684">
        <f>+N71/$E$8*12</f>
        <v/>
      </c>
    </row>
    <row r="72" ht="12.6" customFormat="1" customHeight="1" s="299">
      <c r="B72" s="315">
        <f>IF(B71+1&lt;=$E$21,B71+1,IF(B71&gt;=$E$21,"",IF(B71="","")))</f>
        <v/>
      </c>
      <c r="C72" s="316">
        <f>IF(B72&gt;$E$21,"", DATE(YEAR(C71),MONTH(C71)+1,DAY(C71)))</f>
        <v/>
      </c>
      <c r="D72" s="679">
        <f>VLOOKUP(B72,$G$9:$I$29,3)</f>
        <v/>
      </c>
      <c r="E72" s="680">
        <f>D72*$E$8/12</f>
        <v/>
      </c>
      <c r="F72" s="681">
        <f>IF($C$17="Gross Rent",$B$17*(H72+E72),IF($C$17="Base Rent",$B$17*E72))</f>
        <v/>
      </c>
      <c r="G72" s="681">
        <f>IF($C$16="Base Rent",$B$16*E72,IF($C$16="Gross Rent",$B$16*(H72+E72)))</f>
        <v/>
      </c>
      <c r="H72" s="680">
        <f>IF(MONTH(C72)=MONTH($E$19),((H71*(1+$E$18))),H71)</f>
        <v/>
      </c>
      <c r="I72" s="680">
        <f>SUM(F72:H72)</f>
        <v/>
      </c>
      <c r="J72" s="505" t="n"/>
      <c r="K72" s="681">
        <f>IF($E$37&gt;B72,0,$E$36 IF(B72&gt;$E$21,0,$E$36))</f>
        <v/>
      </c>
      <c r="L72" s="685">
        <f>IF($F$37&gt;B72,0,$F$36 IF(B72&gt;$E$21,0,$F$36))</f>
        <v/>
      </c>
      <c r="M72" s="505" t="n"/>
      <c r="N72" s="680">
        <f>SUM(L72,K72,I72,E72)</f>
        <v/>
      </c>
      <c r="O72" s="505" t="n"/>
      <c r="P72" s="686">
        <f>+N72/$E$8*12</f>
        <v/>
      </c>
    </row>
    <row r="73" ht="12.6" customFormat="1" customHeight="1" s="299">
      <c r="B73" s="315">
        <f>IF(B72+1&lt;=$E$21,B72+1,IF(B72&gt;=$E$21,"",IF(B72="","")))</f>
        <v/>
      </c>
      <c r="C73" s="316">
        <f>IF(B73&gt;$E$21,"", DATE(YEAR(C72),MONTH(C72)+1,DAY(C72)))</f>
        <v/>
      </c>
      <c r="D73" s="679">
        <f>VLOOKUP(B73,$G$9:$I$29,3)</f>
        <v/>
      </c>
      <c r="E73" s="680">
        <f>D73*$E$8/12</f>
        <v/>
      </c>
      <c r="F73" s="681">
        <f>IF($C$17="Gross Rent",$B$17*(H73+E73),IF($C$17="Base Rent",$B$17*E73))</f>
        <v/>
      </c>
      <c r="G73" s="681">
        <f>IF($C$16="Base Rent",$B$16*E73,IF($C$16="Gross Rent",$B$16*(H73+E73)))</f>
        <v/>
      </c>
      <c r="H73" s="680">
        <f>IF(MONTH(C73)=MONTH($E$19),((H72*(1+$E$18))),H72)</f>
        <v/>
      </c>
      <c r="I73" s="680">
        <f>SUM(F73:H73)</f>
        <v/>
      </c>
      <c r="J73" s="505" t="n"/>
      <c r="K73" s="681">
        <f>IF($E$37&gt;B73,0,$E$36 IF(B73&gt;$E$21,0,$E$36))</f>
        <v/>
      </c>
      <c r="L73" s="685">
        <f>IF($F$37&gt;B73,0,$F$36 IF(B73&gt;$E$21,0,$F$36))</f>
        <v/>
      </c>
      <c r="M73" s="505" t="n"/>
      <c r="N73" s="680">
        <f>SUM(L73,K73,I73,E73)</f>
        <v/>
      </c>
      <c r="O73" s="505" t="n"/>
      <c r="P73" s="686">
        <f>+N73/$E$8*12</f>
        <v/>
      </c>
    </row>
    <row r="74" ht="12.6" customFormat="1" customHeight="1" s="299">
      <c r="B74" s="315">
        <f>IF(B73+1&lt;=$E$21,B73+1,IF(B73&gt;=$E$21,"",IF(B73="","")))</f>
        <v/>
      </c>
      <c r="C74" s="316">
        <f>IF(B74&gt;$E$21,"", DATE(YEAR(C73),MONTH(C73)+1,DAY(C73)))</f>
        <v/>
      </c>
      <c r="D74" s="679">
        <f>VLOOKUP(B74,$G$9:$I$29,3)</f>
        <v/>
      </c>
      <c r="E74" s="680">
        <f>D74*$E$8/12</f>
        <v/>
      </c>
      <c r="F74" s="681">
        <f>IF($C$17="Gross Rent",$B$17*(H74+E74),IF($C$17="Base Rent",$B$17*E74))</f>
        <v/>
      </c>
      <c r="G74" s="681">
        <f>IF($C$16="Base Rent",$B$16*E74,IF($C$16="Gross Rent",$B$16*(H74+E74)))</f>
        <v/>
      </c>
      <c r="H74" s="680">
        <f>IF(MONTH(C74)=MONTH($E$19),((H73*(1+$E$18))),H73)</f>
        <v/>
      </c>
      <c r="I74" s="680">
        <f>SUM(F74:H74)</f>
        <v/>
      </c>
      <c r="J74" s="505" t="n"/>
      <c r="K74" s="681">
        <f>IF($E$37&gt;B74,0,$E$36 IF(B74&gt;$E$21,0,$E$36))</f>
        <v/>
      </c>
      <c r="L74" s="685">
        <f>IF($F$37&gt;B74,0,$F$36 IF(B74&gt;$E$21,0,$F$36))</f>
        <v/>
      </c>
      <c r="M74" s="505" t="n"/>
      <c r="N74" s="680">
        <f>SUM(L74,K74,I74,E74)</f>
        <v/>
      </c>
      <c r="O74" s="505" t="n"/>
      <c r="P74" s="686">
        <f>+N74/$E$8*12</f>
        <v/>
      </c>
    </row>
    <row r="75" ht="12.6" customFormat="1" customHeight="1" s="299">
      <c r="B75" s="315">
        <f>IF(B74+1&lt;=$E$21,B74+1,IF(B74&gt;=$E$21,"",IF(B74="","")))</f>
        <v/>
      </c>
      <c r="C75" s="316">
        <f>IF(B75&gt;$E$21,"", DATE(YEAR(C74),MONTH(C74)+1,DAY(C74)))</f>
        <v/>
      </c>
      <c r="D75" s="679">
        <f>VLOOKUP(B75,$G$9:$I$29,3)</f>
        <v/>
      </c>
      <c r="E75" s="680">
        <f>D75*$E$8/12</f>
        <v/>
      </c>
      <c r="F75" s="681">
        <f>IF($C$17="Gross Rent",$B$17*(H75+E75),IF($C$17="Base Rent",$B$17*E75))</f>
        <v/>
      </c>
      <c r="G75" s="681">
        <f>IF($C$16="Base Rent",$B$16*E75,IF($C$16="Gross Rent",$B$16*(H75+E75)))</f>
        <v/>
      </c>
      <c r="H75" s="680">
        <f>IF(MONTH(C75)=MONTH($E$19),((H74*(1+$E$18))),H74)</f>
        <v/>
      </c>
      <c r="I75" s="680">
        <f>SUM(F75:H75)</f>
        <v/>
      </c>
      <c r="J75" s="505" t="n"/>
      <c r="K75" s="681">
        <f>IF($E$37&gt;B75,0,$E$36 IF(B75&gt;$E$21,0,$E$36))</f>
        <v/>
      </c>
      <c r="L75" s="685">
        <f>IF($F$37&gt;B75,0,$F$36 IF(B75&gt;$E$21,0,$F$36))</f>
        <v/>
      </c>
      <c r="M75" s="505" t="n"/>
      <c r="N75" s="680">
        <f>SUM(L75,K75,I75,E75)</f>
        <v/>
      </c>
      <c r="O75" s="505" t="n"/>
      <c r="P75" s="686">
        <f>+N75/$E$8*12</f>
        <v/>
      </c>
    </row>
    <row r="76" ht="12.6" customFormat="1" customHeight="1" s="299">
      <c r="B76" s="315">
        <f>IF(B75+1&lt;=$E$21,B75+1,IF(B75&gt;=$E$21,"",IF(B75="","")))</f>
        <v/>
      </c>
      <c r="C76" s="316">
        <f>IF(B76&gt;$E$21,"", DATE(YEAR(C75),MONTH(C75)+1,DAY(C75)))</f>
        <v/>
      </c>
      <c r="D76" s="679">
        <f>VLOOKUP(B76,$G$9:$I$29,3)</f>
        <v/>
      </c>
      <c r="E76" s="680">
        <f>D76*$E$8/12</f>
        <v/>
      </c>
      <c r="F76" s="681">
        <f>IF($C$17="Gross Rent",$B$17*(H76+E76),IF($C$17="Base Rent",$B$17*E76))</f>
        <v/>
      </c>
      <c r="G76" s="681">
        <f>IF($C$16="Base Rent",$B$16*E76,IF($C$16="Gross Rent",$B$16*(H76+E76)))</f>
        <v/>
      </c>
      <c r="H76" s="680">
        <f>IF(MONTH(C76)=MONTH($E$19),((H75*(1+$E$18))),H75)</f>
        <v/>
      </c>
      <c r="I76" s="680">
        <f>SUM(F76:H76)</f>
        <v/>
      </c>
      <c r="J76" s="505" t="n"/>
      <c r="K76" s="681">
        <f>IF($E$37&gt;B76,0,$E$36 IF(B76&gt;$E$21,0,$E$36))</f>
        <v/>
      </c>
      <c r="L76" s="685">
        <f>IF($F$37&gt;B76,0,$F$36 IF(B76&gt;$E$21,0,$F$36))</f>
        <v/>
      </c>
      <c r="M76" s="505" t="n"/>
      <c r="N76" s="680">
        <f>SUM(L76,K76,I76,E76)</f>
        <v/>
      </c>
      <c r="O76" s="505" t="n"/>
      <c r="P76" s="673">
        <f>+N76/$E$8*12</f>
        <v/>
      </c>
    </row>
    <row r="77" ht="12.6" customFormat="1" customHeight="1" s="299">
      <c r="B77" s="315">
        <f>IF(B76+1&lt;=$E$21,B76+1,IF(B76&gt;=$E$21,"",IF(B76="","")))</f>
        <v/>
      </c>
      <c r="C77" s="316">
        <f>IF(B77&gt;$E$21,"", DATE(YEAR(C76),MONTH(C76)+1,DAY(C76)))</f>
        <v/>
      </c>
      <c r="D77" s="679">
        <f>VLOOKUP(B77,$G$9:$I$29,3)</f>
        <v/>
      </c>
      <c r="E77" s="680">
        <f>D77*$E$8/12</f>
        <v/>
      </c>
      <c r="F77" s="681">
        <f>IF($C$17="Gross Rent",$B$17*(H77+E77),IF($C$17="Base Rent",$B$17*E77))</f>
        <v/>
      </c>
      <c r="G77" s="681">
        <f>IF($C$16="Base Rent",$B$16*E77,IF($C$16="Gross Rent",$B$16*(H77+E77)))</f>
        <v/>
      </c>
      <c r="H77" s="680">
        <f>IF(MONTH(C77)=MONTH($E$19),((H76*(1+$E$18))),H76)</f>
        <v/>
      </c>
      <c r="I77" s="680">
        <f>SUM(F77:H77)</f>
        <v/>
      </c>
      <c r="J77" s="505" t="n"/>
      <c r="K77" s="681">
        <f>IF($E$37&gt;B77,0,$E$36 IF(B77&gt;$E$21,0,$E$36))</f>
        <v/>
      </c>
      <c r="L77" s="685">
        <f>IF($F$37&gt;B77,0,$F$36 IF(B77&gt;$E$21,0,$F$36))</f>
        <v/>
      </c>
      <c r="M77" s="505" t="n"/>
      <c r="N77" s="680">
        <f>SUM(L77,K77,I77,E77)</f>
        <v/>
      </c>
      <c r="O77" s="505" t="n"/>
      <c r="P77" s="673">
        <f>+N77/$E$8*12</f>
        <v/>
      </c>
    </row>
    <row r="78" ht="12.6" customFormat="1" customHeight="1" s="299">
      <c r="B78" s="315">
        <f>IF(B77+1&lt;=$E$21,B77+1,IF(B77&gt;=$E$21,"",IF(B77="","")))</f>
        <v/>
      </c>
      <c r="C78" s="316">
        <f>IF(B78&gt;$E$21,"", DATE(YEAR(C77),MONTH(C77)+1,DAY(C77)))</f>
        <v/>
      </c>
      <c r="D78" s="679">
        <f>VLOOKUP(B78,$G$9:$I$29,3)</f>
        <v/>
      </c>
      <c r="E78" s="680">
        <f>D78*$E$8/12</f>
        <v/>
      </c>
      <c r="F78" s="681">
        <f>IF($C$17="Gross Rent",$B$17*(H78+E78),IF($C$17="Base Rent",$B$17*E78))</f>
        <v/>
      </c>
      <c r="G78" s="681">
        <f>IF($C$16="Base Rent",$B$16*E78,IF($C$16="Gross Rent",$B$16*(H78+E78)))</f>
        <v/>
      </c>
      <c r="H78" s="680">
        <f>IF(MONTH(C78)=MONTH($E$19),((H77*(1+$E$18))),H77)</f>
        <v/>
      </c>
      <c r="I78" s="680">
        <f>SUM(F78:H78)</f>
        <v/>
      </c>
      <c r="J78" s="505" t="n"/>
      <c r="K78" s="681">
        <f>IF($E$37&gt;B78,0,$E$36 IF(B78&gt;$E$21,0,$E$36))</f>
        <v/>
      </c>
      <c r="L78" s="685">
        <f>IF($F$37&gt;B78,0,$F$36 IF(B78&gt;$E$21,0,$F$36))</f>
        <v/>
      </c>
      <c r="M78" s="505" t="n"/>
      <c r="N78" s="680">
        <f>SUM(L78,K78,I78,E78)</f>
        <v/>
      </c>
      <c r="O78" s="505" t="n"/>
      <c r="P78" s="673">
        <f>+N78/$E$8*12</f>
        <v/>
      </c>
    </row>
    <row r="79" ht="12.6" customFormat="1" customHeight="1" s="299">
      <c r="B79" s="315">
        <f>IF(B78+1&lt;=$E$21,B78+1,IF(B78&gt;=$E$21,"",IF(B78="","")))</f>
        <v/>
      </c>
      <c r="C79" s="316">
        <f>IF(B79&gt;$E$21,"", DATE(YEAR(C78),MONTH(C78)+1,DAY(C78)))</f>
        <v/>
      </c>
      <c r="D79" s="679">
        <f>VLOOKUP(B79,$G$9:$I$29,3)</f>
        <v/>
      </c>
      <c r="E79" s="680">
        <f>D79*$E$8/12</f>
        <v/>
      </c>
      <c r="F79" s="681">
        <f>IF($C$17="Gross Rent",$B$17*(H79+E79),IF($C$17="Base Rent",$B$17*E79))</f>
        <v/>
      </c>
      <c r="G79" s="681">
        <f>IF($C$16="Base Rent",$B$16*E79,IF($C$16="Gross Rent",$B$16*(H79+E79)))</f>
        <v/>
      </c>
      <c r="H79" s="680">
        <f>IF(MONTH(C79)=MONTH($E$19),((H78*(1+$E$18))),H78)</f>
        <v/>
      </c>
      <c r="I79" s="680">
        <f>SUM(F79:H79)</f>
        <v/>
      </c>
      <c r="J79" s="505" t="n"/>
      <c r="K79" s="681">
        <f>IF($E$37&gt;B79,0,$E$36 IF(B79&gt;$E$21,0,$E$36))</f>
        <v/>
      </c>
      <c r="L79" s="685">
        <f>IF($F$37&gt;B79,0,$F$36 IF(B79&gt;$E$21,0,$F$36))</f>
        <v/>
      </c>
      <c r="M79" s="505" t="n"/>
      <c r="N79" s="680">
        <f>SUM(L79,K79,I79,E79)</f>
        <v/>
      </c>
      <c r="O79" s="505" t="n"/>
      <c r="P79" s="673">
        <f>+N79/$E$8*12</f>
        <v/>
      </c>
    </row>
    <row r="80" ht="12.6" customFormat="1" customHeight="1" s="299">
      <c r="B80" s="315">
        <f>IF(B79+1&lt;=$E$21,B79+1,IF(B79&gt;=$E$21,"",IF(B79="","")))</f>
        <v/>
      </c>
      <c r="C80" s="316">
        <f>IF(B80&gt;$E$21,"", DATE(YEAR(C79),MONTH(C79)+1,DAY(C79)))</f>
        <v/>
      </c>
      <c r="D80" s="679">
        <f>VLOOKUP(B80,$G$9:$I$29,3)</f>
        <v/>
      </c>
      <c r="E80" s="680">
        <f>D80*$E$8/12</f>
        <v/>
      </c>
      <c r="F80" s="681">
        <f>IF($C$17="Gross Rent",$B$17*(H80+E80),IF($C$17="Base Rent",$B$17*E80))</f>
        <v/>
      </c>
      <c r="G80" s="681">
        <f>IF($C$16="Base Rent",$B$16*E80,IF($C$16="Gross Rent",$B$16*(H80+E80)))</f>
        <v/>
      </c>
      <c r="H80" s="680">
        <f>IF(MONTH(C80)=MONTH($E$19),((H79*(1+$E$18))),H79)</f>
        <v/>
      </c>
      <c r="I80" s="680">
        <f>SUM(F80:H80)</f>
        <v/>
      </c>
      <c r="J80" s="505" t="n"/>
      <c r="K80" s="681">
        <f>IF($E$37&gt;B80,0,$E$36 IF(B80&gt;$E$21,0,$E$36))</f>
        <v/>
      </c>
      <c r="L80" s="685">
        <f>IF($F$37&gt;B80,0,$F$36 IF(B80&gt;$E$21,0,$F$36))</f>
        <v/>
      </c>
      <c r="M80" s="505" t="n"/>
      <c r="N80" s="680">
        <f>SUM(L80,K80,I80,E80)</f>
        <v/>
      </c>
      <c r="O80" s="505" t="n"/>
      <c r="P80" s="673">
        <f>+N80/$E$8*12</f>
        <v/>
      </c>
    </row>
    <row r="81" ht="12.6" customFormat="1" customHeight="1" s="299">
      <c r="B81" s="315">
        <f>IF(B80+1&lt;=$E$21,B80+1,IF(B80&gt;=$E$21,"",IF(B80="","")))</f>
        <v/>
      </c>
      <c r="C81" s="316">
        <f>IF(B81&gt;$E$21,"", DATE(YEAR(C80),MONTH(C80)+1,DAY(C80)))</f>
        <v/>
      </c>
      <c r="D81" s="679">
        <f>VLOOKUP(B81,$G$9:$I$29,3)</f>
        <v/>
      </c>
      <c r="E81" s="680">
        <f>D81*$E$8/12</f>
        <v/>
      </c>
      <c r="F81" s="681">
        <f>IF($C$17="Gross Rent",$B$17*(H81+E81),IF($C$17="Base Rent",$B$17*E81))</f>
        <v/>
      </c>
      <c r="G81" s="681">
        <f>IF($C$16="Base Rent",$B$16*E81,IF($C$16="Gross Rent",$B$16*(H81+E81)))</f>
        <v/>
      </c>
      <c r="H81" s="680">
        <f>IF(MONTH(C81)=MONTH($E$19),((H80*(1+$E$18))),H80)</f>
        <v/>
      </c>
      <c r="I81" s="680">
        <f>SUM(F81:H81)</f>
        <v/>
      </c>
      <c r="J81" s="505" t="n"/>
      <c r="K81" s="681">
        <f>IF($E$37&gt;B81,0,$E$36 IF(B81&gt;$E$21,0,$E$36))</f>
        <v/>
      </c>
      <c r="L81" s="685">
        <f>IF($F$37&gt;B81,0,$F$36 IF(B81&gt;$E$21,0,$F$36))</f>
        <v/>
      </c>
      <c r="M81" s="505" t="n"/>
      <c r="N81" s="680">
        <f>SUM(L81,K81,I81,E81)</f>
        <v/>
      </c>
      <c r="O81" s="505" t="n"/>
      <c r="P81" s="673">
        <f>+N81/$E$8*12</f>
        <v/>
      </c>
    </row>
    <row r="82" ht="12.6" customFormat="1" customHeight="1" s="299">
      <c r="B82" s="315">
        <f>IF(B81+1&lt;=$E$21,B81+1,IF(B81&gt;=$E$21,"",IF(B81="","")))</f>
        <v/>
      </c>
      <c r="C82" s="316">
        <f>IF(B82&gt;$E$21,"", DATE(YEAR(C81),MONTH(C81)+1,DAY(C81)))</f>
        <v/>
      </c>
      <c r="D82" s="679">
        <f>VLOOKUP(B82,$G$9:$I$29,3)</f>
        <v/>
      </c>
      <c r="E82" s="680">
        <f>D82*$E$8/12</f>
        <v/>
      </c>
      <c r="F82" s="681">
        <f>IF($C$17="Gross Rent",$B$17*(H82+E82),IF($C$17="Base Rent",$B$17*E82))</f>
        <v/>
      </c>
      <c r="G82" s="681">
        <f>IF($C$16="Base Rent",$B$16*E82,IF($C$16="Gross Rent",$B$16*(H82+E82)))</f>
        <v/>
      </c>
      <c r="H82" s="680">
        <f>IF(MONTH(C82)=MONTH($E$19),((H81*(1+$E$18))),H81)</f>
        <v/>
      </c>
      <c r="I82" s="680">
        <f>SUM(F82:H82)</f>
        <v/>
      </c>
      <c r="J82" s="505" t="n"/>
      <c r="K82" s="681">
        <f>IF($E$37&gt;B82,0,$E$36 IF(B82&gt;$E$21,0,$E$36))</f>
        <v/>
      </c>
      <c r="L82" s="685">
        <f>IF($F$37&gt;B82,0,$F$36 IF(B82&gt;$E$21,0,$F$36))</f>
        <v/>
      </c>
      <c r="M82" s="505" t="n"/>
      <c r="N82" s="680">
        <f>SUM(L82,K82,I82,E82)</f>
        <v/>
      </c>
      <c r="O82" s="505" t="n"/>
      <c r="P82" s="673">
        <f>+N82/$E$8*12</f>
        <v/>
      </c>
    </row>
    <row r="83" ht="12.6" customFormat="1" customHeight="1" s="299">
      <c r="B83" s="315">
        <f>IF(B82+1&lt;=$E$21,B82+1,IF(B82&gt;=$E$21,"",IF(B82="","")))</f>
        <v/>
      </c>
      <c r="C83" s="316">
        <f>IF(B83&gt;$E$21,"", DATE(YEAR(C82),MONTH(C82)+1,DAY(C82)))</f>
        <v/>
      </c>
      <c r="D83" s="679">
        <f>VLOOKUP(B83,$G$9:$I$29,3)</f>
        <v/>
      </c>
      <c r="E83" s="680">
        <f>D83*$E$8/12</f>
        <v/>
      </c>
      <c r="F83" s="681">
        <f>IF($C$17="Gross Rent",$B$17*(H83+E83),IF($C$17="Base Rent",$B$17*E83))</f>
        <v/>
      </c>
      <c r="G83" s="681">
        <f>IF($C$16="Base Rent",$B$16*E83,IF($C$16="Gross Rent",$B$16*(H83+E83)))</f>
        <v/>
      </c>
      <c r="H83" s="680">
        <f>IF(MONTH(C83)=MONTH($E$19),((H82*(1+$E$18))),H82)</f>
        <v/>
      </c>
      <c r="I83" s="680">
        <f>SUM(F83:H83)</f>
        <v/>
      </c>
      <c r="J83" s="505" t="n"/>
      <c r="K83" s="681">
        <f>IF($E$37&gt;B83,0,$E$36 IF(B83&gt;$E$21,0,$E$36))</f>
        <v/>
      </c>
      <c r="L83" s="685">
        <f>IF($F$37&gt;B83,0,$F$36 IF(B83&gt;$E$21,0,$F$36))</f>
        <v/>
      </c>
      <c r="M83" s="505" t="n"/>
      <c r="N83" s="680">
        <f>SUM(L83,K83,I83,E83)</f>
        <v/>
      </c>
      <c r="O83" s="505" t="n"/>
      <c r="P83" s="673">
        <f>+N83/$E$8*12</f>
        <v/>
      </c>
    </row>
    <row r="84" ht="12.6" customFormat="1" customHeight="1" s="299">
      <c r="B84" s="315">
        <f>IF(B83+1&lt;=$E$21,B83+1,IF(B83&gt;=$E$21,"",IF(B83="","")))</f>
        <v/>
      </c>
      <c r="C84" s="316">
        <f>IF(B84&gt;$E$21,"", DATE(YEAR(C83),MONTH(C83)+1,DAY(C83)))</f>
        <v/>
      </c>
      <c r="D84" s="679">
        <f>VLOOKUP(B84,$G$9:$I$29,3)</f>
        <v/>
      </c>
      <c r="E84" s="680">
        <f>D84*$E$8/12</f>
        <v/>
      </c>
      <c r="F84" s="681">
        <f>IF($C$17="Gross Rent",$B$17*(H84+E84),IF($C$17="Base Rent",$B$17*E84))</f>
        <v/>
      </c>
      <c r="G84" s="681">
        <f>IF($C$16="Base Rent",$B$16*E84,IF($C$16="Gross Rent",$B$16*(H84+E84)))</f>
        <v/>
      </c>
      <c r="H84" s="680">
        <f>IF(MONTH(C84)=MONTH($E$19),((H83*(1+$E$18))),H83)</f>
        <v/>
      </c>
      <c r="I84" s="680">
        <f>SUM(F84:H84)</f>
        <v/>
      </c>
      <c r="J84" s="505" t="n"/>
      <c r="K84" s="681">
        <f>IF($E$37&gt;B84,0,$E$36 IF(B84&gt;$E$21,0,$E$36))</f>
        <v/>
      </c>
      <c r="L84" s="685">
        <f>IF($F$37&gt;B84,0,$F$36 IF(B84&gt;$E$21,0,$F$36))</f>
        <v/>
      </c>
      <c r="M84" s="505" t="n"/>
      <c r="N84" s="680">
        <f>SUM(L84,K84,I84,E84)</f>
        <v/>
      </c>
      <c r="O84" s="505" t="n"/>
      <c r="P84" s="673">
        <f>+N84/$E$8*12</f>
        <v/>
      </c>
    </row>
    <row r="85" ht="12.6" customFormat="1" customHeight="1" s="299">
      <c r="B85" s="315">
        <f>IF(B84+1&lt;=$E$21,B84+1,IF(B84&gt;=$E$21,"",IF(B84="","")))</f>
        <v/>
      </c>
      <c r="C85" s="316">
        <f>IF(B85&gt;$E$21,"", DATE(YEAR(C84),MONTH(C84)+1,DAY(C84)))</f>
        <v/>
      </c>
      <c r="D85" s="679">
        <f>VLOOKUP(B85,$G$9:$I$29,3)</f>
        <v/>
      </c>
      <c r="E85" s="680">
        <f>D85*$E$8/12</f>
        <v/>
      </c>
      <c r="F85" s="681">
        <f>IF($C$17="Gross Rent",$B$17*(H85+E85),IF($C$17="Base Rent",$B$17*E85))</f>
        <v/>
      </c>
      <c r="G85" s="681">
        <f>IF($C$16="Base Rent",$B$16*E85,IF($C$16="Gross Rent",$B$16*(H85+E85)))</f>
        <v/>
      </c>
      <c r="H85" s="680">
        <f>IF(MONTH(C85)=MONTH($E$19),((H84*(1+$E$18))),H84)</f>
        <v/>
      </c>
      <c r="I85" s="680">
        <f>SUM(F85:H85)</f>
        <v/>
      </c>
      <c r="J85" s="505" t="n"/>
      <c r="K85" s="681">
        <f>IF($E$37&gt;B85,0,$E$36 IF(B85&gt;$E$21,0,$E$36))</f>
        <v/>
      </c>
      <c r="L85" s="685">
        <f>IF($F$37&gt;B85,0,$F$36 IF(B85&gt;$E$21,0,$F$36))</f>
        <v/>
      </c>
      <c r="M85" s="505" t="n"/>
      <c r="N85" s="680">
        <f>SUM(L85,K85,I85,E85)</f>
        <v/>
      </c>
      <c r="O85" s="505" t="n"/>
      <c r="P85" s="673">
        <f>+N85/$E$8*12</f>
        <v/>
      </c>
    </row>
    <row r="86" ht="12.6" customFormat="1" customHeight="1" s="299">
      <c r="B86" s="315">
        <f>IF(B85+1&lt;=$E$21,B85+1,IF(B85&gt;=$E$21,"",IF(B85="","")))</f>
        <v/>
      </c>
      <c r="C86" s="316">
        <f>IF(B86&gt;$E$21,"", DATE(YEAR(C85),MONTH(C85)+1,DAY(C85)))</f>
        <v/>
      </c>
      <c r="D86" s="679">
        <f>VLOOKUP(B86,$G$9:$I$29,3)</f>
        <v/>
      </c>
      <c r="E86" s="680">
        <f>D86*$E$8/12</f>
        <v/>
      </c>
      <c r="F86" s="681">
        <f>IF($C$17="Gross Rent",$B$17*(H86+E86),IF($C$17="Base Rent",$B$17*E86))</f>
        <v/>
      </c>
      <c r="G86" s="681">
        <f>IF($C$16="Base Rent",$B$16*E86,IF($C$16="Gross Rent",$B$16*(H86+E86)))</f>
        <v/>
      </c>
      <c r="H86" s="680">
        <f>IF(MONTH(C86)=MONTH($E$19),((H85*(1+$E$18))),H85)</f>
        <v/>
      </c>
      <c r="I86" s="680">
        <f>SUM(F86:H86)</f>
        <v/>
      </c>
      <c r="J86" s="505" t="n"/>
      <c r="K86" s="681">
        <f>IF($E$37&gt;B86,0,$E$36 IF(B86&gt;$E$21,0,$E$36))</f>
        <v/>
      </c>
      <c r="L86" s="685">
        <f>IF($F$37&gt;B86,0,$F$36 IF(B86&gt;$E$21,0,$F$36))</f>
        <v/>
      </c>
      <c r="M86" s="505" t="n"/>
      <c r="N86" s="680">
        <f>SUM(L86,K86,I86,E86)</f>
        <v/>
      </c>
      <c r="O86" s="505" t="n"/>
      <c r="P86" s="673">
        <f>+N86/$E$8*12</f>
        <v/>
      </c>
    </row>
    <row r="87" ht="12.6" customFormat="1" customHeight="1" s="299">
      <c r="B87" s="315">
        <f>IF(B86+1&lt;=$E$21,B86+1,IF(B86&gt;=$E$21,"",IF(B86="","")))</f>
        <v/>
      </c>
      <c r="C87" s="316">
        <f>IF(B87&gt;$E$21,"", DATE(YEAR(C86),MONTH(C86)+1,DAY(C86)))</f>
        <v/>
      </c>
      <c r="D87" s="679">
        <f>VLOOKUP(B87,$G$9:$I$29,3)</f>
        <v/>
      </c>
      <c r="E87" s="680">
        <f>D87*$E$8/12</f>
        <v/>
      </c>
      <c r="F87" s="681">
        <f>IF($C$17="Gross Rent",$B$17*(H87+E87),IF($C$17="Base Rent",$B$17*E87))</f>
        <v/>
      </c>
      <c r="G87" s="681">
        <f>IF($C$16="Base Rent",$B$16*E87,IF($C$16="Gross Rent",$B$16*(H87+E87)))</f>
        <v/>
      </c>
      <c r="H87" s="680">
        <f>IF(MONTH(C87)=MONTH($E$19),((H86*(1+$E$18))),H86)</f>
        <v/>
      </c>
      <c r="I87" s="680">
        <f>SUM(F87:H87)</f>
        <v/>
      </c>
      <c r="J87" s="505" t="n"/>
      <c r="K87" s="681">
        <f>IF($E$37&gt;B87,0,$E$36 IF(B87&gt;$E$21,0,$E$36))</f>
        <v/>
      </c>
      <c r="L87" s="685">
        <f>IF($F$37&gt;B87,0,$F$36 IF(B87&gt;$E$21,0,$F$36))</f>
        <v/>
      </c>
      <c r="M87" s="505" t="n"/>
      <c r="N87" s="680">
        <f>SUM(L87,K87,I87,E87)</f>
        <v/>
      </c>
      <c r="O87" s="505" t="n"/>
      <c r="P87" s="673">
        <f>+N87/$E$8*12</f>
        <v/>
      </c>
    </row>
    <row r="88" ht="12.6" customFormat="1" customHeight="1" s="299">
      <c r="B88" s="315">
        <f>IF(B87+1&lt;=$E$21,B87+1,IF(B87&gt;=$E$21,"",IF(B87="","")))</f>
        <v/>
      </c>
      <c r="C88" s="316">
        <f>IF(B88&gt;$E$21,"", DATE(YEAR(C87),MONTH(C87)+1,DAY(C87)))</f>
        <v/>
      </c>
      <c r="D88" s="679">
        <f>VLOOKUP(B88,$G$9:$I$29,3)</f>
        <v/>
      </c>
      <c r="E88" s="680">
        <f>D88*$E$8/12</f>
        <v/>
      </c>
      <c r="F88" s="681">
        <f>IF($C$17="Gross Rent",$B$17*(H88+E88),IF($C$17="Base Rent",$B$17*E88))</f>
        <v/>
      </c>
      <c r="G88" s="681">
        <f>IF($C$16="Base Rent",$B$16*E88,IF($C$16="Gross Rent",$B$16*(H88+E88)))</f>
        <v/>
      </c>
      <c r="H88" s="680">
        <f>IF(MONTH(C88)=MONTH($E$19),((H87*(1+$E$18))),H87)</f>
        <v/>
      </c>
      <c r="I88" s="680">
        <f>SUM(F88:H88)</f>
        <v/>
      </c>
      <c r="J88" s="505" t="n"/>
      <c r="K88" s="681">
        <f>IF($E$37&gt;B88,0,$E$36 IF(B88&gt;$E$21,0,$E$36))</f>
        <v/>
      </c>
      <c r="L88" s="685">
        <f>IF($F$37&gt;B88,0,$F$36 IF(B88&gt;$E$21,0,$F$36))</f>
        <v/>
      </c>
      <c r="M88" s="505" t="n"/>
      <c r="N88" s="680">
        <f>SUM(L88,K88,I88,E88)</f>
        <v/>
      </c>
      <c r="O88" s="505" t="n"/>
      <c r="P88" s="673">
        <f>+N88/$E$8*12</f>
        <v/>
      </c>
    </row>
    <row r="89" ht="12.6" customFormat="1" customHeight="1" s="299">
      <c r="B89" s="315">
        <f>IF(B88+1&lt;=$E$21,B88+1,IF(B88&gt;=$E$21,"",IF(B88="","")))</f>
        <v/>
      </c>
      <c r="C89" s="316">
        <f>IF(B89&gt;$E$21,"", DATE(YEAR(C88),MONTH(C88)+1,DAY(C88)))</f>
        <v/>
      </c>
      <c r="D89" s="679">
        <f>VLOOKUP(B89,$G$9:$I$29,3)</f>
        <v/>
      </c>
      <c r="E89" s="680">
        <f>D89*$E$8/12</f>
        <v/>
      </c>
      <c r="F89" s="681">
        <f>IF($C$17="Gross Rent",$B$17*(H89+E89),IF($C$17="Base Rent",$B$17*E89))</f>
        <v/>
      </c>
      <c r="G89" s="681">
        <f>IF($C$16="Base Rent",$B$16*E89,IF($C$16="Gross Rent",$B$16*(H89+E89)))</f>
        <v/>
      </c>
      <c r="H89" s="680">
        <f>IF(MONTH(C89)=MONTH($E$19),((H88*(1+$E$18))),H88)</f>
        <v/>
      </c>
      <c r="I89" s="680">
        <f>SUM(F89:H89)</f>
        <v/>
      </c>
      <c r="J89" s="505" t="n"/>
      <c r="K89" s="681">
        <f>IF($E$37&gt;B89,0,$E$36 IF(B89&gt;$E$21,0,$E$36))</f>
        <v/>
      </c>
      <c r="L89" s="685">
        <f>IF($F$37&gt;B89,0,$F$36 IF(B89&gt;$E$21,0,$F$36))</f>
        <v/>
      </c>
      <c r="M89" s="505" t="n"/>
      <c r="N89" s="680">
        <f>SUM(L89,K89,I89,E89)</f>
        <v/>
      </c>
      <c r="O89" s="505" t="n"/>
      <c r="P89" s="673">
        <f>+N89/$E$8*12</f>
        <v/>
      </c>
    </row>
    <row r="90" ht="12.6" customFormat="1" customHeight="1" s="299">
      <c r="B90" s="315">
        <f>IF(B89+1&lt;=$E$21,B89+1,IF(B89&gt;=$E$21,"",IF(B89="","")))</f>
        <v/>
      </c>
      <c r="C90" s="316">
        <f>IF(B90&gt;$E$21,"", DATE(YEAR(C89),MONTH(C89)+1,DAY(C89)))</f>
        <v/>
      </c>
      <c r="D90" s="679">
        <f>VLOOKUP(B90,$G$9:$I$29,3)</f>
        <v/>
      </c>
      <c r="E90" s="680">
        <f>D90*$E$8/12</f>
        <v/>
      </c>
      <c r="F90" s="681">
        <f>IF($C$17="Gross Rent",$B$17*(H90+E90),IF($C$17="Base Rent",$B$17*E90))</f>
        <v/>
      </c>
      <c r="G90" s="681">
        <f>IF($C$16="Base Rent",$B$16*E90,IF($C$16="Gross Rent",$B$16*(H90+E90)))</f>
        <v/>
      </c>
      <c r="H90" s="680">
        <f>IF(MONTH(C90)=MONTH($E$19),((H89*(1+$E$18))),H89)</f>
        <v/>
      </c>
      <c r="I90" s="680">
        <f>SUM(F90:H90)</f>
        <v/>
      </c>
      <c r="J90" s="505" t="n"/>
      <c r="K90" s="681">
        <f>IF($E$37&gt;B90,0,$E$36 IF(B90&gt;$E$21,0,$E$36))</f>
        <v/>
      </c>
      <c r="L90" s="685">
        <f>IF($F$37&gt;B90,0,$F$36 IF(B90&gt;$E$21,0,$F$36))</f>
        <v/>
      </c>
      <c r="M90" s="505" t="n"/>
      <c r="N90" s="680">
        <f>SUM(L90,K90,I90,E90)</f>
        <v/>
      </c>
      <c r="O90" s="505" t="n"/>
      <c r="P90" s="673">
        <f>+N90/$E$8*12</f>
        <v/>
      </c>
    </row>
    <row r="91" ht="12.6" customFormat="1" customHeight="1" s="299">
      <c r="B91" s="315">
        <f>IF(B90+1&lt;=$E$21,B90+1,IF(B90&gt;=$E$21,"",IF(B90="","")))</f>
        <v/>
      </c>
      <c r="C91" s="316">
        <f>IF(B91&gt;$E$21,"", DATE(YEAR(C90),MONTH(C90)+1,DAY(C90)))</f>
        <v/>
      </c>
      <c r="D91" s="679">
        <f>VLOOKUP(B91,$G$9:$I$29,3)</f>
        <v/>
      </c>
      <c r="E91" s="680">
        <f>D91*$E$8/12</f>
        <v/>
      </c>
      <c r="F91" s="681">
        <f>IF($C$17="Gross Rent",$B$17*(H91+E91),IF($C$17="Base Rent",$B$17*E91))</f>
        <v/>
      </c>
      <c r="G91" s="681">
        <f>IF($C$16="Base Rent",$B$16*E91,IF($C$16="Gross Rent",$B$16*(H91+E91)))</f>
        <v/>
      </c>
      <c r="H91" s="680">
        <f>IF(MONTH(C91)=MONTH($E$19),((H90*(1+$E$18))),H90)</f>
        <v/>
      </c>
      <c r="I91" s="680">
        <f>SUM(F91:H91)</f>
        <v/>
      </c>
      <c r="J91" s="505" t="n"/>
      <c r="K91" s="681">
        <f>IF($E$37&gt;B91,0,$E$36 IF(B91&gt;$E$21,0,$E$36))</f>
        <v/>
      </c>
      <c r="L91" s="685">
        <f>IF($F$37&gt;B91,0,$F$36 IF(B91&gt;$E$21,0,$F$36))</f>
        <v/>
      </c>
      <c r="M91" s="505" t="n"/>
      <c r="N91" s="680">
        <f>SUM(L91,K91,I91,E91)</f>
        <v/>
      </c>
      <c r="O91" s="505" t="n"/>
      <c r="P91" s="673">
        <f>+N91/$E$8*12</f>
        <v/>
      </c>
    </row>
    <row r="92" ht="12.6" customFormat="1" customHeight="1" s="299">
      <c r="B92" s="315">
        <f>IF(B91+1&lt;=$E$21,B91+1,IF(B91&gt;=$E$21,"",IF(B91="","")))</f>
        <v/>
      </c>
      <c r="C92" s="316">
        <f>IF(B92&gt;$E$21,"", DATE(YEAR(C91),MONTH(C91)+1,DAY(C91)))</f>
        <v/>
      </c>
      <c r="D92" s="679">
        <f>VLOOKUP(B92,$G$9:$I$29,3)</f>
        <v/>
      </c>
      <c r="E92" s="680">
        <f>D92*$E$8/12</f>
        <v/>
      </c>
      <c r="F92" s="681">
        <f>IF($C$17="Gross Rent",$B$17*(H92+E92),IF($C$17="Base Rent",$B$17*E92))</f>
        <v/>
      </c>
      <c r="G92" s="681">
        <f>IF($C$16="Base Rent",$B$16*E92,IF($C$16="Gross Rent",$B$16*(H92+E92)))</f>
        <v/>
      </c>
      <c r="H92" s="680">
        <f>IF(MONTH(C92)=MONTH($E$19),((H91*(1+$E$18))),H91)</f>
        <v/>
      </c>
      <c r="I92" s="680">
        <f>SUM(F92:H92)</f>
        <v/>
      </c>
      <c r="J92" s="505" t="n"/>
      <c r="K92" s="681">
        <f>IF($E$37&gt;B92,0,$E$36 IF(B92&gt;$E$21,0,$E$36))</f>
        <v/>
      </c>
      <c r="L92" s="685">
        <f>IF($F$37&gt;B92,0,$F$36 IF(B92&gt;$E$21,0,$F$36))</f>
        <v/>
      </c>
      <c r="M92" s="505" t="n"/>
      <c r="N92" s="680">
        <f>SUM(L92,K92,I92,E92)</f>
        <v/>
      </c>
      <c r="O92" s="505" t="n"/>
      <c r="P92" s="673">
        <f>+N92/$E$8*12</f>
        <v/>
      </c>
    </row>
    <row r="93" ht="12.6" customFormat="1" customHeight="1" s="299">
      <c r="B93" s="315">
        <f>IF(B92+1&lt;=$E$21,B92+1,IF(B92&gt;=$E$21,"",IF(B92="","")))</f>
        <v/>
      </c>
      <c r="C93" s="316">
        <f>IF(B93&gt;$E$21,"", DATE(YEAR(C92),MONTH(C92)+1,DAY(C92)))</f>
        <v/>
      </c>
      <c r="D93" s="679">
        <f>VLOOKUP(B93,$G$9:$I$29,3)</f>
        <v/>
      </c>
      <c r="E93" s="680">
        <f>D93*$E$8/12</f>
        <v/>
      </c>
      <c r="F93" s="681">
        <f>IF($C$17="Gross Rent",$B$17*(H93+E93),IF($C$17="Base Rent",$B$17*E93))</f>
        <v/>
      </c>
      <c r="G93" s="681">
        <f>IF($C$16="Base Rent",$B$16*E93,IF($C$16="Gross Rent",$B$16*(H93+E93)))</f>
        <v/>
      </c>
      <c r="H93" s="680">
        <f>IF(MONTH(C93)=MONTH($E$19),((H92*(1+$E$18))),H92)</f>
        <v/>
      </c>
      <c r="I93" s="680">
        <f>SUM(F93:H93)</f>
        <v/>
      </c>
      <c r="J93" s="505" t="n"/>
      <c r="K93" s="681">
        <f>IF($E$37&gt;B93,0,$E$36 IF(B93&gt;$E$21,0,$E$36))</f>
        <v/>
      </c>
      <c r="L93" s="685">
        <f>IF($F$37&gt;B93,0,$F$36 IF(B93&gt;$E$21,0,$F$36))</f>
        <v/>
      </c>
      <c r="M93" s="505" t="n"/>
      <c r="N93" s="680">
        <f>SUM(L93,K93,I93,E93)</f>
        <v/>
      </c>
      <c r="O93" s="505" t="n"/>
      <c r="P93" s="673">
        <f>+N93/$E$8*12</f>
        <v/>
      </c>
    </row>
    <row r="94" ht="12.6" customFormat="1" customHeight="1" s="299">
      <c r="B94" s="315">
        <f>IF(B93+1&lt;=$E$21,B93+1,IF(B93&gt;=$E$21,"",IF(B93="","")))</f>
        <v/>
      </c>
      <c r="C94" s="316">
        <f>IF(B94&gt;$E$21,"", DATE(YEAR(C93),MONTH(C93)+1,DAY(C93)))</f>
        <v/>
      </c>
      <c r="D94" s="679">
        <f>VLOOKUP(B94,$G$9:$I$29,3)</f>
        <v/>
      </c>
      <c r="E94" s="680">
        <f>D94*$E$8/12</f>
        <v/>
      </c>
      <c r="F94" s="681">
        <f>IF($C$17="Gross Rent",$B$17*(H94+E94),IF($C$17="Base Rent",$B$17*E94))</f>
        <v/>
      </c>
      <c r="G94" s="681">
        <f>IF($C$16="Base Rent",$B$16*E94,IF($C$16="Gross Rent",$B$16*(H94+E94)))</f>
        <v/>
      </c>
      <c r="H94" s="680">
        <f>IF(MONTH(C94)=MONTH($E$19),((H93*(1+$E$18))),H93)</f>
        <v/>
      </c>
      <c r="I94" s="680">
        <f>SUM(F94:H94)</f>
        <v/>
      </c>
      <c r="J94" s="505" t="n"/>
      <c r="K94" s="681">
        <f>IF($E$37&gt;B94,0,$E$36 IF(B94&gt;$E$21,0,$E$36))</f>
        <v/>
      </c>
      <c r="L94" s="685">
        <f>IF($F$37&gt;B94,0,$F$36 IF(B94&gt;$E$21,0,$F$36))</f>
        <v/>
      </c>
      <c r="M94" s="505" t="n"/>
      <c r="N94" s="680">
        <f>SUM(L94,K94,I94,E94)</f>
        <v/>
      </c>
      <c r="O94" s="505" t="n"/>
      <c r="P94" s="673">
        <f>+N94/$E$8*12</f>
        <v/>
      </c>
    </row>
    <row r="95" ht="12.6" customFormat="1" customHeight="1" s="299">
      <c r="B95" s="315">
        <f>IF(B94+1&lt;=$E$21,B94+1,IF(B94&gt;=$E$21,"",IF(B94="","")))</f>
        <v/>
      </c>
      <c r="C95" s="316">
        <f>IF(B95&gt;$E$21,"", DATE(YEAR(C94),MONTH(C94)+1,DAY(C94)))</f>
        <v/>
      </c>
      <c r="D95" s="679">
        <f>VLOOKUP(B95,$G$9:$I$29,3)</f>
        <v/>
      </c>
      <c r="E95" s="680">
        <f>D95*$E$8/12</f>
        <v/>
      </c>
      <c r="F95" s="681">
        <f>IF($C$17="Gross Rent",$B$17*(H95+E95),IF($C$17="Base Rent",$B$17*E95))</f>
        <v/>
      </c>
      <c r="G95" s="681">
        <f>IF($C$16="Base Rent",$B$16*E95,IF($C$16="Gross Rent",$B$16*(H95+E95)))</f>
        <v/>
      </c>
      <c r="H95" s="680">
        <f>IF(MONTH(C95)=MONTH($E$19),((H94*(1+$E$18))),H94)</f>
        <v/>
      </c>
      <c r="I95" s="680">
        <f>SUM(F95:H95)</f>
        <v/>
      </c>
      <c r="J95" s="505" t="n"/>
      <c r="K95" s="681">
        <f>IF($E$37&gt;B95,0,$E$36 IF(B95&gt;$E$21,0,$E$36))</f>
        <v/>
      </c>
      <c r="L95" s="685">
        <f>IF($F$37&gt;B95,0,$F$36 IF(B95&gt;$E$21,0,$F$36))</f>
        <v/>
      </c>
      <c r="M95" s="505" t="n"/>
      <c r="N95" s="680">
        <f>SUM(L95,K95,I95,E95)</f>
        <v/>
      </c>
      <c r="O95" s="505" t="n"/>
      <c r="P95" s="673">
        <f>+N95/$E$8*12</f>
        <v/>
      </c>
    </row>
    <row r="96" ht="12.6" customFormat="1" customHeight="1" s="299">
      <c r="B96" s="315">
        <f>IF(B95+1&lt;=$E$21,B95+1,IF(B95&gt;=$E$21,"",IF(B95="","")))</f>
        <v/>
      </c>
      <c r="C96" s="316">
        <f>IF(B96&gt;$E$21,"", DATE(YEAR(C95),MONTH(C95)+1,DAY(C95)))</f>
        <v/>
      </c>
      <c r="D96" s="679">
        <f>VLOOKUP(B96,$G$9:$I$29,3)</f>
        <v/>
      </c>
      <c r="E96" s="680">
        <f>D96*$E$8/12</f>
        <v/>
      </c>
      <c r="F96" s="681">
        <f>IF($C$17="Gross Rent",$B$17*(H96+E96),IF($C$17="Base Rent",$B$17*E96))</f>
        <v/>
      </c>
      <c r="G96" s="681">
        <f>IF($C$16="Base Rent",$B$16*E96,IF($C$16="Gross Rent",$B$16*(H96+E96)))</f>
        <v/>
      </c>
      <c r="H96" s="680">
        <f>IF(MONTH(C96)=MONTH($E$19),((H95*(1+$E$18))),H95)</f>
        <v/>
      </c>
      <c r="I96" s="680">
        <f>SUM(F96:H96)</f>
        <v/>
      </c>
      <c r="J96" s="505" t="n"/>
      <c r="K96" s="681">
        <f>IF($E$37&gt;B96,0,$E$36 IF(B96&gt;$E$21,0,$E$36))</f>
        <v/>
      </c>
      <c r="L96" s="685">
        <f>IF($F$37&gt;B96,0,$F$36 IF(B96&gt;$E$21,0,$F$36))</f>
        <v/>
      </c>
      <c r="M96" s="505" t="n"/>
      <c r="N96" s="680">
        <f>SUM(L96,K96,I96,E96)</f>
        <v/>
      </c>
      <c r="O96" s="505" t="n"/>
      <c r="P96" s="673">
        <f>+N96/$E$8*12</f>
        <v/>
      </c>
    </row>
    <row r="97" ht="12.6" customFormat="1" customHeight="1" s="299">
      <c r="B97" s="315">
        <f>IF(B96+1&lt;=$E$21,B96+1,IF(B96&gt;=$E$21,"",IF(B96="","")))</f>
        <v/>
      </c>
      <c r="C97" s="316">
        <f>IF(B97&gt;$E$21,"", DATE(YEAR(C96),MONTH(C96)+1,DAY(C96)))</f>
        <v/>
      </c>
      <c r="D97" s="679">
        <f>VLOOKUP(B97,$G$9:$I$29,3)</f>
        <v/>
      </c>
      <c r="E97" s="680">
        <f>D97*$E$8/12</f>
        <v/>
      </c>
      <c r="F97" s="681">
        <f>IF($C$17="Gross Rent",$B$17*(H97+E97),IF($C$17="Base Rent",$B$17*E97))</f>
        <v/>
      </c>
      <c r="G97" s="681">
        <f>IF($C$16="Base Rent",$B$16*E97,IF($C$16="Gross Rent",$B$16*(H97+E97)))</f>
        <v/>
      </c>
      <c r="H97" s="680">
        <f>IF(MONTH(C97)=MONTH($E$19),((H96*(1+$E$18))),H96)</f>
        <v/>
      </c>
      <c r="I97" s="680">
        <f>SUM(F97:H97)</f>
        <v/>
      </c>
      <c r="J97" s="505" t="n"/>
      <c r="K97" s="681">
        <f>IF($E$37&gt;B97,0,$E$36 IF(B97&gt;$E$21,0,$E$36))</f>
        <v/>
      </c>
      <c r="L97" s="685">
        <f>IF($F$37&gt;B97,0,$F$36 IF(B97&gt;$E$21,0,$F$36))</f>
        <v/>
      </c>
      <c r="M97" s="505" t="n"/>
      <c r="N97" s="680">
        <f>SUM(L97,K97,I97,E97)</f>
        <v/>
      </c>
      <c r="O97" s="505" t="n"/>
      <c r="P97" s="673">
        <f>+N97/$E$8*12</f>
        <v/>
      </c>
    </row>
    <row r="98" ht="12.6" customFormat="1" customHeight="1" s="299">
      <c r="B98" s="315">
        <f>IF(B97+1&lt;=$E$21,B97+1,IF(B97&gt;=$E$21,"",IF(B97="","")))</f>
        <v/>
      </c>
      <c r="C98" s="316">
        <f>IF(B98&gt;$E$21,"", DATE(YEAR(C97),MONTH(C97)+1,DAY(C97)))</f>
        <v/>
      </c>
      <c r="D98" s="679">
        <f>VLOOKUP(B98,$G$9:$I$29,3)</f>
        <v/>
      </c>
      <c r="E98" s="680">
        <f>D98*$E$8/12</f>
        <v/>
      </c>
      <c r="F98" s="681">
        <f>IF($C$17="Gross Rent",$B$17*(H98+E98),IF($C$17="Base Rent",$B$17*E98))</f>
        <v/>
      </c>
      <c r="G98" s="681">
        <f>IF($C$16="Base Rent",$B$16*E98,IF($C$16="Gross Rent",$B$16*(H98+E98)))</f>
        <v/>
      </c>
      <c r="H98" s="680">
        <f>IF(MONTH(C98)=MONTH($E$19),((H97*(1+$E$18))),H97)</f>
        <v/>
      </c>
      <c r="I98" s="680">
        <f>SUM(F98:H98)</f>
        <v/>
      </c>
      <c r="J98" s="505" t="n"/>
      <c r="K98" s="681">
        <f>IF($E$37&gt;B98,0,$E$36 IF(B98&gt;$E$21,0,$E$36))</f>
        <v/>
      </c>
      <c r="L98" s="685">
        <f>IF($F$37&gt;B98,0,$F$36 IF(B98&gt;$E$21,0,$F$36))</f>
        <v/>
      </c>
      <c r="M98" s="505" t="n"/>
      <c r="N98" s="680">
        <f>SUM(L98,K98,I98,E98)</f>
        <v/>
      </c>
      <c r="O98" s="505" t="n"/>
      <c r="P98" s="673">
        <f>+N98/$E$8*12</f>
        <v/>
      </c>
    </row>
    <row r="99" ht="12.6" customFormat="1" customHeight="1" s="299">
      <c r="B99" s="315">
        <f>IF(B98+1&lt;=$E$21,B98+1,IF(B98&gt;=$E$21,"",IF(B98="","")))</f>
        <v/>
      </c>
      <c r="C99" s="316">
        <f>IF(B99&gt;$E$21,"", DATE(YEAR(C98),MONTH(C98)+1,DAY(C98)))</f>
        <v/>
      </c>
      <c r="D99" s="679">
        <f>VLOOKUP(B99,$G$9:$I$29,3)</f>
        <v/>
      </c>
      <c r="E99" s="680">
        <f>D99*$E$8/12</f>
        <v/>
      </c>
      <c r="F99" s="681">
        <f>IF($C$17="Gross Rent",$B$17*(H99+E99),IF($C$17="Base Rent",$B$17*E99))</f>
        <v/>
      </c>
      <c r="G99" s="681">
        <f>IF($C$16="Base Rent",$B$16*E99,IF($C$16="Gross Rent",$B$16*(H99+E99)))</f>
        <v/>
      </c>
      <c r="H99" s="680">
        <f>IF(MONTH(C99)=MONTH($E$19),((H98*(1+$E$18))),H98)</f>
        <v/>
      </c>
      <c r="I99" s="680">
        <f>SUM(F99:H99)</f>
        <v/>
      </c>
      <c r="J99" s="505" t="n"/>
      <c r="K99" s="681">
        <f>IF($E$37&gt;B99,0,$E$36 IF(B99&gt;$E$21,0,$E$36))</f>
        <v/>
      </c>
      <c r="L99" s="685">
        <f>IF($F$37&gt;B99,0,$F$36 IF(B99&gt;$E$21,0,$F$36))</f>
        <v/>
      </c>
      <c r="M99" s="505" t="n"/>
      <c r="N99" s="680">
        <f>SUM(L99,K99,I99,E99)</f>
        <v/>
      </c>
      <c r="O99" s="505" t="n"/>
      <c r="P99" s="673">
        <f>+N99/$E$8*12</f>
        <v/>
      </c>
    </row>
    <row r="100" ht="12.6" customFormat="1" customHeight="1" s="299">
      <c r="B100" s="315">
        <f>IF(B99+1&lt;=$E$21,B99+1,IF(B99&gt;=$E$21,"",IF(B99="","")))</f>
        <v/>
      </c>
      <c r="C100" s="316">
        <f>IF(B100&gt;$E$21,"", DATE(YEAR(C99),MONTH(C99)+1,DAY(C99)))</f>
        <v/>
      </c>
      <c r="D100" s="679">
        <f>VLOOKUP(B100,$G$9:$I$29,3)</f>
        <v/>
      </c>
      <c r="E100" s="680">
        <f>D100*$E$8/12</f>
        <v/>
      </c>
      <c r="F100" s="681">
        <f>IF($C$17="Gross Rent",$B$17*(H100+E100),IF($C$17="Base Rent",$B$17*E100))</f>
        <v/>
      </c>
      <c r="G100" s="681">
        <f>IF($C$16="Base Rent",$B$16*E100,IF($C$16="Gross Rent",$B$16*(H100+E100)))</f>
        <v/>
      </c>
      <c r="H100" s="680">
        <f>IF(MONTH(C100)=MONTH($E$19),((H99*(1+$E$18))),H99)</f>
        <v/>
      </c>
      <c r="I100" s="680">
        <f>SUM(F100:H100)</f>
        <v/>
      </c>
      <c r="J100" s="505" t="n"/>
      <c r="K100" s="681">
        <f>IF($E$37&gt;B100,0,$E$36 IF(B100&gt;$E$21,0,$E$36))</f>
        <v/>
      </c>
      <c r="L100" s="685">
        <f>IF($F$37&gt;B100,0,$F$36 IF(B100&gt;$E$21,0,$F$36))</f>
        <v/>
      </c>
      <c r="M100" s="505" t="n"/>
      <c r="N100" s="680">
        <f>SUM(L100,K100,I100,E100)</f>
        <v/>
      </c>
      <c r="O100" s="505" t="n"/>
      <c r="P100" s="673">
        <f>+N100/$E$8*12</f>
        <v/>
      </c>
    </row>
    <row r="101" ht="12.6" customFormat="1" customHeight="1" s="299">
      <c r="B101" s="315">
        <f>IF(B100+1&lt;=$E$21,B100+1,IF(B100&gt;=$E$21,"",IF(B100="","")))</f>
        <v/>
      </c>
      <c r="C101" s="316">
        <f>IF(B101&gt;$E$21,"", DATE(YEAR(C100),MONTH(C100)+1,DAY(C100)))</f>
        <v/>
      </c>
      <c r="D101" s="679">
        <f>VLOOKUP(B101,$G$9:$I$29,3)</f>
        <v/>
      </c>
      <c r="E101" s="680">
        <f>D101*$E$8/12</f>
        <v/>
      </c>
      <c r="F101" s="681">
        <f>IF($C$17="Gross Rent",$B$17*(H101+E101),IF($C$17="Base Rent",$B$17*E101))</f>
        <v/>
      </c>
      <c r="G101" s="681">
        <f>IF($C$16="Base Rent",$B$16*E101,IF($C$16="Gross Rent",$B$16*(H101+E101)))</f>
        <v/>
      </c>
      <c r="H101" s="680">
        <f>IF(MONTH(C101)=MONTH($E$19),((H100*(1+$E$18))),H100)</f>
        <v/>
      </c>
      <c r="I101" s="680">
        <f>SUM(F101:H101)</f>
        <v/>
      </c>
      <c r="J101" s="505" t="n"/>
      <c r="K101" s="681">
        <f>IF($E$37&gt;B101,0,$E$36 IF(B101&gt;$E$21,0,$E$36))</f>
        <v/>
      </c>
      <c r="L101" s="685">
        <f>IF($F$37&gt;B101,0,$F$36 IF(B101&gt;$E$21,0,$F$36))</f>
        <v/>
      </c>
      <c r="M101" s="505" t="n"/>
      <c r="N101" s="680">
        <f>SUM(L101,K101,I101,E101)</f>
        <v/>
      </c>
      <c r="O101" s="505" t="n"/>
      <c r="P101" s="673">
        <f>+N101/$E$8*12</f>
        <v/>
      </c>
    </row>
    <row r="102" ht="12.6" customFormat="1" customHeight="1" s="299">
      <c r="B102" s="315">
        <f>IF(B101+1&lt;=$E$21,B101+1,IF(B101&gt;=$E$21,"",IF(B101="","")))</f>
        <v/>
      </c>
      <c r="C102" s="316">
        <f>IF(B102&gt;$E$21,"", DATE(YEAR(C101),MONTH(C101)+1,DAY(C101)))</f>
        <v/>
      </c>
      <c r="D102" s="679">
        <f>VLOOKUP(B102,$G$9:$I$29,3)</f>
        <v/>
      </c>
      <c r="E102" s="680">
        <f>D102*$E$8/12</f>
        <v/>
      </c>
      <c r="F102" s="681">
        <f>IF($C$17="Gross Rent",$B$17*(H102+E102),IF($C$17="Base Rent",$B$17*E102))</f>
        <v/>
      </c>
      <c r="G102" s="681">
        <f>IF($C$16="Base Rent",$B$16*E102,IF($C$16="Gross Rent",$B$16*(H102+E102)))</f>
        <v/>
      </c>
      <c r="H102" s="680">
        <f>IF(MONTH(C102)=MONTH($E$19),((H101*(1+$E$18))),H101)</f>
        <v/>
      </c>
      <c r="I102" s="680">
        <f>SUM(F102:H102)</f>
        <v/>
      </c>
      <c r="J102" s="505" t="n"/>
      <c r="K102" s="681">
        <f>IF($E$37&gt;B102,0,$E$36 IF(B102&gt;$E$21,0,$E$36))</f>
        <v/>
      </c>
      <c r="L102" s="685">
        <f>IF($F$37&gt;B102,0,$F$36 IF(B102&gt;$E$21,0,$F$36))</f>
        <v/>
      </c>
      <c r="M102" s="505" t="n"/>
      <c r="N102" s="680">
        <f>SUM(L102,K102,I102,E102)</f>
        <v/>
      </c>
      <c r="O102" s="505" t="n"/>
      <c r="P102" s="673">
        <f>+N102/$E$8*12</f>
        <v/>
      </c>
    </row>
    <row r="103" ht="12.6" customFormat="1" customHeight="1" s="299">
      <c r="B103" s="315">
        <f>IF(B102+1&lt;=$E$21,B102+1,IF(B102&gt;=$E$21,"",IF(B102="","")))</f>
        <v/>
      </c>
      <c r="C103" s="316">
        <f>IF(B103&gt;$E$21,"", DATE(YEAR(C102),MONTH(C102)+1,DAY(C102)))</f>
        <v/>
      </c>
      <c r="D103" s="679">
        <f>VLOOKUP(B103,$G$9:$I$29,3)</f>
        <v/>
      </c>
      <c r="E103" s="680">
        <f>D103*$E$8/12</f>
        <v/>
      </c>
      <c r="F103" s="681">
        <f>IF($C$17="Gross Rent",$B$17*(H103+E103),IF($C$17="Base Rent",$B$17*E103))</f>
        <v/>
      </c>
      <c r="G103" s="681">
        <f>IF($C$16="Base Rent",$B$16*E103,IF($C$16="Gross Rent",$B$16*(H103+E103)))</f>
        <v/>
      </c>
      <c r="H103" s="680">
        <f>IF(MONTH(C103)=MONTH($E$19),((H102*(1+$E$18))),H102)</f>
        <v/>
      </c>
      <c r="I103" s="680">
        <f>SUM(F103:H103)</f>
        <v/>
      </c>
      <c r="J103" s="505" t="n"/>
      <c r="K103" s="681">
        <f>IF($E$37&gt;B103,0,$E$36 IF(B103&gt;$E$21,0,$E$36))</f>
        <v/>
      </c>
      <c r="L103" s="685">
        <f>IF($F$37&gt;B103,0,$F$36 IF(B103&gt;$E$21,0,$F$36))</f>
        <v/>
      </c>
      <c r="M103" s="505" t="n"/>
      <c r="N103" s="680">
        <f>SUM(L103,K103,I103,E103)</f>
        <v/>
      </c>
      <c r="O103" s="505" t="n"/>
      <c r="P103" s="673">
        <f>+N103/$E$8*12</f>
        <v/>
      </c>
    </row>
    <row r="104" ht="12.6" customFormat="1" customHeight="1" s="299">
      <c r="B104" s="315">
        <f>IF(B103+1&lt;=$E$21,B103+1,IF(B103&gt;=$E$21,"",IF(B103="","")))</f>
        <v/>
      </c>
      <c r="C104" s="316">
        <f>IF(B104&gt;$E$21,"", DATE(YEAR(C103),MONTH(C103)+1,DAY(C103)))</f>
        <v/>
      </c>
      <c r="D104" s="679">
        <f>VLOOKUP(B104,$G$9:$I$29,3)</f>
        <v/>
      </c>
      <c r="E104" s="680">
        <f>D104*$E$8/12</f>
        <v/>
      </c>
      <c r="F104" s="681">
        <f>IF($C$17="Gross Rent",$B$17*(H104+E104),IF($C$17="Base Rent",$B$17*E104))</f>
        <v/>
      </c>
      <c r="G104" s="681">
        <f>IF($C$16="Base Rent",$B$16*E104,IF($C$16="Gross Rent",$B$16*(H104+E104)))</f>
        <v/>
      </c>
      <c r="H104" s="680">
        <f>IF(MONTH(C104)=MONTH($E$19),((H103*(1+$E$18))),H103)</f>
        <v/>
      </c>
      <c r="I104" s="680">
        <f>SUM(F104:H104)</f>
        <v/>
      </c>
      <c r="J104" s="505" t="n"/>
      <c r="K104" s="681">
        <f>IF($E$37&gt;B104,0,$E$36 IF(B104&gt;$E$21,0,$E$36))</f>
        <v/>
      </c>
      <c r="L104" s="685">
        <f>IF($F$37&gt;B104,0,$F$36 IF(B104&gt;$E$21,0,$F$36))</f>
        <v/>
      </c>
      <c r="M104" s="505" t="n"/>
      <c r="N104" s="680">
        <f>SUM(L104,K104,I104,E104)</f>
        <v/>
      </c>
      <c r="O104" s="505" t="n"/>
      <c r="P104" s="673">
        <f>+N104/$E$8*12</f>
        <v/>
      </c>
    </row>
    <row r="105" ht="12.6" customFormat="1" customHeight="1" s="299">
      <c r="B105" s="315">
        <f>IF(B104+1&lt;=$E$21,B104+1,IF(B104&gt;=$E$21,"",IF(B104="","")))</f>
        <v/>
      </c>
      <c r="C105" s="316">
        <f>IF(B105&gt;$E$21,"", DATE(YEAR(C104),MONTH(C104)+1,DAY(C104)))</f>
        <v/>
      </c>
      <c r="D105" s="679">
        <f>VLOOKUP(B105,$G$9:$I$29,3)</f>
        <v/>
      </c>
      <c r="E105" s="680">
        <f>D105*$E$8/12</f>
        <v/>
      </c>
      <c r="F105" s="681">
        <f>IF($C$17="Gross Rent",$B$17*(H105+E105),IF($C$17="Base Rent",$B$17*E105))</f>
        <v/>
      </c>
      <c r="G105" s="681">
        <f>IF($C$16="Base Rent",$B$16*E105,IF($C$16="Gross Rent",$B$16*(H105+E105)))</f>
        <v/>
      </c>
      <c r="H105" s="680">
        <f>IF(MONTH(C105)=MONTH($E$19),((H104*(1+$E$18))),H104)</f>
        <v/>
      </c>
      <c r="I105" s="680">
        <f>SUM(F105:H105)</f>
        <v/>
      </c>
      <c r="J105" s="505" t="n"/>
      <c r="K105" s="681">
        <f>IF($E$37&gt;B105,0,$E$36 IF(B105&gt;$E$21,0,$E$36))</f>
        <v/>
      </c>
      <c r="L105" s="685">
        <f>IF($F$37&gt;B105,0,$F$36 IF(B105&gt;$E$21,0,$F$36))</f>
        <v/>
      </c>
      <c r="M105" s="505" t="n"/>
      <c r="N105" s="680">
        <f>SUM(L105,K105,I105,E105)</f>
        <v/>
      </c>
      <c r="O105" s="505" t="n"/>
      <c r="P105" s="673">
        <f>+N105/$E$8*12</f>
        <v/>
      </c>
    </row>
    <row r="106" ht="12.6" customFormat="1" customHeight="1" s="299">
      <c r="B106" s="315">
        <f>IF(B105+1&lt;=$E$21,B105+1,IF(B105&gt;=$E$21,"",IF(B105="","")))</f>
        <v/>
      </c>
      <c r="C106" s="316">
        <f>IF(B106&gt;$E$21,"", DATE(YEAR(C105),MONTH(C105)+1,DAY(C105)))</f>
        <v/>
      </c>
      <c r="D106" s="679">
        <f>VLOOKUP(B106,$G$9:$I$29,3)</f>
        <v/>
      </c>
      <c r="E106" s="680">
        <f>D106*$E$8/12</f>
        <v/>
      </c>
      <c r="F106" s="681">
        <f>IF($C$17="Gross Rent",$B$17*(H106+E106),IF($C$17="Base Rent",$B$17*E106))</f>
        <v/>
      </c>
      <c r="G106" s="681">
        <f>IF($C$16="Base Rent",$B$16*E106,IF($C$16="Gross Rent",$B$16*(H106+E106)))</f>
        <v/>
      </c>
      <c r="H106" s="680">
        <f>IF(MONTH(C106)=MONTH($E$19),((H105*(1+$E$18))),H105)</f>
        <v/>
      </c>
      <c r="I106" s="680">
        <f>SUM(F106:H106)</f>
        <v/>
      </c>
      <c r="J106" s="505" t="n"/>
      <c r="K106" s="681">
        <f>IF($E$37&gt;B106,0,$E$36 IF(B106&gt;$E$21,0,$E$36))</f>
        <v/>
      </c>
      <c r="L106" s="685">
        <f>IF($F$37&gt;B106,0,$F$36 IF(B106&gt;$E$21,0,$F$36))</f>
        <v/>
      </c>
      <c r="M106" s="505" t="n"/>
      <c r="N106" s="680">
        <f>SUM(L106,K106,I106,E106)</f>
        <v/>
      </c>
      <c r="O106" s="505" t="n"/>
      <c r="P106" s="673">
        <f>+N106/$E$8*12</f>
        <v/>
      </c>
    </row>
    <row r="107" ht="12.6" customFormat="1" customHeight="1" s="299">
      <c r="B107" s="315">
        <f>IF(B106+1&lt;=$E$21,B106+1,IF(B106&gt;=$E$21,"",IF(B106="","")))</f>
        <v/>
      </c>
      <c r="C107" s="316">
        <f>IF(B107&gt;$E$21,"", DATE(YEAR(C106),MONTH(C106)+1,DAY(C106)))</f>
        <v/>
      </c>
      <c r="D107" s="679">
        <f>VLOOKUP(B107,$G$9:$I$29,3)</f>
        <v/>
      </c>
      <c r="E107" s="680">
        <f>D107*$E$8/12</f>
        <v/>
      </c>
      <c r="F107" s="681">
        <f>IF($C$17="Gross Rent",$B$17*(H107+E107),IF($C$17="Base Rent",$B$17*E107))</f>
        <v/>
      </c>
      <c r="G107" s="681">
        <f>IF($C$16="Base Rent",$B$16*E107,IF($C$16="Gross Rent",$B$16*(H107+E107)))</f>
        <v/>
      </c>
      <c r="H107" s="680">
        <f>IF(MONTH(C107)=MONTH($E$19),((H106*(1+$E$18))),H106)</f>
        <v/>
      </c>
      <c r="I107" s="680">
        <f>SUM(F107:H107)</f>
        <v/>
      </c>
      <c r="J107" s="505" t="n"/>
      <c r="K107" s="681">
        <f>IF($E$37&gt;B107,0,$E$36 IF(B107&gt;$E$21,0,$E$36))</f>
        <v/>
      </c>
      <c r="L107" s="685">
        <f>IF($F$37&gt;B107,0,$F$36 IF(B107&gt;$E$21,0,$F$36))</f>
        <v/>
      </c>
      <c r="M107" s="505" t="n"/>
      <c r="N107" s="680">
        <f>SUM(L107,K107,I107,E107)</f>
        <v/>
      </c>
      <c r="O107" s="505" t="n"/>
      <c r="P107" s="673">
        <f>+N107/$E$8*12</f>
        <v/>
      </c>
    </row>
    <row r="108" ht="12.6" customFormat="1" customHeight="1" s="299">
      <c r="B108" s="315">
        <f>IF(B107+1&lt;=$E$21,B107+1,IF(B107&gt;=$E$21,"",IF(B107="","")))</f>
        <v/>
      </c>
      <c r="C108" s="316">
        <f>IF(B108&gt;$E$21,"", DATE(YEAR(C107),MONTH(C107)+1,DAY(C107)))</f>
        <v/>
      </c>
      <c r="D108" s="679">
        <f>VLOOKUP(B108,$G$9:$I$29,3)</f>
        <v/>
      </c>
      <c r="E108" s="680">
        <f>D108*$E$8/12</f>
        <v/>
      </c>
      <c r="F108" s="681">
        <f>IF($C$17="Gross Rent",$B$17*(H108+E108),IF($C$17="Base Rent",$B$17*E108))</f>
        <v/>
      </c>
      <c r="G108" s="681">
        <f>IF($C$16="Base Rent",$B$16*E108,IF($C$16="Gross Rent",$B$16*(H108+E108)))</f>
        <v/>
      </c>
      <c r="H108" s="680">
        <f>IF(MONTH(C108)=MONTH($E$19),((H107*(1+$E$18))),H107)</f>
        <v/>
      </c>
      <c r="I108" s="680">
        <f>SUM(F108:H108)</f>
        <v/>
      </c>
      <c r="J108" s="505" t="n"/>
      <c r="K108" s="681">
        <f>IF($E$37&gt;B108,0,$E$36 IF(B108&gt;$E$21,0,$E$36))</f>
        <v/>
      </c>
      <c r="L108" s="685">
        <f>IF($F$37&gt;B108,0,$F$36 IF(B108&gt;$E$21,0,$F$36))</f>
        <v/>
      </c>
      <c r="M108" s="505" t="n"/>
      <c r="N108" s="680">
        <f>SUM(L108,K108,I108,E108)</f>
        <v/>
      </c>
      <c r="O108" s="505" t="n"/>
      <c r="P108" s="673">
        <f>+N108/$E$8*12</f>
        <v/>
      </c>
    </row>
    <row r="109" ht="12.6" customFormat="1" customHeight="1" s="299">
      <c r="B109" s="315">
        <f>IF(B108+1&lt;=$E$21,B108+1,IF(B108&gt;=$E$21,"",IF(B108="","")))</f>
        <v/>
      </c>
      <c r="C109" s="316">
        <f>IF(B109&gt;$E$21,"", DATE(YEAR(C108),MONTH(C108)+1,DAY(C108)))</f>
        <v/>
      </c>
      <c r="D109" s="679">
        <f>VLOOKUP(B109,$G$9:$I$29,3)</f>
        <v/>
      </c>
      <c r="E109" s="680">
        <f>D109*$E$8/12</f>
        <v/>
      </c>
      <c r="F109" s="681">
        <f>IF($C$17="Gross Rent",$B$17*(H109+E109),IF($C$17="Base Rent",$B$17*E109))</f>
        <v/>
      </c>
      <c r="G109" s="681">
        <f>IF($C$16="Base Rent",$B$16*E109,IF($C$16="Gross Rent",$B$16*(H109+E109)))</f>
        <v/>
      </c>
      <c r="H109" s="680">
        <f>IF(MONTH(C109)=MONTH($E$19),((H108*(1+$E$18))),H108)</f>
        <v/>
      </c>
      <c r="I109" s="680">
        <f>SUM(F109:H109)</f>
        <v/>
      </c>
      <c r="J109" s="505" t="n"/>
      <c r="K109" s="681">
        <f>IF($E$37&gt;B109,0,$E$36 IF(B109&gt;$E$21,0,$E$36))</f>
        <v/>
      </c>
      <c r="L109" s="685">
        <f>IF($F$37&gt;B109,0,$F$36 IF(B109&gt;$E$21,0,$F$36))</f>
        <v/>
      </c>
      <c r="M109" s="505" t="n"/>
      <c r="N109" s="680">
        <f>SUM(L109,K109,I109,E109)</f>
        <v/>
      </c>
      <c r="O109" s="505" t="n"/>
      <c r="P109" s="673">
        <f>+N109/$E$8*12</f>
        <v/>
      </c>
    </row>
    <row r="110" ht="12.6" customFormat="1" customHeight="1" s="299">
      <c r="B110" s="315">
        <f>IF(B109+1&lt;=$E$21,B109+1,IF(B109&gt;=$E$21,"",IF(B109="","")))</f>
        <v/>
      </c>
      <c r="C110" s="316">
        <f>IF(B110&gt;$E$21,"", DATE(YEAR(C109),MONTH(C109)+1,DAY(C109)))</f>
        <v/>
      </c>
      <c r="D110" s="679">
        <f>VLOOKUP(B110,$G$9:$I$29,3)</f>
        <v/>
      </c>
      <c r="E110" s="680">
        <f>D110*$E$8/12</f>
        <v/>
      </c>
      <c r="F110" s="681">
        <f>IF($C$17="Gross Rent",$B$17*(H110+E110),IF($C$17="Base Rent",$B$17*E110))</f>
        <v/>
      </c>
      <c r="G110" s="681">
        <f>IF($C$16="Base Rent",$B$16*E110,IF($C$16="Gross Rent",$B$16*(H110+E110)))</f>
        <v/>
      </c>
      <c r="H110" s="680">
        <f>IF(MONTH(C110)=MONTH($E$19),((H109*(1+$E$18))),H109)</f>
        <v/>
      </c>
      <c r="I110" s="680">
        <f>SUM(F110:H110)</f>
        <v/>
      </c>
      <c r="J110" s="505" t="n"/>
      <c r="K110" s="681">
        <f>IF($E$37&gt;B110,0,$E$36 IF(B110&gt;$E$21,0,$E$36))</f>
        <v/>
      </c>
      <c r="L110" s="685">
        <f>IF($F$37&gt;B110,0,$F$36 IF(B110&gt;$E$21,0,$F$36))</f>
        <v/>
      </c>
      <c r="M110" s="505" t="n"/>
      <c r="N110" s="680">
        <f>SUM(L110,K110,I110,E110)</f>
        <v/>
      </c>
      <c r="O110" s="505" t="n"/>
      <c r="P110" s="673">
        <f>+N110/$E$8*12</f>
        <v/>
      </c>
    </row>
    <row r="111" ht="12.6" customFormat="1" customHeight="1" s="299">
      <c r="B111" s="315">
        <f>IF(B110+1&lt;=$E$21,B110+1,IF(B110&gt;=$E$21,"",IF(B110="","")))</f>
        <v/>
      </c>
      <c r="C111" s="316">
        <f>IF(B111&gt;$E$21,"", DATE(YEAR(C110),MONTH(C110)+1,DAY(C110)))</f>
        <v/>
      </c>
      <c r="D111" s="679">
        <f>VLOOKUP(B111,$G$9:$I$29,3)</f>
        <v/>
      </c>
      <c r="E111" s="680">
        <f>D111*$E$8/12</f>
        <v/>
      </c>
      <c r="F111" s="681">
        <f>IF($C$17="Gross Rent",$B$17*(H111+E111),IF($C$17="Base Rent",$B$17*E111))</f>
        <v/>
      </c>
      <c r="G111" s="681">
        <f>IF($C$16="Base Rent",$B$16*E111,IF($C$16="Gross Rent",$B$16*(H111+E111)))</f>
        <v/>
      </c>
      <c r="H111" s="680">
        <f>IF(MONTH(C111)=MONTH($E$19),((H110*(1+$E$18))),H110)</f>
        <v/>
      </c>
      <c r="I111" s="680">
        <f>SUM(F111:H111)</f>
        <v/>
      </c>
      <c r="J111" s="505" t="n"/>
      <c r="K111" s="681">
        <f>IF($E$37&gt;B111,0,$E$36 IF(B111&gt;$E$21,0,$E$36))</f>
        <v/>
      </c>
      <c r="L111" s="685">
        <f>IF($F$37&gt;B111,0,$F$36 IF(B111&gt;$E$21,0,$F$36))</f>
        <v/>
      </c>
      <c r="M111" s="505" t="n"/>
      <c r="N111" s="680">
        <f>SUM(L111,K111,I111,E111)</f>
        <v/>
      </c>
      <c r="O111" s="505" t="n"/>
      <c r="P111" s="673">
        <f>+N111/$E$8*12</f>
        <v/>
      </c>
    </row>
    <row r="112" ht="12.6" customFormat="1" customHeight="1" s="299">
      <c r="B112" s="315">
        <f>IF(B111+1&lt;=$E$21,B111+1,IF(B111&gt;=$E$21,"",IF(B111="","")))</f>
        <v/>
      </c>
      <c r="C112" s="316">
        <f>IF(B112&gt;$E$21,"", DATE(YEAR(C111),MONTH(C111)+1,DAY(C111)))</f>
        <v/>
      </c>
      <c r="D112" s="679">
        <f>VLOOKUP(B112,$G$9:$I$29,3)</f>
        <v/>
      </c>
      <c r="E112" s="680">
        <f>D112*$E$8/12</f>
        <v/>
      </c>
      <c r="F112" s="681">
        <f>IF($C$17="Gross Rent",$B$17*(H112+E112),IF($C$17="Base Rent",$B$17*E112))</f>
        <v/>
      </c>
      <c r="G112" s="681">
        <f>IF($C$16="Base Rent",$B$16*E112,IF($C$16="Gross Rent",$B$16*(H112+E112)))</f>
        <v/>
      </c>
      <c r="H112" s="680">
        <f>IF(MONTH(C112)=MONTH($E$19),((H111*(1+$E$18))),H111)</f>
        <v/>
      </c>
      <c r="I112" s="680">
        <f>SUM(F112:H112)</f>
        <v/>
      </c>
      <c r="J112" s="505" t="n"/>
      <c r="K112" s="681">
        <f>IF($E$37&gt;B112,0,$E$36 IF(B112&gt;$E$21,0,$E$36))</f>
        <v/>
      </c>
      <c r="L112" s="685">
        <f>IF($F$37&gt;B112,0,$F$36 IF(B112&gt;$E$21,0,$F$36))</f>
        <v/>
      </c>
      <c r="M112" s="505" t="n"/>
      <c r="N112" s="680">
        <f>SUM(L112,K112,I112,E112)</f>
        <v/>
      </c>
      <c r="O112" s="505" t="n"/>
      <c r="P112" s="673">
        <f>+N112/$E$8*12</f>
        <v/>
      </c>
    </row>
    <row r="113" ht="12.6" customFormat="1" customHeight="1" s="299">
      <c r="B113" s="315">
        <f>IF(B112+1&lt;=$E$21,B112+1,IF(B112&gt;=$E$21,"",IF(B112="","")))</f>
        <v/>
      </c>
      <c r="C113" s="316">
        <f>IF(B113&gt;$E$21,"", DATE(YEAR(C112),MONTH(C112)+1,DAY(C112)))</f>
        <v/>
      </c>
      <c r="D113" s="679">
        <f>VLOOKUP(B113,$G$9:$I$29,3)</f>
        <v/>
      </c>
      <c r="E113" s="680">
        <f>D113*$E$8/12</f>
        <v/>
      </c>
      <c r="F113" s="681">
        <f>IF($C$17="Gross Rent",$B$17*(H113+E113),IF($C$17="Base Rent",$B$17*E113))</f>
        <v/>
      </c>
      <c r="G113" s="681">
        <f>IF($C$16="Base Rent",$B$16*E113,IF($C$16="Gross Rent",$B$16*(H113+E113)))</f>
        <v/>
      </c>
      <c r="H113" s="680">
        <f>IF(MONTH(C113)=MONTH($E$19),((H112*(1+$E$18))),H112)</f>
        <v/>
      </c>
      <c r="I113" s="680">
        <f>SUM(F113:H113)</f>
        <v/>
      </c>
      <c r="J113" s="505" t="n"/>
      <c r="K113" s="681">
        <f>IF($E$37&gt;B113,0,$E$36 IF(B113&gt;$E$21,0,$E$36))</f>
        <v/>
      </c>
      <c r="L113" s="685">
        <f>IF($F$37&gt;B113,0,$F$36 IF(B113&gt;$E$21,0,$F$36))</f>
        <v/>
      </c>
      <c r="M113" s="505" t="n"/>
      <c r="N113" s="680">
        <f>SUM(L113,K113,I113,E113)</f>
        <v/>
      </c>
      <c r="O113" s="505" t="n"/>
      <c r="P113" s="673">
        <f>+N113/$E$8*12</f>
        <v/>
      </c>
    </row>
    <row r="114" ht="12.6" customFormat="1" customHeight="1" s="299">
      <c r="B114" s="315">
        <f>IF(B113+1&lt;=$E$21,B113+1,IF(B113&gt;=$E$21,"",IF(B113="","")))</f>
        <v/>
      </c>
      <c r="C114" s="316">
        <f>IF(B114&gt;$E$21,"", DATE(YEAR(C113),MONTH(C113)+1,DAY(C113)))</f>
        <v/>
      </c>
      <c r="D114" s="679">
        <f>VLOOKUP(B114,$G$9:$I$29,3)</f>
        <v/>
      </c>
      <c r="E114" s="680">
        <f>D114*$E$8/12</f>
        <v/>
      </c>
      <c r="F114" s="681">
        <f>IF($C$17="Gross Rent",$B$17*(H114+E114),IF($C$17="Base Rent",$B$17*E114))</f>
        <v/>
      </c>
      <c r="G114" s="681">
        <f>IF($C$16="Base Rent",$B$16*E114,IF($C$16="Gross Rent",$B$16*(H114+E114)))</f>
        <v/>
      </c>
      <c r="H114" s="680">
        <f>IF(MONTH(C114)=MONTH($E$19),((H113*(1+$E$18))),H113)</f>
        <v/>
      </c>
      <c r="I114" s="680">
        <f>SUM(F114:H114)</f>
        <v/>
      </c>
      <c r="J114" s="505" t="n"/>
      <c r="K114" s="681">
        <f>IF($E$37&gt;B114,0,$E$36 IF(B114&gt;$E$21,0,$E$36))</f>
        <v/>
      </c>
      <c r="L114" s="685">
        <f>IF($F$37&gt;B114,0,$F$36 IF(B114&gt;$E$21,0,$F$36))</f>
        <v/>
      </c>
      <c r="M114" s="505" t="n"/>
      <c r="N114" s="680">
        <f>SUM(L114,K114,I114,E114)</f>
        <v/>
      </c>
      <c r="O114" s="505" t="n"/>
      <c r="P114" s="673">
        <f>+N114/$E$8*12</f>
        <v/>
      </c>
    </row>
    <row r="115" ht="12.6" customFormat="1" customHeight="1" s="299">
      <c r="B115" s="315">
        <f>IF(B114+1&lt;=$E$21,B114+1,IF(B114&gt;=$E$21,"",IF(B114="","")))</f>
        <v/>
      </c>
      <c r="C115" s="316">
        <f>IF(B115&gt;$E$21,"", DATE(YEAR(C114),MONTH(C114)+1,DAY(C114)))</f>
        <v/>
      </c>
      <c r="D115" s="679">
        <f>VLOOKUP(B115,$G$9:$I$29,3)</f>
        <v/>
      </c>
      <c r="E115" s="680">
        <f>D115*$E$8/12</f>
        <v/>
      </c>
      <c r="F115" s="681">
        <f>IF($C$17="Gross Rent",$B$17*(H115+E115),IF($C$17="Base Rent",$B$17*E115))</f>
        <v/>
      </c>
      <c r="G115" s="681">
        <f>IF($C$16="Base Rent",$B$16*E115,IF($C$16="Gross Rent",$B$16*(H115+E115)))</f>
        <v/>
      </c>
      <c r="H115" s="680">
        <f>IF(MONTH(C115)=MONTH($E$19),((H114*(1+$E$18))),H114)</f>
        <v/>
      </c>
      <c r="I115" s="680">
        <f>SUM(F115:H115)</f>
        <v/>
      </c>
      <c r="J115" s="505" t="n"/>
      <c r="K115" s="681">
        <f>IF($E$37&gt;B115,0,$E$36 IF(B115&gt;$E$21,0,$E$36))</f>
        <v/>
      </c>
      <c r="L115" s="685">
        <f>IF($F$37&gt;B115,0,$F$36 IF(B115&gt;$E$21,0,$F$36))</f>
        <v/>
      </c>
      <c r="M115" s="505" t="n"/>
      <c r="N115" s="680">
        <f>SUM(L115,K115,I115,E115)</f>
        <v/>
      </c>
      <c r="O115" s="505" t="n"/>
      <c r="P115" s="673">
        <f>+N115/$E$8*12</f>
        <v/>
      </c>
    </row>
    <row r="116" ht="12.6" customFormat="1" customHeight="1" s="299">
      <c r="B116" s="315">
        <f>IF(B115+1&lt;=$E$21,B115+1,IF(B115&gt;=$E$21,"",IF(B115="","")))</f>
        <v/>
      </c>
      <c r="C116" s="316">
        <f>IF(B116&gt;$E$21,"", DATE(YEAR(C115),MONTH(C115)+1,DAY(C115)))</f>
        <v/>
      </c>
      <c r="D116" s="679">
        <f>VLOOKUP(B116,$G$9:$I$29,3)</f>
        <v/>
      </c>
      <c r="E116" s="680">
        <f>D116*$E$8/12</f>
        <v/>
      </c>
      <c r="F116" s="681">
        <f>IF($C$17="Gross Rent",$B$17*(H116+E116),IF($C$17="Base Rent",$B$17*E116))</f>
        <v/>
      </c>
      <c r="G116" s="681">
        <f>IF($C$16="Base Rent",$B$16*E116,IF($C$16="Gross Rent",$B$16*(H116+E116)))</f>
        <v/>
      </c>
      <c r="H116" s="680">
        <f>IF(MONTH(C116)=MONTH($E$19),((H115*(1+$E$18))),H115)</f>
        <v/>
      </c>
      <c r="I116" s="680">
        <f>SUM(F116:H116)</f>
        <v/>
      </c>
      <c r="J116" s="505" t="n"/>
      <c r="K116" s="681">
        <f>IF($E$37&gt;B116,0,$E$36 IF(B116&gt;$E$21,0,$E$36))</f>
        <v/>
      </c>
      <c r="L116" s="685">
        <f>IF($F$37&gt;B116,0,$F$36 IF(B116&gt;$E$21,0,$F$36))</f>
        <v/>
      </c>
      <c r="M116" s="505" t="n"/>
      <c r="N116" s="680">
        <f>SUM(L116,K116,I116,E116)</f>
        <v/>
      </c>
      <c r="O116" s="505" t="n"/>
      <c r="P116" s="673">
        <f>+N116/$E$8*12</f>
        <v/>
      </c>
    </row>
    <row r="117" ht="12.6" customFormat="1" customHeight="1" s="299">
      <c r="B117" s="315">
        <f>IF(B116+1&lt;=$E$21,B116+1,IF(B116&gt;=$E$21,"",IF(B116="","")))</f>
        <v/>
      </c>
      <c r="C117" s="316">
        <f>IF(B117&gt;$E$21,"", DATE(YEAR(C116),MONTH(C116)+1,DAY(C116)))</f>
        <v/>
      </c>
      <c r="D117" s="679">
        <f>VLOOKUP(B117,$G$9:$I$29,3)</f>
        <v/>
      </c>
      <c r="E117" s="680">
        <f>D117*$E$8/12</f>
        <v/>
      </c>
      <c r="F117" s="681">
        <f>IF($C$17="Gross Rent",$B$17*(H117+E117),IF($C$17="Base Rent",$B$17*E117))</f>
        <v/>
      </c>
      <c r="G117" s="681">
        <f>IF($C$16="Base Rent",$B$16*E117,IF($C$16="Gross Rent",$B$16*(H117+E117)))</f>
        <v/>
      </c>
      <c r="H117" s="680">
        <f>IF(MONTH(C117)=MONTH($E$19),((H116*(1+$E$18))),H116)</f>
        <v/>
      </c>
      <c r="I117" s="680">
        <f>SUM(F117:H117)</f>
        <v/>
      </c>
      <c r="J117" s="505" t="n"/>
      <c r="K117" s="681">
        <f>IF($E$37&gt;B117,0,$E$36 IF(B117&gt;$E$21,0,$E$36))</f>
        <v/>
      </c>
      <c r="L117" s="685">
        <f>IF($F$37&gt;B117,0,$F$36 IF(B117&gt;$E$21,0,$F$36))</f>
        <v/>
      </c>
      <c r="M117" s="505" t="n"/>
      <c r="N117" s="680">
        <f>SUM(L117,K117,I117,E117)</f>
        <v/>
      </c>
      <c r="O117" s="505" t="n"/>
      <c r="P117" s="673">
        <f>+N117/$E$8*12</f>
        <v/>
      </c>
    </row>
    <row r="118" ht="12.6" customFormat="1" customHeight="1" s="299">
      <c r="B118" s="315">
        <f>IF(B117+1&lt;=$E$21,B117+1,IF(B117&gt;=$E$21,"",IF(B117="","")))</f>
        <v/>
      </c>
      <c r="C118" s="316">
        <f>IF(B118&gt;$E$21,"", DATE(YEAR(C117),MONTH(C117)+1,DAY(C117)))</f>
        <v/>
      </c>
      <c r="D118" s="679">
        <f>VLOOKUP(B118,$G$9:$I$29,3)</f>
        <v/>
      </c>
      <c r="E118" s="680">
        <f>D118*$E$8/12</f>
        <v/>
      </c>
      <c r="F118" s="681">
        <f>IF($C$17="Gross Rent",$B$17*(H118+E118),IF($C$17="Base Rent",$B$17*E118))</f>
        <v/>
      </c>
      <c r="G118" s="681">
        <f>IF($C$16="Base Rent",$B$16*E118,IF($C$16="Gross Rent",$B$16*(H118+E118)))</f>
        <v/>
      </c>
      <c r="H118" s="680">
        <f>IF(MONTH(C118)=MONTH($E$19),((H117*(1+$E$18))),H117)</f>
        <v/>
      </c>
      <c r="I118" s="680">
        <f>SUM(F118:H118)</f>
        <v/>
      </c>
      <c r="J118" s="505" t="n"/>
      <c r="K118" s="681">
        <f>IF($E$37&gt;B118,0,$E$36 IF(B118&gt;$E$21,0,$E$36))</f>
        <v/>
      </c>
      <c r="L118" s="685">
        <f>IF($F$37&gt;B118,0,$F$36 IF(B118&gt;$E$21,0,$F$36))</f>
        <v/>
      </c>
      <c r="M118" s="505" t="n"/>
      <c r="N118" s="680">
        <f>SUM(L118,K118,I118,E118)</f>
        <v/>
      </c>
      <c r="O118" s="505" t="n"/>
      <c r="P118" s="673">
        <f>+N118/$E$8*12</f>
        <v/>
      </c>
    </row>
    <row r="119" ht="12.6" customFormat="1" customHeight="1" s="299">
      <c r="B119" s="315">
        <f>IF(B118+1&lt;=$E$21,B118+1,IF(B118&gt;=$E$21,"",IF(B118="","")))</f>
        <v/>
      </c>
      <c r="C119" s="316">
        <f>IF(B119&gt;$E$21,"", DATE(YEAR(C118),MONTH(C118)+1,DAY(C118)))</f>
        <v/>
      </c>
      <c r="D119" s="679">
        <f>VLOOKUP(B119,$G$9:$I$29,3)</f>
        <v/>
      </c>
      <c r="E119" s="680">
        <f>D119*$E$8/12</f>
        <v/>
      </c>
      <c r="F119" s="681">
        <f>IF($C$17="Gross Rent",$B$17*(H119+E119),IF($C$17="Base Rent",$B$17*E119))</f>
        <v/>
      </c>
      <c r="G119" s="681">
        <f>IF($C$16="Base Rent",$B$16*E119,IF($C$16="Gross Rent",$B$16*(H119+E119)))</f>
        <v/>
      </c>
      <c r="H119" s="680">
        <f>IF(MONTH(C119)=MONTH($E$19),((H118*(1+$E$18))),H118)</f>
        <v/>
      </c>
      <c r="I119" s="680">
        <f>SUM(F119:H119)</f>
        <v/>
      </c>
      <c r="J119" s="505" t="n"/>
      <c r="K119" s="681">
        <f>IF($E$37&gt;B119,0,$E$36 IF(B119&gt;$E$21,0,$E$36))</f>
        <v/>
      </c>
      <c r="L119" s="685">
        <f>IF($F$37&gt;B119,0,$F$36 IF(B119&gt;$E$21,0,$F$36))</f>
        <v/>
      </c>
      <c r="M119" s="505" t="n"/>
      <c r="N119" s="680">
        <f>SUM(L119,K119,I119,E119)</f>
        <v/>
      </c>
      <c r="O119" s="505" t="n"/>
      <c r="P119" s="673">
        <f>+N119/$E$8*12</f>
        <v/>
      </c>
    </row>
    <row r="120" ht="12.6" customFormat="1" customHeight="1" s="299">
      <c r="B120" s="315">
        <f>IF(B119+1&lt;=$E$21,B119+1,IF(B119&gt;=$E$21,"",IF(B119="","")))</f>
        <v/>
      </c>
      <c r="C120" s="316">
        <f>IF(B120&gt;$E$21,"", DATE(YEAR(C119),MONTH(C119)+1,DAY(C119)))</f>
        <v/>
      </c>
      <c r="D120" s="679">
        <f>VLOOKUP(B120,$G$9:$I$29,3)</f>
        <v/>
      </c>
      <c r="E120" s="680">
        <f>D120*$E$8/12</f>
        <v/>
      </c>
      <c r="F120" s="681">
        <f>IF($C$17="Gross Rent",$B$17*(H120+E120),IF($C$17="Base Rent",$B$17*E120))</f>
        <v/>
      </c>
      <c r="G120" s="681">
        <f>IF($C$16="Base Rent",$B$16*E120,IF($C$16="Gross Rent",$B$16*(H120+E120)))</f>
        <v/>
      </c>
      <c r="H120" s="680">
        <f>IF(MONTH(C120)=MONTH($E$19),((H119*(1+$E$18))),H119)</f>
        <v/>
      </c>
      <c r="I120" s="680">
        <f>SUM(F120:H120)</f>
        <v/>
      </c>
      <c r="J120" s="505" t="n"/>
      <c r="K120" s="681">
        <f>IF($E$37&gt;B120,0,$E$36 IF(B120&gt;$E$21,0,$E$36))</f>
        <v/>
      </c>
      <c r="L120" s="685">
        <f>IF($F$37&gt;B120,0,$F$36 IF(B120&gt;$E$21,0,$F$36))</f>
        <v/>
      </c>
      <c r="M120" s="505" t="n"/>
      <c r="N120" s="680">
        <f>SUM(L120,K120,I120,E120)</f>
        <v/>
      </c>
      <c r="O120" s="505" t="n"/>
      <c r="P120" s="673">
        <f>+N120/$E$8*12</f>
        <v/>
      </c>
    </row>
    <row r="121" ht="12.6" customFormat="1" customHeight="1" s="299">
      <c r="B121" s="315">
        <f>IF(B120+1&lt;=$E$21,B120+1,IF(B120&gt;=$E$21,"",IF(B120="","")))</f>
        <v/>
      </c>
      <c r="C121" s="316">
        <f>IF(B121&gt;$E$21,"", DATE(YEAR(C120),MONTH(C120)+1,DAY(C120)))</f>
        <v/>
      </c>
      <c r="D121" s="679">
        <f>VLOOKUP(B121,$G$9:$I$29,3)</f>
        <v/>
      </c>
      <c r="E121" s="680">
        <f>D121*$E$8/12</f>
        <v/>
      </c>
      <c r="F121" s="681">
        <f>IF($C$17="Gross Rent",$B$17*(H121+E121),IF($C$17="Base Rent",$B$17*E121))</f>
        <v/>
      </c>
      <c r="G121" s="681">
        <f>IF($C$16="Base Rent",$B$16*E121,IF($C$16="Gross Rent",$B$16*(H121+E121)))</f>
        <v/>
      </c>
      <c r="H121" s="680">
        <f>IF(MONTH(C121)=MONTH($E$19),((H120*(1+$E$18))),H120)</f>
        <v/>
      </c>
      <c r="I121" s="680">
        <f>SUM(F121:H121)</f>
        <v/>
      </c>
      <c r="J121" s="505" t="n"/>
      <c r="K121" s="681">
        <f>IF($E$37&gt;B121,0,$E$36 IF(B121&gt;$E$21,0,$E$36))</f>
        <v/>
      </c>
      <c r="L121" s="685">
        <f>IF($F$37&gt;B121,0,$F$36 IF(B121&gt;$E$21,0,$F$36))</f>
        <v/>
      </c>
      <c r="M121" s="505" t="n"/>
      <c r="N121" s="680">
        <f>SUM(L121,K121,I121,E121)</f>
        <v/>
      </c>
      <c r="O121" s="505" t="n"/>
      <c r="P121" s="673">
        <f>+N121/$E$8*12</f>
        <v/>
      </c>
    </row>
    <row r="122" ht="12.6" customFormat="1" customHeight="1" s="299">
      <c r="B122" s="315">
        <f>IF(B121+1&lt;=$E$21,B121+1,IF(B121&gt;=$E$21,"",IF(B121="","")))</f>
        <v/>
      </c>
      <c r="C122" s="316">
        <f>IF(B122&gt;$E$21,"", DATE(YEAR(C121),MONTH(C121)+1,DAY(C121)))</f>
        <v/>
      </c>
      <c r="D122" s="679">
        <f>VLOOKUP(B122,$G$9:$I$29,3)</f>
        <v/>
      </c>
      <c r="E122" s="680">
        <f>D122*$E$8/12</f>
        <v/>
      </c>
      <c r="F122" s="681">
        <f>IF($C$17="Gross Rent",$B$17*(H122+E122),IF($C$17="Base Rent",$B$17*E122))</f>
        <v/>
      </c>
      <c r="G122" s="681">
        <f>IF($C$16="Base Rent",$B$16*E122,IF($C$16="Gross Rent",$B$16*(H122+E122)))</f>
        <v/>
      </c>
      <c r="H122" s="680">
        <f>IF(MONTH(C122)=MONTH($E$19),((H121*(1+$E$18))),H121)</f>
        <v/>
      </c>
      <c r="I122" s="680">
        <f>SUM(F122:H122)</f>
        <v/>
      </c>
      <c r="J122" s="505" t="n"/>
      <c r="K122" s="681">
        <f>IF($E$37&gt;B122,0,$E$36 IF(B122&gt;$E$21,0,$E$36))</f>
        <v/>
      </c>
      <c r="L122" s="685">
        <f>IF($F$37&gt;B122,0,$F$36 IF(B122&gt;$E$21,0,$F$36))</f>
        <v/>
      </c>
      <c r="M122" s="505" t="n"/>
      <c r="N122" s="680">
        <f>SUM(L122,K122,I122,E122)</f>
        <v/>
      </c>
      <c r="O122" s="505" t="n"/>
      <c r="P122" s="673">
        <f>+N122/$E$8*12</f>
        <v/>
      </c>
    </row>
    <row r="123" ht="12.6" customFormat="1" customHeight="1" s="299">
      <c r="B123" s="315">
        <f>IF(B122+1&lt;=$E$21,B122+1,IF(B122&gt;=$E$21,"",IF(B122="","")))</f>
        <v/>
      </c>
      <c r="C123" s="316">
        <f>IF(B123&gt;$E$21,"", DATE(YEAR(C122),MONTH(C122)+1,DAY(C122)))</f>
        <v/>
      </c>
      <c r="D123" s="679">
        <f>VLOOKUP(B123,$G$9:$I$29,3)</f>
        <v/>
      </c>
      <c r="E123" s="680">
        <f>D123*$E$8/12</f>
        <v/>
      </c>
      <c r="F123" s="681">
        <f>IF($C$17="Gross Rent",$B$17*(H123+E123),IF($C$17="Base Rent",$B$17*E123))</f>
        <v/>
      </c>
      <c r="G123" s="681">
        <f>IF($C$16="Base Rent",$B$16*E123,IF($C$16="Gross Rent",$B$16*(H123+E123)))</f>
        <v/>
      </c>
      <c r="H123" s="680">
        <f>IF(MONTH(C123)=MONTH($E$19),((H122*(1+$E$18))),H122)</f>
        <v/>
      </c>
      <c r="I123" s="680">
        <f>SUM(F123:H123)</f>
        <v/>
      </c>
      <c r="J123" s="505" t="n"/>
      <c r="K123" s="681">
        <f>IF($E$37&gt;B123,0,$E$36 IF(B123&gt;$E$21,0,$E$36))</f>
        <v/>
      </c>
      <c r="L123" s="685">
        <f>IF($F$37&gt;B123,0,$F$36 IF(B123&gt;$E$21,0,$F$36))</f>
        <v/>
      </c>
      <c r="M123" s="505" t="n"/>
      <c r="N123" s="680">
        <f>SUM(L123,K123,I123,E123)</f>
        <v/>
      </c>
      <c r="O123" s="505" t="n"/>
      <c r="P123" s="673">
        <f>+N123/$E$8*12</f>
        <v/>
      </c>
    </row>
    <row r="124" ht="12.6" customFormat="1" customHeight="1" s="299">
      <c r="B124" s="315">
        <f>IF(B123+1&lt;=$E$21,B123+1,IF(B123&gt;=$E$21,"",IF(B123="","")))</f>
        <v/>
      </c>
      <c r="C124" s="316">
        <f>IF(B124&gt;$E$21,"", DATE(YEAR(C123),MONTH(C123)+1,DAY(C123)))</f>
        <v/>
      </c>
      <c r="D124" s="679">
        <f>VLOOKUP(B124,$G$9:$I$29,3)</f>
        <v/>
      </c>
      <c r="E124" s="680">
        <f>D124*$E$8/12</f>
        <v/>
      </c>
      <c r="F124" s="681">
        <f>IF($C$17="Gross Rent",$B$17*(H124+E124),IF($C$17="Base Rent",$B$17*E124))</f>
        <v/>
      </c>
      <c r="G124" s="681">
        <f>IF($C$16="Base Rent",$B$16*E124,IF($C$16="Gross Rent",$B$16*(H124+E124)))</f>
        <v/>
      </c>
      <c r="H124" s="680">
        <f>IF(MONTH(C124)=MONTH($E$19),((H123*(1+$E$18))),H123)</f>
        <v/>
      </c>
      <c r="I124" s="680">
        <f>SUM(F124:H124)</f>
        <v/>
      </c>
      <c r="J124" s="505" t="n"/>
      <c r="K124" s="681">
        <f>IF($E$37&gt;B124,0,$E$36 IF(B124&gt;$E$21,0,$E$36))</f>
        <v/>
      </c>
      <c r="L124" s="685">
        <f>IF($F$37&gt;B124,0,$F$36 IF(B124&gt;$E$21,0,$F$36))</f>
        <v/>
      </c>
      <c r="M124" s="505" t="n"/>
      <c r="N124" s="680">
        <f>SUM(L124,K124,I124,E124)</f>
        <v/>
      </c>
      <c r="O124" s="505" t="n"/>
      <c r="P124" s="673">
        <f>+N124/$E$8*12</f>
        <v/>
      </c>
    </row>
    <row r="125" ht="12.6" customFormat="1" customHeight="1" s="299">
      <c r="B125" s="315">
        <f>IF(B124+1&lt;=$E$21,B124+1,IF(B124&gt;=$E$21,"",IF(B124="","")))</f>
        <v/>
      </c>
      <c r="C125" s="316">
        <f>IF(B125&gt;$E$21,"", DATE(YEAR(C124),MONTH(C124)+1,DAY(C124)))</f>
        <v/>
      </c>
      <c r="D125" s="679">
        <f>VLOOKUP(B125,$G$9:$I$29,3)</f>
        <v/>
      </c>
      <c r="E125" s="680">
        <f>D125*$E$8/12</f>
        <v/>
      </c>
      <c r="F125" s="681">
        <f>IF($C$17="Gross Rent",$B$17*(H125+E125),IF($C$17="Base Rent",$B$17*E125))</f>
        <v/>
      </c>
      <c r="G125" s="681">
        <f>IF($C$16="Base Rent",$B$16*E125,IF($C$16="Gross Rent",$B$16*(H125+E125)))</f>
        <v/>
      </c>
      <c r="H125" s="680">
        <f>IF(MONTH(C125)=MONTH($E$19),((H124*(1+$E$18))),H124)</f>
        <v/>
      </c>
      <c r="I125" s="680">
        <f>SUM(F125:H125)</f>
        <v/>
      </c>
      <c r="J125" s="505" t="n"/>
      <c r="K125" s="681">
        <f>IF($E$37&gt;B125,0,$E$36 IF(B125&gt;$E$21,0,$E$36))</f>
        <v/>
      </c>
      <c r="L125" s="685">
        <f>IF($F$37&gt;B125,0,$F$36 IF(B125&gt;$E$21,0,$F$36))</f>
        <v/>
      </c>
      <c r="M125" s="505" t="n"/>
      <c r="N125" s="680">
        <f>SUM(L125,K125,I125,E125)</f>
        <v/>
      </c>
      <c r="O125" s="505" t="n"/>
      <c r="P125" s="673">
        <f>+N125/$E$8*12</f>
        <v/>
      </c>
    </row>
    <row r="126" ht="12.6" customFormat="1" customHeight="1" s="299">
      <c r="B126" s="315">
        <f>IF(B125+1&lt;=$E$21,B125+1,IF(B125&gt;=$E$21,"",IF(B125="","")))</f>
        <v/>
      </c>
      <c r="C126" s="316">
        <f>IF(B126&gt;$E$21,"", DATE(YEAR(C125),MONTH(C125)+1,DAY(C125)))</f>
        <v/>
      </c>
      <c r="D126" s="679">
        <f>VLOOKUP(B126,$G$9:$I$29,3)</f>
        <v/>
      </c>
      <c r="E126" s="680">
        <f>D126*$E$8/12</f>
        <v/>
      </c>
      <c r="F126" s="681">
        <f>IF($C$17="Gross Rent",$B$17*(H126+E126),IF($C$17="Base Rent",$B$17*E126))</f>
        <v/>
      </c>
      <c r="G126" s="681">
        <f>IF($C$16="Base Rent",$B$16*E126,IF($C$16="Gross Rent",$B$16*(H126+E126)))</f>
        <v/>
      </c>
      <c r="H126" s="680">
        <f>IF(MONTH(C126)=MONTH($E$19),((H125*(1+$E$18))),H125)</f>
        <v/>
      </c>
      <c r="I126" s="680">
        <f>SUM(F126:H126)</f>
        <v/>
      </c>
      <c r="J126" s="505" t="n"/>
      <c r="K126" s="681">
        <f>IF($E$37&gt;B126,0,$E$36 IF(B126&gt;$E$21,0,$E$36))</f>
        <v/>
      </c>
      <c r="L126" s="685">
        <f>IF($F$37&gt;B126,0,$F$36 IF(B126&gt;$E$21,0,$F$36))</f>
        <v/>
      </c>
      <c r="M126" s="505" t="n"/>
      <c r="N126" s="680">
        <f>SUM(L126,K126,I126,E126)</f>
        <v/>
      </c>
      <c r="O126" s="505" t="n"/>
      <c r="P126" s="673">
        <f>+N126/$E$8*12</f>
        <v/>
      </c>
    </row>
    <row r="127" ht="12.6" customFormat="1" customHeight="1" s="299">
      <c r="B127" s="315">
        <f>IF(B126+1&lt;=$E$21,B126+1,IF(B126&gt;=$E$21,"",IF(B126="","")))</f>
        <v/>
      </c>
      <c r="C127" s="316">
        <f>IF(B127&gt;$E$21,"", DATE(YEAR(C126),MONTH(C126)+1,DAY(C126)))</f>
        <v/>
      </c>
      <c r="D127" s="679">
        <f>VLOOKUP(B127,$G$9:$I$29,3)</f>
        <v/>
      </c>
      <c r="E127" s="680">
        <f>D127*$E$8/12</f>
        <v/>
      </c>
      <c r="F127" s="681">
        <f>IF($C$17="Gross Rent",$B$17*(H127+E127),IF($C$17="Base Rent",$B$17*E127))</f>
        <v/>
      </c>
      <c r="G127" s="681">
        <f>IF($C$16="Base Rent",$B$16*E127,IF($C$16="Gross Rent",$B$16*(H127+E127)))</f>
        <v/>
      </c>
      <c r="H127" s="680">
        <f>IF(MONTH(C127)=MONTH($E$19),((H126*(1+$E$18))),H126)</f>
        <v/>
      </c>
      <c r="I127" s="680">
        <f>SUM(F127:H127)</f>
        <v/>
      </c>
      <c r="J127" s="505" t="n"/>
      <c r="K127" s="681">
        <f>IF($E$37&gt;B127,0,$E$36 IF(B127&gt;$E$21,0,$E$36))</f>
        <v/>
      </c>
      <c r="L127" s="685">
        <f>IF($F$37&gt;B127,0,$F$36 IF(B127&gt;$E$21,0,$F$36))</f>
        <v/>
      </c>
      <c r="M127" s="505" t="n"/>
      <c r="N127" s="680">
        <f>SUM(L127,K127,I127,E127)</f>
        <v/>
      </c>
      <c r="O127" s="505" t="n"/>
      <c r="P127" s="673">
        <f>+N127/$E$8*12</f>
        <v/>
      </c>
    </row>
    <row r="128" ht="12.6" customFormat="1" customHeight="1" s="299">
      <c r="B128" s="315">
        <f>IF(B127+1&lt;=$E$21,B127+1,IF(B127&gt;=$E$21,"",IF(B127="","")))</f>
        <v/>
      </c>
      <c r="C128" s="316">
        <f>IF(B128&gt;$E$21,"", DATE(YEAR(C127),MONTH(C127)+1,DAY(C127)))</f>
        <v/>
      </c>
      <c r="D128" s="679">
        <f>VLOOKUP(B128,$G$9:$I$29,3)</f>
        <v/>
      </c>
      <c r="E128" s="680">
        <f>D128*$E$8/12</f>
        <v/>
      </c>
      <c r="F128" s="681">
        <f>IF($C$17="Gross Rent",$B$17*(H128+E128),IF($C$17="Base Rent",$B$17*E128))</f>
        <v/>
      </c>
      <c r="G128" s="681">
        <f>IF($C$16="Base Rent",$B$16*E128,IF($C$16="Gross Rent",$B$16*(H128+E128)))</f>
        <v/>
      </c>
      <c r="H128" s="680">
        <f>IF(MONTH(C128)=MONTH($E$19),((H127*(1+$E$18))),H127)</f>
        <v/>
      </c>
      <c r="I128" s="680">
        <f>SUM(F128:H128)</f>
        <v/>
      </c>
      <c r="J128" s="505" t="n"/>
      <c r="K128" s="681">
        <f>IF($E$37&gt;B128,0,$E$36 IF(B128&gt;$E$21,0,$E$36))</f>
        <v/>
      </c>
      <c r="L128" s="685">
        <f>IF($F$37&gt;B128,0,$F$36 IF(B128&gt;$E$21,0,$F$36))</f>
        <v/>
      </c>
      <c r="M128" s="505" t="n"/>
      <c r="N128" s="680">
        <f>SUM(L128,K128,I128,E128)</f>
        <v/>
      </c>
      <c r="O128" s="505" t="n"/>
      <c r="P128" s="673">
        <f>+N128/$E$8*12</f>
        <v/>
      </c>
    </row>
    <row r="129" ht="12.6" customFormat="1" customHeight="1" s="299">
      <c r="B129" s="315">
        <f>IF(B128+1&lt;=$E$21,B128+1,IF(B128&gt;=$E$21,"",IF(B128="","")))</f>
        <v/>
      </c>
      <c r="C129" s="316">
        <f>IF(B129&gt;$E$21,"", DATE(YEAR(C128),MONTH(C128)+1,DAY(C128)))</f>
        <v/>
      </c>
      <c r="D129" s="679">
        <f>VLOOKUP(B129,$G$9:$I$29,3)</f>
        <v/>
      </c>
      <c r="E129" s="680">
        <f>D129*$E$8/12</f>
        <v/>
      </c>
      <c r="F129" s="681">
        <f>IF($C$17="Gross Rent",$B$17*(H129+E129),IF($C$17="Base Rent",$B$17*E129))</f>
        <v/>
      </c>
      <c r="G129" s="681">
        <f>IF($C$16="Base Rent",$B$16*E129,IF($C$16="Gross Rent",$B$16*(H129+E129)))</f>
        <v/>
      </c>
      <c r="H129" s="680">
        <f>IF(MONTH(C129)=MONTH($E$19),((H128*(1+$E$18))),H128)</f>
        <v/>
      </c>
      <c r="I129" s="680">
        <f>SUM(F129:H129)</f>
        <v/>
      </c>
      <c r="J129" s="505" t="n"/>
      <c r="K129" s="681">
        <f>IF($E$37&gt;B129,0,$E$36 IF(B129&gt;$E$21,0,$E$36))</f>
        <v/>
      </c>
      <c r="L129" s="685">
        <f>IF($F$37&gt;B129,0,$F$36 IF(B129&gt;$E$21,0,$F$36))</f>
        <v/>
      </c>
      <c r="M129" s="505" t="n"/>
      <c r="N129" s="680">
        <f>SUM(L129,K129,I129,E129)</f>
        <v/>
      </c>
      <c r="O129" s="505" t="n"/>
      <c r="P129" s="673">
        <f>+N129/$E$8*12</f>
        <v/>
      </c>
    </row>
    <row r="130" ht="12.6" customFormat="1" customHeight="1" s="299">
      <c r="B130" s="315">
        <f>IF(B129+1&lt;=$E$21,B129+1,IF(B129&gt;=$E$21,"",IF(B129="","")))</f>
        <v/>
      </c>
      <c r="C130" s="316">
        <f>IF(B130&gt;$E$21,"", DATE(YEAR(C129),MONTH(C129)+1,DAY(C129)))</f>
        <v/>
      </c>
      <c r="D130" s="679">
        <f>VLOOKUP(B130,$G$9:$I$29,3)</f>
        <v/>
      </c>
      <c r="E130" s="680">
        <f>D130*$E$8/12</f>
        <v/>
      </c>
      <c r="F130" s="681">
        <f>IF($C$17="Gross Rent",$B$17*(H130+E130),IF($C$17="Base Rent",$B$17*E130))</f>
        <v/>
      </c>
      <c r="G130" s="681">
        <f>IF($C$16="Base Rent",$B$16*E130,IF($C$16="Gross Rent",$B$16*(H130+E130)))</f>
        <v/>
      </c>
      <c r="H130" s="680">
        <f>IF(MONTH(C130)=MONTH($E$19),((H129*(1+$E$18))),H129)</f>
        <v/>
      </c>
      <c r="I130" s="680">
        <f>SUM(F130:H130)</f>
        <v/>
      </c>
      <c r="J130" s="505" t="n"/>
      <c r="K130" s="681">
        <f>IF($E$37&gt;B130,0,$E$36 IF(B130&gt;$E$21,0,$E$36))</f>
        <v/>
      </c>
      <c r="L130" s="685">
        <f>IF($F$37&gt;B130,0,$F$36 IF(B130&gt;$E$21,0,$F$36))</f>
        <v/>
      </c>
      <c r="M130" s="505" t="n"/>
      <c r="N130" s="680">
        <f>SUM(L130,K130,I130,E130)</f>
        <v/>
      </c>
      <c r="O130" s="505" t="n"/>
      <c r="P130" s="673">
        <f>+N130/$E$8*12</f>
        <v/>
      </c>
    </row>
    <row r="131" ht="12.6" customFormat="1" customHeight="1" s="299">
      <c r="B131" s="315">
        <f>IF(B130+1&lt;=$E$21,B130+1,IF(B130&gt;=$E$21,"",IF(B130="","")))</f>
        <v/>
      </c>
      <c r="C131" s="316">
        <f>IF(B131&gt;$E$21,"", DATE(YEAR(C130),MONTH(C130)+1,DAY(C130)))</f>
        <v/>
      </c>
      <c r="D131" s="679">
        <f>VLOOKUP(B131,$G$9:$I$29,3)</f>
        <v/>
      </c>
      <c r="E131" s="680">
        <f>D131*$E$8/12</f>
        <v/>
      </c>
      <c r="F131" s="681">
        <f>IF($C$17="Gross Rent",$B$17*(H131+E131),IF($C$17="Base Rent",$B$17*E131))</f>
        <v/>
      </c>
      <c r="G131" s="681">
        <f>IF($C$16="Base Rent",$B$16*E131,IF($C$16="Gross Rent",$B$16*(H131+E131)))</f>
        <v/>
      </c>
      <c r="H131" s="680">
        <f>IF(MONTH(C131)=MONTH($E$19),((H130*(1+$E$18))),H130)</f>
        <v/>
      </c>
      <c r="I131" s="680">
        <f>SUM(F131:H131)</f>
        <v/>
      </c>
      <c r="J131" s="505" t="n"/>
      <c r="K131" s="681">
        <f>IF($E$37&gt;B131,0,$E$36 IF(B131&gt;$E$21,0,$E$36))</f>
        <v/>
      </c>
      <c r="L131" s="685">
        <f>IF($F$37&gt;B131,0,$F$36 IF(B131&gt;$E$21,0,$F$36))</f>
        <v/>
      </c>
      <c r="M131" s="505" t="n"/>
      <c r="N131" s="680">
        <f>SUM(L131,K131,I131,E131)</f>
        <v/>
      </c>
      <c r="O131" s="505" t="n"/>
      <c r="P131" s="673">
        <f>+N131/$E$8*12</f>
        <v/>
      </c>
    </row>
    <row r="132" ht="12.6" customFormat="1" customHeight="1" s="299">
      <c r="B132" s="315">
        <f>IF(B131+1&lt;=$E$21,B131+1,IF(B131&gt;=$E$21,"",IF(B131="","")))</f>
        <v/>
      </c>
      <c r="C132" s="316">
        <f>IF(B132&gt;$E$21,"", DATE(YEAR(C131),MONTH(C131)+1,DAY(C131)))</f>
        <v/>
      </c>
      <c r="D132" s="679">
        <f>VLOOKUP(B132,$G$9:$I$29,3)</f>
        <v/>
      </c>
      <c r="E132" s="680">
        <f>D132*$E$8/12</f>
        <v/>
      </c>
      <c r="F132" s="681">
        <f>IF($C$17="Gross Rent",$B$17*(H132+E132),IF($C$17="Base Rent",$B$17*E132))</f>
        <v/>
      </c>
      <c r="G132" s="681">
        <f>IF($C$16="Base Rent",$B$16*E132,IF($C$16="Gross Rent",$B$16*(H132+E132)))</f>
        <v/>
      </c>
      <c r="H132" s="680">
        <f>IF(MONTH(C132)=MONTH($E$19),((H131*(1+$E$18))),H131)</f>
        <v/>
      </c>
      <c r="I132" s="680">
        <f>SUM(F132:H132)</f>
        <v/>
      </c>
      <c r="J132" s="505" t="n"/>
      <c r="K132" s="681">
        <f>IF($E$37&gt;B132,0,$E$36 IF(B132&gt;$E$21,0,$E$36))</f>
        <v/>
      </c>
      <c r="L132" s="685">
        <f>IF($F$37&gt;B132,0,$F$36 IF(B132&gt;$E$21,0,$F$36))</f>
        <v/>
      </c>
      <c r="M132" s="505" t="n"/>
      <c r="N132" s="680">
        <f>SUM(L132,K132,I132,E132)</f>
        <v/>
      </c>
      <c r="O132" s="505" t="n"/>
      <c r="P132" s="673">
        <f>+N132/$E$8*12</f>
        <v/>
      </c>
    </row>
    <row r="133" ht="12.6" customFormat="1" customHeight="1" s="299">
      <c r="B133" s="315">
        <f>IF(B132+1&lt;=$E$21,B132+1,IF(B132&gt;=$E$21,"",IF(B132="","")))</f>
        <v/>
      </c>
      <c r="C133" s="316">
        <f>IF(B133&gt;$E$21,"", DATE(YEAR(C132),MONTH(C132)+1,DAY(C132)))</f>
        <v/>
      </c>
      <c r="D133" s="679">
        <f>VLOOKUP(B133,$G$9:$I$29,3)</f>
        <v/>
      </c>
      <c r="E133" s="680">
        <f>D133*$E$8/12</f>
        <v/>
      </c>
      <c r="F133" s="681">
        <f>IF($C$17="Gross Rent",$B$17*(H133+E133),IF($C$17="Base Rent",$B$17*E133))</f>
        <v/>
      </c>
      <c r="G133" s="681">
        <f>IF($C$16="Base Rent",$B$16*E133,IF($C$16="Gross Rent",$B$16*(H133+E133)))</f>
        <v/>
      </c>
      <c r="H133" s="680">
        <f>IF(MONTH(C133)=MONTH($E$19),((H132*(1+$E$18))),H132)</f>
        <v/>
      </c>
      <c r="I133" s="680">
        <f>SUM(F133:H133)</f>
        <v/>
      </c>
      <c r="J133" s="505" t="n"/>
      <c r="K133" s="681">
        <f>IF($E$37&gt;B133,0,$E$36 IF(B133&gt;$E$21,0,$E$36))</f>
        <v/>
      </c>
      <c r="L133" s="685">
        <f>IF($F$37&gt;B133,0,$F$36 IF(B133&gt;$E$21,0,$F$36))</f>
        <v/>
      </c>
      <c r="M133" s="505" t="n"/>
      <c r="N133" s="680">
        <f>SUM(L133,K133,I133,E133)</f>
        <v/>
      </c>
      <c r="O133" s="505" t="n"/>
      <c r="P133" s="673">
        <f>+N133/$E$8*12</f>
        <v/>
      </c>
    </row>
    <row r="134" ht="12.6" customFormat="1" customHeight="1" s="299">
      <c r="B134" s="315">
        <f>IF(B133+1&lt;=$E$21,B133+1,IF(B133&gt;=$E$21,"",IF(B133="","")))</f>
        <v/>
      </c>
      <c r="C134" s="316">
        <f>IF(B134&gt;$E$21,"", DATE(YEAR(C133),MONTH(C133)+1,DAY(C133)))</f>
        <v/>
      </c>
      <c r="D134" s="679">
        <f>VLOOKUP(B134,$G$9:$I$29,3)</f>
        <v/>
      </c>
      <c r="E134" s="680">
        <f>D134*$E$8/12</f>
        <v/>
      </c>
      <c r="F134" s="681">
        <f>IF($C$17="Gross Rent",$B$17*(H134+E134),IF($C$17="Base Rent",$B$17*E134))</f>
        <v/>
      </c>
      <c r="G134" s="681">
        <f>IF($C$16="Base Rent",$B$16*E134,IF($C$16="Gross Rent",$B$16*(H134+E134)))</f>
        <v/>
      </c>
      <c r="H134" s="680">
        <f>IF(MONTH(C134)=MONTH($E$19),((H133*(1+$E$18))),H133)</f>
        <v/>
      </c>
      <c r="I134" s="680">
        <f>SUM(F134:H134)</f>
        <v/>
      </c>
      <c r="J134" s="505" t="n"/>
      <c r="K134" s="681">
        <f>IF($E$37&gt;B134,0,$E$36 IF(B134&gt;$E$21,0,$E$36))</f>
        <v/>
      </c>
      <c r="L134" s="685">
        <f>IF($F$37&gt;B134,0,$F$36 IF(B134&gt;$E$21,0,$F$36))</f>
        <v/>
      </c>
      <c r="M134" s="505" t="n"/>
      <c r="N134" s="680">
        <f>SUM(L134,K134,I134,E134)</f>
        <v/>
      </c>
      <c r="O134" s="505" t="n"/>
      <c r="P134" s="673">
        <f>+N134/$E$8*12</f>
        <v/>
      </c>
    </row>
    <row r="135" ht="12.6" customFormat="1" customHeight="1" s="299">
      <c r="B135" s="315">
        <f>IF(B134+1&lt;=$E$21,B134+1,IF(B134&gt;=$E$21,"",IF(B134="","")))</f>
        <v/>
      </c>
      <c r="C135" s="316">
        <f>IF(B135&gt;$E$21,"", DATE(YEAR(C134),MONTH(C134)+1,DAY(C134)))</f>
        <v/>
      </c>
      <c r="D135" s="679">
        <f>VLOOKUP(B135,$G$9:$I$29,3)</f>
        <v/>
      </c>
      <c r="E135" s="680">
        <f>D135*$E$8/12</f>
        <v/>
      </c>
      <c r="F135" s="681">
        <f>IF($C$17="Gross Rent",$B$17*(H135+E135),IF($C$17="Base Rent",$B$17*E135))</f>
        <v/>
      </c>
      <c r="G135" s="681">
        <f>IF($C$16="Base Rent",$B$16*E135,IF($C$16="Gross Rent",$B$16*(H135+E135)))</f>
        <v/>
      </c>
      <c r="H135" s="680">
        <f>IF(MONTH(C135)=MONTH($E$19),((H134*(1+$E$18))),H134)</f>
        <v/>
      </c>
      <c r="I135" s="680">
        <f>SUM(F135:H135)</f>
        <v/>
      </c>
      <c r="J135" s="505" t="n"/>
      <c r="K135" s="681">
        <f>IF($E$37&gt;B135,0,$E$36 IF(B135&gt;$E$21,0,$E$36))</f>
        <v/>
      </c>
      <c r="L135" s="685">
        <f>IF($F$37&gt;B135,0,$F$36 IF(B135&gt;$E$21,0,$F$36))</f>
        <v/>
      </c>
      <c r="M135" s="505" t="n"/>
      <c r="N135" s="680">
        <f>SUM(L135,K135,I135,E135)</f>
        <v/>
      </c>
      <c r="O135" s="505" t="n"/>
      <c r="P135" s="673">
        <f>+N135/$E$8*12</f>
        <v/>
      </c>
    </row>
    <row r="136" ht="12.6" customFormat="1" customHeight="1" s="299">
      <c r="B136" s="315">
        <f>IF(B135+1&lt;=$E$21,B135+1,IF(B135&gt;=$E$21,"",IF(B135="","")))</f>
        <v/>
      </c>
      <c r="C136" s="316">
        <f>IF(B136&gt;$E$21,"", DATE(YEAR(C135),MONTH(C135)+1,DAY(C135)))</f>
        <v/>
      </c>
      <c r="D136" s="679">
        <f>VLOOKUP(B136,$G$9:$I$29,3)</f>
        <v/>
      </c>
      <c r="E136" s="680">
        <f>D136*$E$8/12</f>
        <v/>
      </c>
      <c r="F136" s="681">
        <f>IF($C$17="Gross Rent",$B$17*(H136+E136),IF($C$17="Base Rent",$B$17*E136))</f>
        <v/>
      </c>
      <c r="G136" s="681">
        <f>IF($C$16="Base Rent",$B$16*E136,IF($C$16="Gross Rent",$B$16*(H136+E136)))</f>
        <v/>
      </c>
      <c r="H136" s="680">
        <f>IF(MONTH(C136)=MONTH($E$19),((H135*(1+$E$18))),H135)</f>
        <v/>
      </c>
      <c r="I136" s="680">
        <f>SUM(F136:H136)</f>
        <v/>
      </c>
      <c r="J136" s="505" t="n"/>
      <c r="K136" s="681">
        <f>IF($E$37&gt;B136,0,$E$36 IF(B136&gt;$E$21,0,$E$36))</f>
        <v/>
      </c>
      <c r="L136" s="685">
        <f>IF($F$37&gt;B136,0,$F$36 IF(B136&gt;$E$21,0,$F$36))</f>
        <v/>
      </c>
      <c r="M136" s="505" t="n"/>
      <c r="N136" s="680">
        <f>SUM(L136,K136,I136,E136)</f>
        <v/>
      </c>
      <c r="O136" s="505" t="n"/>
      <c r="P136" s="673">
        <f>+N136/$E$8*12</f>
        <v/>
      </c>
    </row>
    <row r="137" ht="12.6" customFormat="1" customHeight="1" s="299">
      <c r="B137" s="315">
        <f>IF(B136+1&lt;=$E$21,B136+1,IF(B136&gt;=$E$21,"",IF(B136="","")))</f>
        <v/>
      </c>
      <c r="C137" s="316">
        <f>IF(B137&gt;$E$21,"", DATE(YEAR(C136),MONTH(C136)+1,DAY(C136)))</f>
        <v/>
      </c>
      <c r="D137" s="679">
        <f>VLOOKUP(B137,$G$9:$I$29,3)</f>
        <v/>
      </c>
      <c r="E137" s="680">
        <f>D137*$E$8/12</f>
        <v/>
      </c>
      <c r="F137" s="681">
        <f>IF($C$17="Gross Rent",$B$17*(H137+E137),IF($C$17="Base Rent",$B$17*E137))</f>
        <v/>
      </c>
      <c r="G137" s="681">
        <f>IF($C$16="Base Rent",$B$16*E137,IF($C$16="Gross Rent",$B$16*(H137+E137)))</f>
        <v/>
      </c>
      <c r="H137" s="680">
        <f>IF(MONTH(C137)=MONTH($E$19),((H136*(1+$E$18))),H136)</f>
        <v/>
      </c>
      <c r="I137" s="680">
        <f>SUM(F137:H137)</f>
        <v/>
      </c>
      <c r="J137" s="505" t="n"/>
      <c r="K137" s="681">
        <f>IF($E$37&gt;B137,0,$E$36 IF(B137&gt;$E$21,0,$E$36))</f>
        <v/>
      </c>
      <c r="L137" s="685">
        <f>IF($F$37&gt;B137,0,$F$36 IF(B137&gt;$E$21,0,$F$36))</f>
        <v/>
      </c>
      <c r="M137" s="505" t="n"/>
      <c r="N137" s="680">
        <f>SUM(L137,K137,I137,E137)</f>
        <v/>
      </c>
      <c r="O137" s="505" t="n"/>
      <c r="P137" s="687">
        <f>+N137/$E$8*12</f>
        <v/>
      </c>
    </row>
    <row r="138" ht="12.6" customFormat="1" customHeight="1" s="299">
      <c r="B138" s="315">
        <f>IF(B137+1&lt;=$E$21,B137+1,IF(B137&gt;=$E$21,"",IF(B137="","")))</f>
        <v/>
      </c>
      <c r="C138" s="316">
        <f>IF(B138&gt;$E$21,"", DATE(YEAR(C137),MONTH(C137)+1,DAY(C137)))</f>
        <v/>
      </c>
      <c r="D138" s="679">
        <f>VLOOKUP(B138,$G$9:$I$29,3)</f>
        <v/>
      </c>
      <c r="E138" s="680">
        <f>D138*$E$8/12</f>
        <v/>
      </c>
      <c r="F138" s="681">
        <f>IF($C$17="Gross Rent",$B$17*(H138+E138),IF($C$17="Base Rent",$B$17*E138))</f>
        <v/>
      </c>
      <c r="G138" s="681">
        <f>IF($C$16="Base Rent",$B$16*E138,IF($C$16="Gross Rent",$B$16*(H138+E138)))</f>
        <v/>
      </c>
      <c r="H138" s="680">
        <f>IF(MONTH(C138)=MONTH($E$19),((H137*(1+$E$18))),H137)</f>
        <v/>
      </c>
      <c r="I138" s="680">
        <f>SUM(F138:H138)</f>
        <v/>
      </c>
      <c r="J138" s="505" t="n"/>
      <c r="K138" s="681">
        <f>IF($E$37&gt;B138,0,$E$36 IF(B138&gt;$E$21,0,$E$36))</f>
        <v/>
      </c>
      <c r="L138" s="685">
        <f>IF($F$37&gt;B138,0,$F$36 IF(B138&gt;$E$21,0,$F$36))</f>
        <v/>
      </c>
      <c r="M138" s="505" t="n"/>
      <c r="N138" s="680">
        <f>SUM(L138,K138,I138,E138)</f>
        <v/>
      </c>
      <c r="O138" s="505" t="n"/>
      <c r="P138" s="673">
        <f>+N138/$E$8*12</f>
        <v/>
      </c>
    </row>
    <row r="139" ht="12.6" customFormat="1" customHeight="1" s="299">
      <c r="B139" s="315">
        <f>IF(B138+1&lt;=$E$21,B138+1,IF(B138&gt;=$E$21,"",IF(B138="","")))</f>
        <v/>
      </c>
      <c r="C139" s="316">
        <f>IF(B139&gt;$E$21,"", DATE(YEAR(C138),MONTH(C138)+1,DAY(C138)))</f>
        <v/>
      </c>
      <c r="D139" s="679">
        <f>VLOOKUP(B139,$G$9:$I$29,3)</f>
        <v/>
      </c>
      <c r="E139" s="680">
        <f>D139*$E$8/12</f>
        <v/>
      </c>
      <c r="F139" s="681">
        <f>IF($C$17="Gross Rent",$B$17*(H139+E139),IF($C$17="Base Rent",$B$17*E139))</f>
        <v/>
      </c>
      <c r="G139" s="681">
        <f>IF($C$16="Base Rent",$B$16*E139,IF($C$16="Gross Rent",$B$16*(H139+E139)))</f>
        <v/>
      </c>
      <c r="H139" s="680">
        <f>IF(MONTH(C139)=MONTH($E$19),((H138*(1+$E$18))),H138)</f>
        <v/>
      </c>
      <c r="I139" s="680">
        <f>SUM(F139:H139)</f>
        <v/>
      </c>
      <c r="J139" s="505" t="n"/>
      <c r="K139" s="681">
        <f>IF($E$37&gt;B139,0,$E$36 IF(B139&gt;$E$21,0,$E$36))</f>
        <v/>
      </c>
      <c r="L139" s="685">
        <f>IF($F$37&gt;B139,0,$F$36 IF(B139&gt;$E$21,0,$F$36))</f>
        <v/>
      </c>
      <c r="M139" s="505" t="n"/>
      <c r="N139" s="680">
        <f>SUM(L139,K139,I139,E139)</f>
        <v/>
      </c>
      <c r="O139" s="505" t="n"/>
      <c r="P139" s="673">
        <f>+N139/$E$8*12</f>
        <v/>
      </c>
    </row>
    <row r="140" ht="12.6" customFormat="1" customHeight="1" s="299">
      <c r="B140" s="315">
        <f>IF(B139+1&lt;=$E$21,B139+1,IF(B139&gt;=$E$21,"",IF(B139="","")))</f>
        <v/>
      </c>
      <c r="C140" s="316">
        <f>IF(B140&gt;$E$21,"", DATE(YEAR(C139),MONTH(C139)+1,DAY(C139)))</f>
        <v/>
      </c>
      <c r="D140" s="679">
        <f>VLOOKUP(B140,$G$9:$I$29,3)</f>
        <v/>
      </c>
      <c r="E140" s="680">
        <f>D140*$E$8/12</f>
        <v/>
      </c>
      <c r="F140" s="681">
        <f>IF($C$17="Gross Rent",$B$17*(H140+E140),IF($C$17="Base Rent",$B$17*E140))</f>
        <v/>
      </c>
      <c r="G140" s="681">
        <f>IF($C$16="Base Rent",$B$16*E140,IF($C$16="Gross Rent",$B$16*(H140+E140)))</f>
        <v/>
      </c>
      <c r="H140" s="680">
        <f>IF(MONTH(C140)=MONTH($E$19),((H139*(1+$E$18))),H139)</f>
        <v/>
      </c>
      <c r="I140" s="680">
        <f>SUM(F140:H140)</f>
        <v/>
      </c>
      <c r="J140" s="505" t="n"/>
      <c r="K140" s="681">
        <f>IF($E$37&gt;B140,0,$E$36 IF(B140&gt;$E$21,0,$E$36))</f>
        <v/>
      </c>
      <c r="L140" s="685">
        <f>IF($F$37&gt;B140,0,$F$36 IF(B140&gt;$E$21,0,$F$36))</f>
        <v/>
      </c>
      <c r="M140" s="505" t="n"/>
      <c r="N140" s="680">
        <f>SUM(L140,K140,I140,E140)</f>
        <v/>
      </c>
      <c r="O140" s="505" t="n"/>
      <c r="P140" s="673">
        <f>+N140/$E$8*12</f>
        <v/>
      </c>
    </row>
    <row r="141" ht="12.6" customFormat="1" customHeight="1" s="299">
      <c r="B141" s="315">
        <f>IF(B140+1&lt;=$E$21,B140+1,IF(B140&gt;=$E$21,"",IF(B140="","")))</f>
        <v/>
      </c>
      <c r="C141" s="316">
        <f>IF(B141&gt;$E$21,"", DATE(YEAR(C140),MONTH(C140)+1,DAY(C140)))</f>
        <v/>
      </c>
      <c r="D141" s="679">
        <f>VLOOKUP(B141,$G$9:$I$29,3)</f>
        <v/>
      </c>
      <c r="E141" s="680">
        <f>D141*$E$8/12</f>
        <v/>
      </c>
      <c r="F141" s="681">
        <f>IF($C$17="Gross Rent",$B$17*(H141+E141),IF($C$17="Base Rent",$B$17*E141))</f>
        <v/>
      </c>
      <c r="G141" s="681">
        <f>IF($C$16="Base Rent",$B$16*E141,IF($C$16="Gross Rent",$B$16*(H141+E141)))</f>
        <v/>
      </c>
      <c r="H141" s="680">
        <f>IF(MONTH(C141)=MONTH($E$19),((H140*(1+$E$18))),H140)</f>
        <v/>
      </c>
      <c r="I141" s="680">
        <f>SUM(F141:H141)</f>
        <v/>
      </c>
      <c r="J141" s="505" t="n"/>
      <c r="K141" s="681">
        <f>IF($E$37&gt;B141,0,$E$36 IF(B141&gt;$E$21,0,$E$36))</f>
        <v/>
      </c>
      <c r="L141" s="685">
        <f>IF($F$37&gt;B141,0,$F$36 IF(B141&gt;$E$21,0,$F$36))</f>
        <v/>
      </c>
      <c r="M141" s="505" t="n"/>
      <c r="N141" s="680">
        <f>SUM(L141,K141,I141,E141)</f>
        <v/>
      </c>
      <c r="O141" s="505" t="n"/>
      <c r="P141" s="673">
        <f>+N141/$E$8*12</f>
        <v/>
      </c>
    </row>
    <row r="142" ht="12.6" customFormat="1" customHeight="1" s="299">
      <c r="B142" s="315">
        <f>IF(B141+1&lt;=$E$21,B141+1,IF(B141&gt;=$E$21,"",IF(B141="","")))</f>
        <v/>
      </c>
      <c r="C142" s="316">
        <f>IF(B142&gt;$E$21,"", DATE(YEAR(C141),MONTH(C141)+1,DAY(C141)))</f>
        <v/>
      </c>
      <c r="D142" s="679">
        <f>VLOOKUP(B142,$G$9:$I$29,3)</f>
        <v/>
      </c>
      <c r="E142" s="680">
        <f>D142*$E$8/12</f>
        <v/>
      </c>
      <c r="F142" s="681">
        <f>IF($C$17="Gross Rent",$B$17*(H142+E142),IF($C$17="Base Rent",$B$17*E142))</f>
        <v/>
      </c>
      <c r="G142" s="681">
        <f>IF($C$16="Base Rent",$B$16*E142,IF($C$16="Gross Rent",$B$16*(H142+E142)))</f>
        <v/>
      </c>
      <c r="H142" s="680">
        <f>IF(MONTH(C142)=MONTH($E$19),((H141*(1+$E$18))),H141)</f>
        <v/>
      </c>
      <c r="I142" s="680">
        <f>SUM(F142:H142)</f>
        <v/>
      </c>
      <c r="J142" s="505" t="n"/>
      <c r="K142" s="681">
        <f>IF($E$37&gt;B142,0,$E$36 IF(B142&gt;$E$21,0,$E$36))</f>
        <v/>
      </c>
      <c r="L142" s="685">
        <f>IF($F$37&gt;B142,0,$F$36 IF(B142&gt;$E$21,0,$F$36))</f>
        <v/>
      </c>
      <c r="M142" s="505" t="n"/>
      <c r="N142" s="680">
        <f>SUM(L142,K142,I142,E142)</f>
        <v/>
      </c>
      <c r="O142" s="505" t="n"/>
      <c r="P142" s="673">
        <f>+N142/$E$8*12</f>
        <v/>
      </c>
    </row>
    <row r="143" ht="12.6" customFormat="1" customHeight="1" s="299">
      <c r="B143" s="315">
        <f>IF(B142+1&lt;=$E$21,B142+1,IF(B142&gt;=$E$21,"",IF(B142="","")))</f>
        <v/>
      </c>
      <c r="C143" s="316">
        <f>IF(B143&gt;$E$21,"", DATE(YEAR(C142),MONTH(C142)+1,DAY(C142)))</f>
        <v/>
      </c>
      <c r="D143" s="679">
        <f>VLOOKUP(B143,$G$9:$I$29,3)</f>
        <v/>
      </c>
      <c r="E143" s="680">
        <f>D143*$E$8/12</f>
        <v/>
      </c>
      <c r="F143" s="681">
        <f>IF($C$17="Gross Rent",$B$17*(H143+E143),IF($C$17="Base Rent",$B$17*E143))</f>
        <v/>
      </c>
      <c r="G143" s="681">
        <f>IF($C$16="Base Rent",$B$16*E143,IF($C$16="Gross Rent",$B$16*(H143+E143)))</f>
        <v/>
      </c>
      <c r="H143" s="680">
        <f>IF(MONTH(C143)=MONTH($E$19),((H142*(1+$E$18))),H142)</f>
        <v/>
      </c>
      <c r="I143" s="680">
        <f>SUM(F143:H143)</f>
        <v/>
      </c>
      <c r="J143" s="505" t="n"/>
      <c r="K143" s="681">
        <f>IF($E$37&gt;B143,0,$E$36 IF(B143&gt;$E$21,0,$E$36))</f>
        <v/>
      </c>
      <c r="L143" s="685">
        <f>IF($F$37&gt;B143,0,$F$36 IF(B143&gt;$E$21,0,$F$36))</f>
        <v/>
      </c>
      <c r="M143" s="505" t="n"/>
      <c r="N143" s="680">
        <f>SUM(L143,K143,I143,E143)</f>
        <v/>
      </c>
      <c r="O143" s="505" t="n"/>
      <c r="P143" s="673">
        <f>+N143/$E$8*12</f>
        <v/>
      </c>
    </row>
    <row r="144" ht="12.6" customFormat="1" customHeight="1" s="299">
      <c r="B144" s="315">
        <f>IF(B143+1&lt;=$E$21,B143+1,IF(B143&gt;=$E$21,"",IF(B143="","")))</f>
        <v/>
      </c>
      <c r="C144" s="316">
        <f>IF(B144&gt;$E$21,"", DATE(YEAR(C143),MONTH(C143)+1,DAY(C143)))</f>
        <v/>
      </c>
      <c r="D144" s="679">
        <f>VLOOKUP(B144,$G$9:$I$29,3)</f>
        <v/>
      </c>
      <c r="E144" s="680">
        <f>D144*$E$8/12</f>
        <v/>
      </c>
      <c r="F144" s="681">
        <f>IF($C$17="Gross Rent",$B$17*(H144+E144),IF($C$17="Base Rent",$B$17*E144))</f>
        <v/>
      </c>
      <c r="G144" s="681">
        <f>IF($C$16="Base Rent",$B$16*E144,IF($C$16="Gross Rent",$B$16*(H144+E144)))</f>
        <v/>
      </c>
      <c r="H144" s="680">
        <f>IF(MONTH(C144)=MONTH($E$19),((H143*(1+$E$18))),H143)</f>
        <v/>
      </c>
      <c r="I144" s="680">
        <f>SUM(F144:H144)</f>
        <v/>
      </c>
      <c r="J144" s="505" t="n"/>
      <c r="K144" s="681">
        <f>IF($E$37&gt;B144,0,$E$36 IF(B144&gt;$E$21,0,$E$36))</f>
        <v/>
      </c>
      <c r="L144" s="685">
        <f>IF($F$37&gt;B144,0,$F$36 IF(B144&gt;$E$21,0,$F$36))</f>
        <v/>
      </c>
      <c r="M144" s="505" t="n"/>
      <c r="N144" s="680">
        <f>SUM(L144,K144,I144,E144)</f>
        <v/>
      </c>
      <c r="O144" s="505" t="n"/>
      <c r="P144" s="673">
        <f>+N144/$E$8*12</f>
        <v/>
      </c>
    </row>
    <row r="145" ht="12.6" customFormat="1" customHeight="1" s="299">
      <c r="B145" s="315">
        <f>IF(B144+1&lt;=$E$21,B144+1,IF(B144&gt;=$E$21,"",IF(B144="","")))</f>
        <v/>
      </c>
      <c r="C145" s="316">
        <f>IF(B145&gt;$E$21,"", DATE(YEAR(C144),MONTH(C144)+1,DAY(C144)))</f>
        <v/>
      </c>
      <c r="D145" s="679">
        <f>VLOOKUP(B145,$G$9:$I$29,3)</f>
        <v/>
      </c>
      <c r="E145" s="680">
        <f>D145*$E$8/12</f>
        <v/>
      </c>
      <c r="F145" s="681">
        <f>IF($C$17="Gross Rent",$B$17*(H145+E145),IF($C$17="Base Rent",$B$17*E145))</f>
        <v/>
      </c>
      <c r="G145" s="681">
        <f>IF($C$16="Base Rent",$B$16*E145,IF($C$16="Gross Rent",$B$16*(H145+E145)))</f>
        <v/>
      </c>
      <c r="H145" s="680">
        <f>IF(MONTH(C145)=MONTH($E$19),((H144*(1+$E$18))),H144)</f>
        <v/>
      </c>
      <c r="I145" s="680">
        <f>SUM(F145:H145)</f>
        <v/>
      </c>
      <c r="J145" s="505" t="n"/>
      <c r="K145" s="681">
        <f>IF($E$37&gt;B145,0,$E$36 IF(B145&gt;$E$21,0,$E$36))</f>
        <v/>
      </c>
      <c r="L145" s="685">
        <f>IF($F$37&gt;B145,0,$F$36 IF(B145&gt;$E$21,0,$F$36))</f>
        <v/>
      </c>
      <c r="M145" s="505" t="n"/>
      <c r="N145" s="680">
        <f>SUM(L145,K145,I145,E145)</f>
        <v/>
      </c>
      <c r="O145" s="505" t="n"/>
      <c r="P145" s="673">
        <f>+N145/$E$8*12</f>
        <v/>
      </c>
    </row>
    <row r="146" ht="12.6" customFormat="1" customHeight="1" s="299">
      <c r="B146" s="315">
        <f>IF(B145+1&lt;=$E$21,B145+1,IF(B145&gt;=$E$21,"",IF(B145="","")))</f>
        <v/>
      </c>
      <c r="C146" s="316">
        <f>IF(B146&gt;$E$21,"", DATE(YEAR(C145),MONTH(C145)+1,DAY(C145)))</f>
        <v/>
      </c>
      <c r="D146" s="679">
        <f>VLOOKUP(B146,$G$9:$I$29,3)</f>
        <v/>
      </c>
      <c r="E146" s="680">
        <f>D146*$E$8/12</f>
        <v/>
      </c>
      <c r="F146" s="681">
        <f>IF($C$17="Gross Rent",$B$17*(H146+E146),IF($C$17="Base Rent",$B$17*E146))</f>
        <v/>
      </c>
      <c r="G146" s="681">
        <f>IF($C$16="Base Rent",$B$16*E146,IF($C$16="Gross Rent",$B$16*(H146+E146)))</f>
        <v/>
      </c>
      <c r="H146" s="680">
        <f>IF(MONTH(C146)=MONTH($E$19),((H145*(1+$E$18))),H145)</f>
        <v/>
      </c>
      <c r="I146" s="680">
        <f>SUM(F146:H146)</f>
        <v/>
      </c>
      <c r="J146" s="505" t="n"/>
      <c r="K146" s="681">
        <f>IF($E$37&gt;B146,0,$E$36 IF(B146&gt;$E$21,0,$E$36))</f>
        <v/>
      </c>
      <c r="L146" s="685">
        <f>IF($F$37&gt;B146,0,$F$36 IF(B146&gt;$E$21,0,$F$36))</f>
        <v/>
      </c>
      <c r="M146" s="505" t="n"/>
      <c r="N146" s="680">
        <f>SUM(L146,K146,I146,E146)</f>
        <v/>
      </c>
      <c r="O146" s="505" t="n"/>
      <c r="P146" s="673">
        <f>+N146/$E$8*12</f>
        <v/>
      </c>
    </row>
    <row r="147" ht="12.6" customFormat="1" customHeight="1" s="299">
      <c r="B147" s="315">
        <f>IF(B146+1&lt;=$E$21,B146+1,IF(B146&gt;=$E$21,"",IF(B146="","")))</f>
        <v/>
      </c>
      <c r="C147" s="316">
        <f>IF(B147&gt;$E$21,"", DATE(YEAR(C146),MONTH(C146)+1,DAY(C146)))</f>
        <v/>
      </c>
      <c r="D147" s="679">
        <f>VLOOKUP(B147,$G$9:$I$29,3)</f>
        <v/>
      </c>
      <c r="E147" s="680">
        <f>D147*$E$8/12</f>
        <v/>
      </c>
      <c r="F147" s="681">
        <f>IF($C$17="Gross Rent",$B$17*(H147+E147),IF($C$17="Base Rent",$B$17*E147))</f>
        <v/>
      </c>
      <c r="G147" s="681">
        <f>IF($C$16="Base Rent",$B$16*E147,IF($C$16="Gross Rent",$B$16*(H147+E147)))</f>
        <v/>
      </c>
      <c r="H147" s="680">
        <f>IF(MONTH(C147)=MONTH($E$19),((H146*(1+$E$18))),H146)</f>
        <v/>
      </c>
      <c r="I147" s="680">
        <f>SUM(F147:H147)</f>
        <v/>
      </c>
      <c r="J147" s="505" t="n"/>
      <c r="K147" s="681">
        <f>IF($E$37&gt;B147,0,$E$36 IF(B147&gt;$E$21,0,$E$36))</f>
        <v/>
      </c>
      <c r="L147" s="685">
        <f>IF($F$37&gt;B147,0,$F$36 IF(B147&gt;$E$21,0,$F$36))</f>
        <v/>
      </c>
      <c r="M147" s="505" t="n"/>
      <c r="N147" s="680">
        <f>SUM(L147,K147,I147,E147)</f>
        <v/>
      </c>
      <c r="O147" s="505" t="n"/>
      <c r="P147" s="673">
        <f>+N147/$E$8*12</f>
        <v/>
      </c>
    </row>
    <row r="148" ht="12.6" customFormat="1" customHeight="1" s="299">
      <c r="B148" s="315">
        <f>IF(B147+1&lt;=$E$21,B147+1,IF(B147&gt;=$E$21,"",IF(B147="","")))</f>
        <v/>
      </c>
      <c r="C148" s="316">
        <f>IF(B148&gt;$E$21,"", DATE(YEAR(C147),MONTH(C147)+1,DAY(C147)))</f>
        <v/>
      </c>
      <c r="D148" s="679">
        <f>VLOOKUP(B148,$G$9:$I$29,3)</f>
        <v/>
      </c>
      <c r="E148" s="680">
        <f>D148*$E$8/12</f>
        <v/>
      </c>
      <c r="F148" s="681">
        <f>IF($C$17="Gross Rent",$B$17*(H148+E148),IF($C$17="Base Rent",$B$17*E148))</f>
        <v/>
      </c>
      <c r="G148" s="681">
        <f>IF($C$16="Base Rent",$B$16*E148,IF($C$16="Gross Rent",$B$16*(H148+E148)))</f>
        <v/>
      </c>
      <c r="H148" s="680">
        <f>IF(MONTH(C148)=MONTH($E$19),((H147*(1+$E$18))),H147)</f>
        <v/>
      </c>
      <c r="I148" s="680">
        <f>SUM(F148:H148)</f>
        <v/>
      </c>
      <c r="J148" s="505" t="n"/>
      <c r="K148" s="681">
        <f>IF($E$37&gt;B148,0,$E$36 IF(B148&gt;$E$21,0,$E$36))</f>
        <v/>
      </c>
      <c r="L148" s="685">
        <f>IF($F$37&gt;B148,0,$F$36 IF(B148&gt;$E$21,0,$F$36))</f>
        <v/>
      </c>
      <c r="M148" s="505" t="n"/>
      <c r="N148" s="680">
        <f>SUM(L148,K148,I148,E148)</f>
        <v/>
      </c>
      <c r="O148" s="505" t="n"/>
      <c r="P148" s="673">
        <f>+N148/$E$8*12</f>
        <v/>
      </c>
    </row>
    <row r="149" ht="12.6" customFormat="1" customHeight="1" s="299">
      <c r="B149" s="315">
        <f>IF(B148+1&lt;=$E$21,B148+1,IF(B148&gt;=$E$21,"",IF(B148="","")))</f>
        <v/>
      </c>
      <c r="C149" s="316">
        <f>IF(B149&gt;$E$21,"", DATE(YEAR(C148),MONTH(C148)+1,DAY(C148)))</f>
        <v/>
      </c>
      <c r="D149" s="679">
        <f>VLOOKUP(B149,$G$9:$I$29,3)</f>
        <v/>
      </c>
      <c r="E149" s="680">
        <f>D149*$E$8/12</f>
        <v/>
      </c>
      <c r="F149" s="681">
        <f>IF($C$17="Gross Rent",$B$17*(H149+E149),IF($C$17="Base Rent",$B$17*E149))</f>
        <v/>
      </c>
      <c r="G149" s="681">
        <f>IF($C$16="Base Rent",$B$16*E149,IF($C$16="Gross Rent",$B$16*(H149+E149)))</f>
        <v/>
      </c>
      <c r="H149" s="680">
        <f>IF(MONTH(C149)=MONTH($E$19),((H148*(1+$E$18))),H148)</f>
        <v/>
      </c>
      <c r="I149" s="680">
        <f>SUM(F149:H149)</f>
        <v/>
      </c>
      <c r="J149" s="505" t="n"/>
      <c r="K149" s="681">
        <f>IF($E$37&gt;B149,0,$E$36 IF(B149&gt;$E$21,0,$E$36))</f>
        <v/>
      </c>
      <c r="L149" s="685">
        <f>IF($F$37&gt;B149,0,$F$36 IF(B149&gt;$E$21,0,$F$36))</f>
        <v/>
      </c>
      <c r="M149" s="505" t="n"/>
      <c r="N149" s="680">
        <f>SUM(L149,K149,I149,E149)</f>
        <v/>
      </c>
      <c r="O149" s="505" t="n"/>
      <c r="P149" s="673">
        <f>+N149/$E$8*12</f>
        <v/>
      </c>
    </row>
    <row r="150" ht="12.6" customFormat="1" customHeight="1" s="299">
      <c r="B150" s="315">
        <f>IF(B149+1&lt;=$E$21,B149+1,IF(B149&gt;=$E$21,"",IF(B149="","")))</f>
        <v/>
      </c>
      <c r="C150" s="316">
        <f>IF(B150&gt;$E$21,"", DATE(YEAR(C149),MONTH(C149)+1,DAY(C149)))</f>
        <v/>
      </c>
      <c r="D150" s="679">
        <f>VLOOKUP(B150,$G$9:$I$29,3)</f>
        <v/>
      </c>
      <c r="E150" s="680">
        <f>D150*$E$8/12</f>
        <v/>
      </c>
      <c r="F150" s="681">
        <f>IF($C$17="Gross Rent",$B$17*(H150+E150),IF($C$17="Base Rent",$B$17*E150))</f>
        <v/>
      </c>
      <c r="G150" s="681">
        <f>IF($C$16="Base Rent",$B$16*E150,IF($C$16="Gross Rent",$B$16*(H150+E150)))</f>
        <v/>
      </c>
      <c r="H150" s="680">
        <f>IF(MONTH(C150)=MONTH($E$19),((H149*(1+$E$18))),H149)</f>
        <v/>
      </c>
      <c r="I150" s="680">
        <f>SUM(F150:H150)</f>
        <v/>
      </c>
      <c r="J150" s="505" t="n"/>
      <c r="K150" s="681">
        <f>IF($E$37&gt;B150,0,$E$36 IF(B150&gt;$E$21,0,$E$36))</f>
        <v/>
      </c>
      <c r="L150" s="685">
        <f>IF($F$37&gt;B150,0,$F$36 IF(B150&gt;$E$21,0,$F$36))</f>
        <v/>
      </c>
      <c r="M150" s="505" t="n"/>
      <c r="N150" s="680">
        <f>SUM(L150,K150,I150,E150)</f>
        <v/>
      </c>
      <c r="O150" s="505" t="n"/>
      <c r="P150" s="673">
        <f>+N150/$E$8*12</f>
        <v/>
      </c>
    </row>
    <row r="151" ht="12.6" customFormat="1" customHeight="1" s="299">
      <c r="B151" s="315">
        <f>IF(B150+1&lt;=$E$21,B150+1,IF(B150&gt;=$E$21,"",IF(B150="","")))</f>
        <v/>
      </c>
      <c r="C151" s="316">
        <f>IF(B151&gt;$E$21,"", DATE(YEAR(C150),MONTH(C150)+1,DAY(C150)))</f>
        <v/>
      </c>
      <c r="D151" s="679">
        <f>VLOOKUP(B151,$G$9:$I$29,3)</f>
        <v/>
      </c>
      <c r="E151" s="680">
        <f>D151*$E$8/12</f>
        <v/>
      </c>
      <c r="F151" s="681">
        <f>IF($C$17="Gross Rent",$B$17*(H151+E151),IF($C$17="Base Rent",$B$17*E151))</f>
        <v/>
      </c>
      <c r="G151" s="681">
        <f>IF($C$16="Base Rent",$B$16*E151,IF($C$16="Gross Rent",$B$16*(H151+E151)))</f>
        <v/>
      </c>
      <c r="H151" s="680">
        <f>IF(MONTH(C151)=MONTH($E$19),((H150*(1+$E$18))),H150)</f>
        <v/>
      </c>
      <c r="I151" s="680">
        <f>SUM(F151:H151)</f>
        <v/>
      </c>
      <c r="J151" s="505" t="n"/>
      <c r="K151" s="681">
        <f>IF($E$37&gt;B151,0,$E$36 IF(B151&gt;$E$21,0,$E$36))</f>
        <v/>
      </c>
      <c r="L151" s="685">
        <f>IF($F$37&gt;B151,0,$F$36 IF(B151&gt;$E$21,0,$F$36))</f>
        <v/>
      </c>
      <c r="M151" s="505" t="n"/>
      <c r="N151" s="680">
        <f>SUM(L151,K151,I151,E151)</f>
        <v/>
      </c>
      <c r="O151" s="505" t="n"/>
      <c r="P151" s="673">
        <f>+N151/$E$8*12</f>
        <v/>
      </c>
    </row>
    <row r="152" ht="12.6" customFormat="1" customHeight="1" s="299">
      <c r="B152" s="315">
        <f>IF(B151+1&lt;=$E$21,B151+1,IF(B151&gt;=$E$21,"",IF(B151="","")))</f>
        <v/>
      </c>
      <c r="C152" s="316">
        <f>IF(B152&gt;$E$21,"", DATE(YEAR(C151),MONTH(C151)+1,DAY(C151)))</f>
        <v/>
      </c>
      <c r="D152" s="679">
        <f>VLOOKUP(B152,$G$9:$I$29,3)</f>
        <v/>
      </c>
      <c r="E152" s="680">
        <f>D152*$E$8/12</f>
        <v/>
      </c>
      <c r="F152" s="681">
        <f>IF($C$17="Gross Rent",$B$17*(H152+E152),IF($C$17="Base Rent",$B$17*E152))</f>
        <v/>
      </c>
      <c r="G152" s="681">
        <f>IF($C$16="Base Rent",$B$16*E152,IF($C$16="Gross Rent",$B$16*(H152+E152)))</f>
        <v/>
      </c>
      <c r="H152" s="680">
        <f>IF(MONTH(C152)=MONTH($E$19),((H151*(1+$E$18))),H151)</f>
        <v/>
      </c>
      <c r="I152" s="680">
        <f>SUM(F152:H152)</f>
        <v/>
      </c>
      <c r="J152" s="505" t="n"/>
      <c r="K152" s="681">
        <f>IF($E$37&gt;B152,0,$E$36 IF(B152&gt;$E$21,0,$E$36))</f>
        <v/>
      </c>
      <c r="L152" s="685">
        <f>IF($F$37&gt;B152,0,$F$36 IF(B152&gt;$E$21,0,$F$36))</f>
        <v/>
      </c>
      <c r="M152" s="505" t="n"/>
      <c r="N152" s="680">
        <f>SUM(L152,K152,I152,E152)</f>
        <v/>
      </c>
      <c r="O152" s="505" t="n"/>
      <c r="P152" s="673">
        <f>+N152/$E$8*12</f>
        <v/>
      </c>
    </row>
    <row r="153" ht="12.6" customFormat="1" customHeight="1" s="299">
      <c r="B153" s="315">
        <f>IF(B152+1&lt;=$E$21,B152+1,IF(B152&gt;=$E$21,"",IF(B152="","")))</f>
        <v/>
      </c>
      <c r="C153" s="316">
        <f>IF(B153&gt;$E$21,"", DATE(YEAR(C152),MONTH(C152)+1,DAY(C152)))</f>
        <v/>
      </c>
      <c r="D153" s="679">
        <f>VLOOKUP(B153,$G$9:$I$29,3)</f>
        <v/>
      </c>
      <c r="E153" s="680">
        <f>D153*$E$8/12</f>
        <v/>
      </c>
      <c r="F153" s="681">
        <f>IF($C$17="Gross Rent",$B$17*(H153+E153),IF($C$17="Base Rent",$B$17*E153))</f>
        <v/>
      </c>
      <c r="G153" s="681">
        <f>IF($C$16="Base Rent",$B$16*E153,IF($C$16="Gross Rent",$B$16*(H153+E153)))</f>
        <v/>
      </c>
      <c r="H153" s="680">
        <f>IF(MONTH(C153)=MONTH($E$19),((H152*(1+$E$18))),H152)</f>
        <v/>
      </c>
      <c r="I153" s="680">
        <f>SUM(F153:H153)</f>
        <v/>
      </c>
      <c r="J153" s="505" t="n"/>
      <c r="K153" s="681">
        <f>IF($E$37&gt;B153,0,$E$36 IF(B153&gt;$E$21,0,$E$36))</f>
        <v/>
      </c>
      <c r="L153" s="685">
        <f>IF($F$37&gt;B153,0,$F$36 IF(B153&gt;$E$21,0,$F$36))</f>
        <v/>
      </c>
      <c r="M153" s="505" t="n"/>
      <c r="N153" s="680">
        <f>SUM(L153,K153,I153,E153)</f>
        <v/>
      </c>
      <c r="O153" s="505" t="n"/>
      <c r="P153" s="673">
        <f>+N153/$E$8*12</f>
        <v/>
      </c>
    </row>
    <row r="154" ht="12.6" customFormat="1" customHeight="1" s="299">
      <c r="B154" s="315">
        <f>IF(B153+1&lt;=$E$21,B153+1,IF(B153&gt;=$E$21,"",IF(B153="","")))</f>
        <v/>
      </c>
      <c r="C154" s="316">
        <f>IF(B154&gt;$E$21,"", DATE(YEAR(C153),MONTH(C153)+1,DAY(C153)))</f>
        <v/>
      </c>
      <c r="D154" s="679">
        <f>VLOOKUP(B154,$G$9:$I$29,3)</f>
        <v/>
      </c>
      <c r="E154" s="680">
        <f>D154*$E$8/12</f>
        <v/>
      </c>
      <c r="F154" s="681">
        <f>IF($C$17="Gross Rent",$B$17*(H154+E154),IF($C$17="Base Rent",$B$17*E154))</f>
        <v/>
      </c>
      <c r="G154" s="681">
        <f>IF($C$16="Base Rent",$B$16*E154,IF($C$16="Gross Rent",$B$16*(H154+E154)))</f>
        <v/>
      </c>
      <c r="H154" s="680">
        <f>IF(MONTH(C154)=MONTH($E$19),((H153*(1+$E$18))),H153)</f>
        <v/>
      </c>
      <c r="I154" s="680">
        <f>SUM(F154:H154)</f>
        <v/>
      </c>
      <c r="J154" s="505" t="n"/>
      <c r="K154" s="681">
        <f>IF($E$37&gt;B154,0,$E$36 IF(B154&gt;$E$21,0,$E$36))</f>
        <v/>
      </c>
      <c r="L154" s="685">
        <f>IF($F$37&gt;B154,0,$F$36 IF(B154&gt;$E$21,0,$F$36))</f>
        <v/>
      </c>
      <c r="M154" s="505" t="n"/>
      <c r="N154" s="680">
        <f>SUM(L154,K154,I154,E154)</f>
        <v/>
      </c>
      <c r="O154" s="505" t="n"/>
      <c r="P154" s="673">
        <f>+N154/$E$8*12</f>
        <v/>
      </c>
    </row>
    <row r="155" ht="12.6" customFormat="1" customHeight="1" s="299">
      <c r="B155" s="315">
        <f>IF(B154+1&lt;=$E$21,B154+1,IF(B154&gt;=$E$21,"",IF(B154="","")))</f>
        <v/>
      </c>
      <c r="C155" s="316">
        <f>IF(B155&gt;$E$21,"", DATE(YEAR(C154),MONTH(C154)+1,DAY(C154)))</f>
        <v/>
      </c>
      <c r="D155" s="679">
        <f>VLOOKUP(B155,$G$9:$I$29,3)</f>
        <v/>
      </c>
      <c r="E155" s="680">
        <f>D155*$E$8/12</f>
        <v/>
      </c>
      <c r="F155" s="681">
        <f>IF($C$17="Gross Rent",$B$17*(H155+E155),IF($C$17="Base Rent",$B$17*E155))</f>
        <v/>
      </c>
      <c r="G155" s="681">
        <f>IF($C$16="Base Rent",$B$16*E155,IF($C$16="Gross Rent",$B$16*(H155+E155)))</f>
        <v/>
      </c>
      <c r="H155" s="680">
        <f>IF(MONTH(C155)=MONTH($E$19),((H154*(1+$E$18))),H154)</f>
        <v/>
      </c>
      <c r="I155" s="680">
        <f>SUM(F155:H155)</f>
        <v/>
      </c>
      <c r="J155" s="505" t="n"/>
      <c r="K155" s="681">
        <f>IF($E$37&gt;B155,0,$E$36 IF(B155&gt;$E$21,0,$E$36))</f>
        <v/>
      </c>
      <c r="L155" s="685">
        <f>IF($F$37&gt;B155,0,$F$36 IF(B155&gt;$E$21,0,$F$36))</f>
        <v/>
      </c>
      <c r="M155" s="505" t="n"/>
      <c r="N155" s="680">
        <f>SUM(L155,K155,I155,E155)</f>
        <v/>
      </c>
      <c r="O155" s="505" t="n"/>
      <c r="P155" s="673">
        <f>+N155/$E$8*12</f>
        <v/>
      </c>
    </row>
    <row r="156" ht="12.6" customFormat="1" customHeight="1" s="299">
      <c r="B156" s="315">
        <f>IF(B155+1&lt;=$E$21,B155+1,IF(B155&gt;=$E$21,"",IF(B155="","")))</f>
        <v/>
      </c>
      <c r="C156" s="316">
        <f>IF(B156&gt;$E$21,"", DATE(YEAR(C155),MONTH(C155)+1,DAY(C155)))</f>
        <v/>
      </c>
      <c r="D156" s="679">
        <f>VLOOKUP(B156,$G$9:$I$29,3)</f>
        <v/>
      </c>
      <c r="E156" s="680">
        <f>D156*$E$8/12</f>
        <v/>
      </c>
      <c r="F156" s="681">
        <f>IF($C$17="Gross Rent",$B$17*(H156+E156),IF($C$17="Base Rent",$B$17*E156))</f>
        <v/>
      </c>
      <c r="G156" s="681">
        <f>IF($C$16="Base Rent",$B$16*E156,IF($C$16="Gross Rent",$B$16*(H156+E156)))</f>
        <v/>
      </c>
      <c r="H156" s="680">
        <f>IF(MONTH(C156)=MONTH($E$19),((H155*(1+$E$18))),H155)</f>
        <v/>
      </c>
      <c r="I156" s="680">
        <f>SUM(F156:H156)</f>
        <v/>
      </c>
      <c r="J156" s="505" t="n"/>
      <c r="K156" s="681">
        <f>IF($E$37&gt;B156,0,$E$36 IF(B156&gt;$E$21,0,$E$36))</f>
        <v/>
      </c>
      <c r="L156" s="685">
        <f>IF($F$37&gt;B156,0,$F$36 IF(B156&gt;$E$21,0,$F$36))</f>
        <v/>
      </c>
      <c r="M156" s="505" t="n"/>
      <c r="N156" s="680">
        <f>SUM(L156,K156,I156,E156)</f>
        <v/>
      </c>
      <c r="O156" s="505" t="n"/>
      <c r="P156" s="673">
        <f>+N156/$E$8*12</f>
        <v/>
      </c>
    </row>
    <row r="157" ht="12.6" customFormat="1" customHeight="1" s="299">
      <c r="B157" s="315">
        <f>IF(B156+1&lt;=$E$21,B156+1,IF(B156&gt;=$E$21,"",IF(B156="","")))</f>
        <v/>
      </c>
      <c r="C157" s="316">
        <f>IF(B157&gt;$E$21,"", DATE(YEAR(C156),MONTH(C156)+1,DAY(C156)))</f>
        <v/>
      </c>
      <c r="D157" s="679">
        <f>VLOOKUP(B157,$G$9:$I$29,3)</f>
        <v/>
      </c>
      <c r="E157" s="680">
        <f>D157*$E$8/12</f>
        <v/>
      </c>
      <c r="F157" s="681">
        <f>IF($C$17="Gross Rent",$B$17*(H157+E157),IF($C$17="Base Rent",$B$17*E157))</f>
        <v/>
      </c>
      <c r="G157" s="681">
        <f>IF($C$16="Base Rent",$B$16*E157,IF($C$16="Gross Rent",$B$16*(H157+E157)))</f>
        <v/>
      </c>
      <c r="H157" s="680">
        <f>IF(MONTH(C157)=MONTH($E$19),((H156*(1+$E$18))),H156)</f>
        <v/>
      </c>
      <c r="I157" s="680">
        <f>SUM(F157:H157)</f>
        <v/>
      </c>
      <c r="J157" s="505" t="n"/>
      <c r="K157" s="681">
        <f>IF($E$37&gt;B157,0,$E$36 IF(B157&gt;$E$21,0,$E$36))</f>
        <v/>
      </c>
      <c r="L157" s="685">
        <f>IF($F$37&gt;B157,0,$F$36 IF(B157&gt;$E$21,0,$F$36))</f>
        <v/>
      </c>
      <c r="M157" s="505" t="n"/>
      <c r="N157" s="680">
        <f>SUM(L157,K157,I157,E157)</f>
        <v/>
      </c>
      <c r="O157" s="505" t="n"/>
      <c r="P157" s="673">
        <f>+N157/$E$8*12</f>
        <v/>
      </c>
    </row>
    <row r="158" ht="12.6" customFormat="1" customHeight="1" s="299">
      <c r="B158" s="315">
        <f>IF(B157+1&lt;=$E$21,B157+1,IF(B157&gt;=$E$21,"",IF(B157="","")))</f>
        <v/>
      </c>
      <c r="C158" s="316">
        <f>IF(B158&gt;$E$21,"", DATE(YEAR(C157),MONTH(C157)+1,DAY(C157)))</f>
        <v/>
      </c>
      <c r="D158" s="679">
        <f>VLOOKUP(B158,$G$9:$I$29,3)</f>
        <v/>
      </c>
      <c r="E158" s="680">
        <f>D158*$E$8/12</f>
        <v/>
      </c>
      <c r="F158" s="681">
        <f>IF($C$17="Gross Rent",$B$17*(H158+E158),IF($C$17="Base Rent",$B$17*E158))</f>
        <v/>
      </c>
      <c r="G158" s="681">
        <f>IF($C$16="Base Rent",$B$16*E158,IF($C$16="Gross Rent",$B$16*(H158+E158)))</f>
        <v/>
      </c>
      <c r="H158" s="680">
        <f>IF(MONTH(C158)=MONTH($E$19),((H157*(1+$E$18))),H157)</f>
        <v/>
      </c>
      <c r="I158" s="680">
        <f>SUM(F158:H158)</f>
        <v/>
      </c>
      <c r="J158" s="505" t="n"/>
      <c r="K158" s="681">
        <f>IF($E$37&gt;B158,0,$E$36 IF(B158&gt;$E$21,0,$E$36))</f>
        <v/>
      </c>
      <c r="L158" s="685">
        <f>IF($F$37&gt;B158,0,$F$36 IF(B158&gt;$E$21,0,$F$36))</f>
        <v/>
      </c>
      <c r="M158" s="505" t="n"/>
      <c r="N158" s="680">
        <f>SUM(L158,K158,I158,E158)</f>
        <v/>
      </c>
      <c r="O158" s="505" t="n"/>
      <c r="P158" s="673">
        <f>+N158/$E$8*12</f>
        <v/>
      </c>
    </row>
    <row r="159" ht="12.6" customFormat="1" customHeight="1" s="299">
      <c r="B159" s="315">
        <f>IF(B158+1&lt;=$E$21,B158+1,IF(B158&gt;=$E$21,"",IF(B158="","")))</f>
        <v/>
      </c>
      <c r="C159" s="316">
        <f>IF(B159&gt;$E$21,"", DATE(YEAR(C158),MONTH(C158)+1,DAY(C158)))</f>
        <v/>
      </c>
      <c r="D159" s="679">
        <f>VLOOKUP(B159,$G$9:$I$29,3)</f>
        <v/>
      </c>
      <c r="E159" s="680">
        <f>D159*$E$8/12</f>
        <v/>
      </c>
      <c r="F159" s="681">
        <f>IF($C$17="Gross Rent",$B$17*(H159+E159),IF($C$17="Base Rent",$B$17*E159))</f>
        <v/>
      </c>
      <c r="G159" s="681">
        <f>IF($C$16="Base Rent",$B$16*E159,IF($C$16="Gross Rent",$B$16*(H159+E159)))</f>
        <v/>
      </c>
      <c r="H159" s="680">
        <f>IF(MONTH(C159)=MONTH($E$19),((H158*(1+$E$18))),H158)</f>
        <v/>
      </c>
      <c r="I159" s="680">
        <f>SUM(F159:H159)</f>
        <v/>
      </c>
      <c r="J159" s="505" t="n"/>
      <c r="K159" s="681">
        <f>IF($E$37&gt;B159,0,$E$36 IF(B159&gt;$E$21,0,$E$36))</f>
        <v/>
      </c>
      <c r="L159" s="685">
        <f>IF($F$37&gt;B159,0,$F$36 IF(B159&gt;$E$21,0,$F$36))</f>
        <v/>
      </c>
      <c r="M159" s="505" t="n"/>
      <c r="N159" s="680">
        <f>SUM(L159,K159,I159,E159)</f>
        <v/>
      </c>
      <c r="O159" s="505" t="n"/>
      <c r="P159" s="673">
        <f>+N159/$E$8*12</f>
        <v/>
      </c>
    </row>
    <row r="160" ht="12.6" customFormat="1" customHeight="1" s="299">
      <c r="B160" s="315">
        <f>IF(B159+1&lt;=$E$21,B159+1,IF(B159&gt;=$E$21,"",IF(B159="","")))</f>
        <v/>
      </c>
      <c r="C160" s="316">
        <f>IF(B160&gt;$E$21,"", DATE(YEAR(C159),MONTH(C159)+1,DAY(C159)))</f>
        <v/>
      </c>
      <c r="D160" s="679">
        <f>VLOOKUP(B160,$G$9:$I$29,3)</f>
        <v/>
      </c>
      <c r="E160" s="680">
        <f>D160*$E$8/12</f>
        <v/>
      </c>
      <c r="F160" s="681">
        <f>IF($C$17="Gross Rent",$B$17*(H160+E160),IF($C$17="Base Rent",$B$17*E160))</f>
        <v/>
      </c>
      <c r="G160" s="681">
        <f>IF($C$16="Base Rent",$B$16*E160,IF($C$16="Gross Rent",$B$16*(H160+E160)))</f>
        <v/>
      </c>
      <c r="H160" s="680">
        <f>IF(MONTH(C160)=MONTH($E$19),((H159*(1+$E$18))),H159)</f>
        <v/>
      </c>
      <c r="I160" s="680">
        <f>SUM(F160:H160)</f>
        <v/>
      </c>
      <c r="J160" s="505" t="n"/>
      <c r="K160" s="681">
        <f>IF($E$37&gt;B160,0,$E$36 IF(B160&gt;$E$21,0,$E$36))</f>
        <v/>
      </c>
      <c r="L160" s="685">
        <f>IF($F$37&gt;B160,0,$F$36 IF(B160&gt;$E$21,0,$F$36))</f>
        <v/>
      </c>
      <c r="M160" s="505" t="n"/>
      <c r="N160" s="680">
        <f>SUM(L160,K160,I160,E160)</f>
        <v/>
      </c>
      <c r="O160" s="505" t="n"/>
      <c r="P160" s="673">
        <f>+N160/$E$8*12</f>
        <v/>
      </c>
    </row>
    <row r="161" ht="12.6" customFormat="1" customHeight="1" s="299">
      <c r="B161" s="315">
        <f>IF(B160+1&lt;=$E$21,B160+1,IF(B160&gt;=$E$21,"",IF(B160="","")))</f>
        <v/>
      </c>
      <c r="C161" s="316">
        <f>IF(B161&gt;$E$21,"", DATE(YEAR(C160),MONTH(C160)+1,DAY(C160)))</f>
        <v/>
      </c>
      <c r="D161" s="679">
        <f>VLOOKUP(B161,$G$9:$I$29,3)</f>
        <v/>
      </c>
      <c r="E161" s="680">
        <f>D161*$E$8/12</f>
        <v/>
      </c>
      <c r="F161" s="681">
        <f>IF($C$17="Gross Rent",$B$17*(H161+E161),IF($C$17="Base Rent",$B$17*E161))</f>
        <v/>
      </c>
      <c r="G161" s="681">
        <f>IF($C$16="Base Rent",$B$16*E161,IF($C$16="Gross Rent",$B$16*(H161+E161)))</f>
        <v/>
      </c>
      <c r="H161" s="680">
        <f>IF(MONTH(C161)=MONTH($E$19),((H160*(1+$E$18))),H160)</f>
        <v/>
      </c>
      <c r="I161" s="680">
        <f>SUM(F161:H161)</f>
        <v/>
      </c>
      <c r="J161" s="505" t="n"/>
      <c r="K161" s="681">
        <f>IF($E$37&gt;B161,0,$E$36 IF(B161&gt;$E$21,0,$E$36))</f>
        <v/>
      </c>
      <c r="L161" s="685">
        <f>IF($F$37&gt;B161,0,$F$36 IF(B161&gt;$E$21,0,$F$36))</f>
        <v/>
      </c>
      <c r="M161" s="505" t="n"/>
      <c r="N161" s="680">
        <f>SUM(L161,K161,I161,E161)</f>
        <v/>
      </c>
      <c r="O161" s="505" t="n"/>
      <c r="P161" s="673">
        <f>+N161/$E$8*12</f>
        <v/>
      </c>
    </row>
    <row r="162" ht="12.6" customFormat="1" customHeight="1" s="299">
      <c r="B162" s="315">
        <f>IF(B161+1&lt;=$E$21,B161+1,IF(B161&gt;=$E$21,"",IF(B161="","")))</f>
        <v/>
      </c>
      <c r="C162" s="316">
        <f>IF(B162&gt;$E$21,"", DATE(YEAR(C161),MONTH(C161)+1,DAY(C161)))</f>
        <v/>
      </c>
      <c r="D162" s="679">
        <f>VLOOKUP(B162,$G$9:$I$29,3)</f>
        <v/>
      </c>
      <c r="E162" s="680">
        <f>D162*$E$8/12</f>
        <v/>
      </c>
      <c r="F162" s="681">
        <f>IF($C$17="Gross Rent",$B$17*(H162+E162),IF($C$17="Base Rent",$B$17*E162))</f>
        <v/>
      </c>
      <c r="G162" s="681">
        <f>IF($C$16="Base Rent",$B$16*E162,IF($C$16="Gross Rent",$B$16*(H162+E162)))</f>
        <v/>
      </c>
      <c r="H162" s="680">
        <f>IF(MONTH(C162)=MONTH($E$19),((H161*(1+$E$18))),H161)</f>
        <v/>
      </c>
      <c r="I162" s="680">
        <f>SUM(F162:H162)</f>
        <v/>
      </c>
      <c r="J162" s="505" t="n"/>
      <c r="K162" s="681">
        <f>IF($E$37&gt;B162,0,$E$36 IF(B162&gt;$E$21,0,$E$36))</f>
        <v/>
      </c>
      <c r="L162" s="685">
        <f>IF($F$37&gt;B162,0,$F$36 IF(B162&gt;$E$21,0,$F$36))</f>
        <v/>
      </c>
      <c r="M162" s="505" t="n"/>
      <c r="N162" s="680">
        <f>SUM(L162,K162,I162,E162)</f>
        <v/>
      </c>
      <c r="O162" s="505" t="n"/>
      <c r="P162" s="673">
        <f>+N162/$E$8*12</f>
        <v/>
      </c>
    </row>
    <row r="163" ht="12.6" customFormat="1" customHeight="1" s="299">
      <c r="B163" s="315">
        <f>IF(B162+1&lt;=$E$21,B162+1,IF(B162&gt;=$E$21,"",IF(B162="","")))</f>
        <v/>
      </c>
      <c r="C163" s="316">
        <f>IF(B163&gt;$E$21,"", DATE(YEAR(C162),MONTH(C162)+1,DAY(C162)))</f>
        <v/>
      </c>
      <c r="D163" s="679">
        <f>VLOOKUP(B163,$G$9:$I$29,3)</f>
        <v/>
      </c>
      <c r="E163" s="680">
        <f>D163*$E$8/12</f>
        <v/>
      </c>
      <c r="F163" s="681">
        <f>IF($C$17="Gross Rent",$B$17*(H163+E163),IF($C$17="Base Rent",$B$17*E163))</f>
        <v/>
      </c>
      <c r="G163" s="681">
        <f>IF($C$16="Base Rent",$B$16*E163,IF($C$16="Gross Rent",$B$16*(H163+E163)))</f>
        <v/>
      </c>
      <c r="H163" s="680">
        <f>IF(MONTH(C163)=MONTH($E$19),((H162*(1+$E$18))),H162)</f>
        <v/>
      </c>
      <c r="I163" s="680">
        <f>SUM(F163:H163)</f>
        <v/>
      </c>
      <c r="J163" s="505" t="n"/>
      <c r="K163" s="681">
        <f>IF($E$37&gt;B163,0,$E$36 IF(B163&gt;$E$21,0,$E$36))</f>
        <v/>
      </c>
      <c r="L163" s="685">
        <f>IF($F$37&gt;B163,0,$F$36 IF(B163&gt;$E$21,0,$F$36))</f>
        <v/>
      </c>
      <c r="M163" s="505" t="n"/>
      <c r="N163" s="680">
        <f>SUM(L163,K163,I163,E163)</f>
        <v/>
      </c>
      <c r="O163" s="505" t="n"/>
      <c r="P163" s="673">
        <f>+N163/$E$8*12</f>
        <v/>
      </c>
    </row>
    <row r="164" ht="12.6" customFormat="1" customHeight="1" s="299">
      <c r="B164" s="315">
        <f>IF(B163+1&lt;=$E$21,B163+1,IF(B163&gt;=$E$21,"",IF(B163="","")))</f>
        <v/>
      </c>
      <c r="C164" s="316">
        <f>IF(B164&gt;$E$21,"", DATE(YEAR(C163),MONTH(C163)+1,DAY(C163)))</f>
        <v/>
      </c>
      <c r="D164" s="679">
        <f>VLOOKUP(B164,$G$9:$I$29,3)</f>
        <v/>
      </c>
      <c r="E164" s="680">
        <f>D164*$E$8/12</f>
        <v/>
      </c>
      <c r="F164" s="681">
        <f>IF($C$17="Gross Rent",$B$17*(H164+E164),IF($C$17="Base Rent",$B$17*E164))</f>
        <v/>
      </c>
      <c r="G164" s="681">
        <f>IF($C$16="Base Rent",$B$16*E164,IF($C$16="Gross Rent",$B$16*(H164+E164)))</f>
        <v/>
      </c>
      <c r="H164" s="680">
        <f>IF(MONTH(C164)=MONTH($E$19),((H163*(1+$E$18))),H163)</f>
        <v/>
      </c>
      <c r="I164" s="680">
        <f>SUM(F164:H164)</f>
        <v/>
      </c>
      <c r="J164" s="505" t="n"/>
      <c r="K164" s="681">
        <f>IF($E$37&gt;B164,0,$E$36 IF(B164&gt;$E$21,0,$E$36))</f>
        <v/>
      </c>
      <c r="L164" s="685">
        <f>IF($F$37&gt;B164,0,$F$36 IF(B164&gt;$E$21,0,$F$36))</f>
        <v/>
      </c>
      <c r="M164" s="505" t="n"/>
      <c r="N164" s="680">
        <f>SUM(L164,K164,I164,E164)</f>
        <v/>
      </c>
      <c r="O164" s="505" t="n"/>
      <c r="P164" s="673">
        <f>+N164/$E$8*12</f>
        <v/>
      </c>
    </row>
    <row r="165" ht="12.6" customFormat="1" customHeight="1" s="299">
      <c r="B165" s="315">
        <f>IF(B164+1&lt;=$E$21,B164+1,IF(B164&gt;=$E$21,"",IF(B164="","")))</f>
        <v/>
      </c>
      <c r="C165" s="316">
        <f>IF(B165&gt;$E$21,"", DATE(YEAR(C164),MONTH(C164)+1,DAY(C164)))</f>
        <v/>
      </c>
      <c r="D165" s="679">
        <f>VLOOKUP(B165,$G$9:$I$29,3)</f>
        <v/>
      </c>
      <c r="E165" s="680">
        <f>D165*$E$8/12</f>
        <v/>
      </c>
      <c r="F165" s="681">
        <f>IF($C$17="Gross Rent",$B$17*(H165+E165),IF($C$17="Base Rent",$B$17*E165))</f>
        <v/>
      </c>
      <c r="G165" s="681">
        <f>IF($C$16="Base Rent",$B$16*E165,IF($C$16="Gross Rent",$B$16*(H165+E165)))</f>
        <v/>
      </c>
      <c r="H165" s="680">
        <f>IF(MONTH(C165)=MONTH($E$19),((H164*(1+$E$18))),H164)</f>
        <v/>
      </c>
      <c r="I165" s="680">
        <f>SUM(F165:H165)</f>
        <v/>
      </c>
      <c r="J165" s="505" t="n"/>
      <c r="K165" s="681">
        <f>IF($E$37&gt;B165,0,$E$36 IF(B165&gt;$E$21,0,$E$36))</f>
        <v/>
      </c>
      <c r="L165" s="685">
        <f>IF($F$37&gt;B165,0,$F$36 IF(B165&gt;$E$21,0,$F$36))</f>
        <v/>
      </c>
      <c r="M165" s="505" t="n"/>
      <c r="N165" s="680">
        <f>SUM(L165,K165,I165,E165)</f>
        <v/>
      </c>
      <c r="O165" s="505" t="n"/>
      <c r="P165" s="673">
        <f>+N165/$E$8*12</f>
        <v/>
      </c>
    </row>
    <row r="166" ht="12.6" customFormat="1" customHeight="1" s="299">
      <c r="B166" s="315">
        <f>IF(B165+1&lt;=$E$21,B165+1,IF(B165&gt;=$E$21,"",IF(B165="","")))</f>
        <v/>
      </c>
      <c r="C166" s="316">
        <f>IF(B166&gt;$E$21,"", DATE(YEAR(C165),MONTH(C165)+1,DAY(C165)))</f>
        <v/>
      </c>
      <c r="D166" s="679">
        <f>VLOOKUP(B166,$G$9:$I$29,3)</f>
        <v/>
      </c>
      <c r="E166" s="680">
        <f>D166*$E$8/12</f>
        <v/>
      </c>
      <c r="F166" s="681">
        <f>IF($C$17="Gross Rent",$B$17*(H166+E166),IF($C$17="Base Rent",$B$17*E166))</f>
        <v/>
      </c>
      <c r="G166" s="681">
        <f>IF($C$16="Base Rent",$B$16*E166,IF($C$16="Gross Rent",$B$16*(H166+E166)))</f>
        <v/>
      </c>
      <c r="H166" s="680">
        <f>IF(MONTH(C166)=MONTH($E$19),((H165*(1+$E$18))),H165)</f>
        <v/>
      </c>
      <c r="I166" s="680">
        <f>SUM(F166:H166)</f>
        <v/>
      </c>
      <c r="J166" s="505" t="n"/>
      <c r="K166" s="681">
        <f>IF($E$37&gt;B166,0,$E$36 IF(B166&gt;$E$21,0,$E$36))</f>
        <v/>
      </c>
      <c r="L166" s="685">
        <f>IF($F$37&gt;B166,0,$F$36 IF(B166&gt;$E$21,0,$F$36))</f>
        <v/>
      </c>
      <c r="M166" s="505" t="n"/>
      <c r="N166" s="680">
        <f>SUM(L166,K166,I166,E166)</f>
        <v/>
      </c>
      <c r="O166" s="505" t="n"/>
      <c r="P166" s="673">
        <f>+N166/$E$8*12</f>
        <v/>
      </c>
    </row>
    <row r="167" ht="12.6" customFormat="1" customHeight="1" s="299">
      <c r="B167" s="315">
        <f>IF(B166+1&lt;=$E$21,B166+1,IF(B166&gt;=$E$21,"",IF(B166="","")))</f>
        <v/>
      </c>
      <c r="C167" s="316">
        <f>IF(B167&gt;$E$21,"", DATE(YEAR(C166),MONTH(C166)+1,DAY(C166)))</f>
        <v/>
      </c>
      <c r="D167" s="679">
        <f>VLOOKUP(B167,$G$9:$I$29,3)</f>
        <v/>
      </c>
      <c r="E167" s="680">
        <f>D167*$E$8/12</f>
        <v/>
      </c>
      <c r="F167" s="681">
        <f>IF($C$17="Gross Rent",$B$17*(H167+E167),IF($C$17="Base Rent",$B$17*E167))</f>
        <v/>
      </c>
      <c r="G167" s="681">
        <f>IF($C$16="Base Rent",$B$16*E167,IF($C$16="Gross Rent",$B$16*(H167+E167)))</f>
        <v/>
      </c>
      <c r="H167" s="680">
        <f>IF(MONTH(C167)=MONTH($E$19),((H166*(1+$E$18))),H166)</f>
        <v/>
      </c>
      <c r="I167" s="680">
        <f>SUM(F167:H167)</f>
        <v/>
      </c>
      <c r="J167" s="505" t="n"/>
      <c r="K167" s="681">
        <f>IF($E$37&gt;B167,0,$E$36 IF(B167&gt;$E$21,0,$E$36))</f>
        <v/>
      </c>
      <c r="L167" s="685">
        <f>IF($F$37&gt;B167,0,$F$36 IF(B167&gt;$E$21,0,$F$36))</f>
        <v/>
      </c>
      <c r="M167" s="505" t="n"/>
      <c r="N167" s="680">
        <f>SUM(L167,K167,I167,E167)</f>
        <v/>
      </c>
      <c r="O167" s="505" t="n"/>
      <c r="P167" s="673">
        <f>+N167/$E$8*12</f>
        <v/>
      </c>
    </row>
    <row r="168" ht="12.6" customFormat="1" customHeight="1" s="299">
      <c r="B168" s="315">
        <f>IF(B167+1&lt;=$E$21,B167+1,IF(B167&gt;=$E$21,"",IF(B167="","")))</f>
        <v/>
      </c>
      <c r="C168" s="316">
        <f>IF(B168&gt;$E$21,"", DATE(YEAR(C167),MONTH(C167)+1,DAY(C167)))</f>
        <v/>
      </c>
      <c r="D168" s="679">
        <f>VLOOKUP(B168,$G$9:$I$29,3)</f>
        <v/>
      </c>
      <c r="E168" s="680">
        <f>D168*$E$8/12</f>
        <v/>
      </c>
      <c r="F168" s="681">
        <f>IF($C$17="Gross Rent",$B$17*(H168+E168),IF($C$17="Base Rent",$B$17*E168))</f>
        <v/>
      </c>
      <c r="G168" s="681">
        <f>IF($C$16="Base Rent",$B$16*E168,IF($C$16="Gross Rent",$B$16*(H168+E168)))</f>
        <v/>
      </c>
      <c r="H168" s="680">
        <f>IF(MONTH(C168)=MONTH($E$19),((H167*(1+$E$18))),H167)</f>
        <v/>
      </c>
      <c r="I168" s="680">
        <f>SUM(F168:H168)</f>
        <v/>
      </c>
      <c r="J168" s="505" t="n"/>
      <c r="K168" s="681">
        <f>IF($E$37&gt;B168,0,$E$36 IF(B168&gt;$E$21,0,$E$36))</f>
        <v/>
      </c>
      <c r="L168" s="685">
        <f>IF($F$37&gt;B168,0,$F$36 IF(B168&gt;$E$21,0,$F$36))</f>
        <v/>
      </c>
      <c r="M168" s="505" t="n"/>
      <c r="N168" s="680">
        <f>SUM(L168,K168,I168,E168)</f>
        <v/>
      </c>
      <c r="O168" s="505" t="n"/>
      <c r="P168" s="673">
        <f>+N168/$E$8*12</f>
        <v/>
      </c>
    </row>
    <row r="169" ht="12.6" customFormat="1" customHeight="1" s="299">
      <c r="B169" s="315">
        <f>IF(B168+1&lt;=$E$21,B168+1,IF(B168&gt;=$E$21,"",IF(B168="","")))</f>
        <v/>
      </c>
      <c r="C169" s="316">
        <f>IF(B169&gt;$E$21,"", DATE(YEAR(C168),MONTH(C168)+1,DAY(C168)))</f>
        <v/>
      </c>
      <c r="D169" s="679">
        <f>VLOOKUP(B169,$G$9:$I$29,3)</f>
        <v/>
      </c>
      <c r="E169" s="680">
        <f>D169*$E$8/12</f>
        <v/>
      </c>
      <c r="F169" s="681">
        <f>IF($C$17="Gross Rent",$B$17*(H169+E169),IF($C$17="Base Rent",$B$17*E169))</f>
        <v/>
      </c>
      <c r="G169" s="681">
        <f>IF($C$16="Base Rent",$B$16*E169,IF($C$16="Gross Rent",$B$16*(H169+E169)))</f>
        <v/>
      </c>
      <c r="H169" s="680">
        <f>IF(MONTH(C169)=MONTH($E$19),((H168*(1+$E$18))),H168)</f>
        <v/>
      </c>
      <c r="I169" s="680">
        <f>SUM(F169:H169)</f>
        <v/>
      </c>
      <c r="J169" s="505" t="n"/>
      <c r="K169" s="681">
        <f>IF($E$37&gt;B169,0,$E$36 IF(B169&gt;$E$21,0,$E$36))</f>
        <v/>
      </c>
      <c r="L169" s="685">
        <f>IF($F$37&gt;B169,0,$F$36 IF(B169&gt;$E$21,0,$F$36))</f>
        <v/>
      </c>
      <c r="M169" s="505" t="n"/>
      <c r="N169" s="680">
        <f>SUM(L169,K169,I169,E169)</f>
        <v/>
      </c>
      <c r="O169" s="505" t="n"/>
      <c r="P169" s="673">
        <f>+N169/$E$8*12</f>
        <v/>
      </c>
    </row>
    <row r="170" ht="12.6" customFormat="1" customHeight="1" s="299">
      <c r="B170" s="315">
        <f>IF(B169+1&lt;=$E$21,B169+1,IF(B169&gt;=$E$21,"",IF(B169="","")))</f>
        <v/>
      </c>
      <c r="C170" s="316">
        <f>IF(B170&gt;$E$21,"", DATE(YEAR(C169),MONTH(C169)+1,DAY(C169)))</f>
        <v/>
      </c>
      <c r="D170" s="679">
        <f>VLOOKUP(B170,$G$9:$I$29,3)</f>
        <v/>
      </c>
      <c r="E170" s="680">
        <f>D170*$E$8/12</f>
        <v/>
      </c>
      <c r="F170" s="681">
        <f>IF($C$17="Gross Rent",$B$17*(H170+E170),IF($C$17="Base Rent",$B$17*E170))</f>
        <v/>
      </c>
      <c r="G170" s="681">
        <f>IF($C$16="Base Rent",$B$16*E170,IF($C$16="Gross Rent",$B$16*(H170+E170)))</f>
        <v/>
      </c>
      <c r="H170" s="680">
        <f>IF(MONTH(C170)=MONTH($E$19),((H169*(1+$E$18))),H169)</f>
        <v/>
      </c>
      <c r="I170" s="680">
        <f>SUM(F170:H170)</f>
        <v/>
      </c>
      <c r="J170" s="505" t="n"/>
      <c r="K170" s="681">
        <f>IF($E$37&gt;B170,0,$E$36 IF(B170&gt;$E$21,0,$E$36))</f>
        <v/>
      </c>
      <c r="L170" s="685">
        <f>IF($F$37&gt;B170,0,$F$36 IF(B170&gt;$E$21,0,$F$36))</f>
        <v/>
      </c>
      <c r="M170" s="505" t="n"/>
      <c r="N170" s="680">
        <f>SUM(L170,K170,I170,E170)</f>
        <v/>
      </c>
      <c r="O170" s="505" t="n"/>
      <c r="P170" s="673">
        <f>+N170/$E$8*12</f>
        <v/>
      </c>
    </row>
    <row r="171" ht="12.6" customFormat="1" customHeight="1" s="299">
      <c r="B171" s="315">
        <f>IF(B170+1&lt;=$E$21,B170+1,IF(B170&gt;=$E$21,"",IF(B170="","")))</f>
        <v/>
      </c>
      <c r="C171" s="316">
        <f>IF(B171&gt;$E$21,"", DATE(YEAR(C170),MONTH(C170)+1,DAY(C170)))</f>
        <v/>
      </c>
      <c r="D171" s="679">
        <f>VLOOKUP(B171,$G$9:$I$29,3)</f>
        <v/>
      </c>
      <c r="E171" s="680">
        <f>D171*$E$8/12</f>
        <v/>
      </c>
      <c r="F171" s="681">
        <f>IF($C$17="Gross Rent",$B$17*(H171+E171),IF($C$17="Base Rent",$B$17*E171))</f>
        <v/>
      </c>
      <c r="G171" s="681">
        <f>IF($C$16="Base Rent",$B$16*E171,IF($C$16="Gross Rent",$B$16*(H171+E171)))</f>
        <v/>
      </c>
      <c r="H171" s="680">
        <f>IF(MONTH(C171)=MONTH($E$19),((H170*(1+$E$18))),H170)</f>
        <v/>
      </c>
      <c r="I171" s="680">
        <f>SUM(F171:H171)</f>
        <v/>
      </c>
      <c r="J171" s="505" t="n"/>
      <c r="K171" s="681">
        <f>IF($E$37&gt;B171,0,$E$36 IF(B171&gt;$E$21,0,$E$36))</f>
        <v/>
      </c>
      <c r="L171" s="685">
        <f>IF($F$37&gt;B171,0,$F$36 IF(B171&gt;$E$21,0,$F$36))</f>
        <v/>
      </c>
      <c r="M171" s="505" t="n"/>
      <c r="N171" s="680">
        <f>SUM(L171,K171,I171,E171)</f>
        <v/>
      </c>
      <c r="O171" s="505" t="n"/>
      <c r="P171" s="673">
        <f>+N171/$E$8*12</f>
        <v/>
      </c>
    </row>
    <row r="172" ht="12.6" customFormat="1" customHeight="1" s="299">
      <c r="B172" s="315">
        <f>IF(B171+1&lt;=$E$21,B171+1,IF(B171&gt;=$E$21,"",IF(B171="","")))</f>
        <v/>
      </c>
      <c r="C172" s="316">
        <f>IF(B172&gt;$E$21,"", DATE(YEAR(C171),MONTH(C171)+1,DAY(C171)))</f>
        <v/>
      </c>
      <c r="D172" s="679">
        <f>VLOOKUP(B172,$G$9:$I$29,3)</f>
        <v/>
      </c>
      <c r="E172" s="680">
        <f>D172*$E$8/12</f>
        <v/>
      </c>
      <c r="F172" s="681">
        <f>IF($C$17="Gross Rent",$B$17*(H172+E172),IF($C$17="Base Rent",$B$17*E172))</f>
        <v/>
      </c>
      <c r="G172" s="681">
        <f>IF($C$16="Base Rent",$B$16*E172,IF($C$16="Gross Rent",$B$16*(H172+E172)))</f>
        <v/>
      </c>
      <c r="H172" s="680">
        <f>IF(MONTH(C172)=MONTH($E$19),((H171*(1+$E$18))),H171)</f>
        <v/>
      </c>
      <c r="I172" s="680">
        <f>SUM(F172:H172)</f>
        <v/>
      </c>
      <c r="J172" s="505" t="n"/>
      <c r="K172" s="681">
        <f>IF($E$37&gt;B172,0,$E$36 IF(B172&gt;$E$21,0,$E$36))</f>
        <v/>
      </c>
      <c r="L172" s="685">
        <f>IF($F$37&gt;B172,0,$F$36 IF(B172&gt;$E$21,0,$F$36))</f>
        <v/>
      </c>
      <c r="M172" s="505" t="n"/>
      <c r="N172" s="680">
        <f>SUM(L172,K172,I172,E172)</f>
        <v/>
      </c>
      <c r="O172" s="505" t="n"/>
      <c r="P172" s="673">
        <f>+N172/$E$8*12</f>
        <v/>
      </c>
    </row>
    <row r="173" ht="12.6" customFormat="1" customHeight="1" s="299">
      <c r="B173" s="315">
        <f>IF(B172+1&lt;=$E$21,B172+1,IF(B172&gt;=$E$21,"",IF(B172="","")))</f>
        <v/>
      </c>
      <c r="C173" s="316">
        <f>IF(B173&gt;$E$21,"", DATE(YEAR(C172),MONTH(C172)+1,DAY(C172)))</f>
        <v/>
      </c>
      <c r="D173" s="679">
        <f>VLOOKUP(B173,$G$9:$I$29,3)</f>
        <v/>
      </c>
      <c r="E173" s="680">
        <f>D173*$E$8/12</f>
        <v/>
      </c>
      <c r="F173" s="681">
        <f>IF($C$17="Gross Rent",$B$17*(H173+E173),IF($C$17="Base Rent",$B$17*E173))</f>
        <v/>
      </c>
      <c r="G173" s="681">
        <f>IF($C$16="Base Rent",$B$16*E173,IF($C$16="Gross Rent",$B$16*(H173+E173)))</f>
        <v/>
      </c>
      <c r="H173" s="680">
        <f>IF(MONTH(C173)=MONTH($E$19),((H172*(1+$E$18))),H172)</f>
        <v/>
      </c>
      <c r="I173" s="680">
        <f>SUM(F173:H173)</f>
        <v/>
      </c>
      <c r="J173" s="505" t="n"/>
      <c r="K173" s="681">
        <f>IF($E$37&gt;B173,0,$E$36 IF(B173&gt;$E$21,0,$E$36))</f>
        <v/>
      </c>
      <c r="L173" s="685">
        <f>IF($F$37&gt;B173,0,$F$36 IF(B173&gt;$E$21,0,$F$36))</f>
        <v/>
      </c>
      <c r="M173" s="505" t="n"/>
      <c r="N173" s="680">
        <f>SUM(L173,K173,I173,E173)</f>
        <v/>
      </c>
      <c r="O173" s="505" t="n"/>
      <c r="P173" s="673">
        <f>+N173/$E$8*12</f>
        <v/>
      </c>
    </row>
    <row r="174" ht="12.6" customFormat="1" customHeight="1" s="299">
      <c r="B174" s="315">
        <f>IF(B173+1&lt;=$E$21,B173+1,IF(B173&gt;=$E$21,"",IF(B173="","")))</f>
        <v/>
      </c>
      <c r="C174" s="316">
        <f>IF(B174&gt;$E$21,"", DATE(YEAR(C173),MONTH(C173)+1,DAY(C173)))</f>
        <v/>
      </c>
      <c r="D174" s="679">
        <f>VLOOKUP(B174,$G$9:$I$29,3)</f>
        <v/>
      </c>
      <c r="E174" s="680">
        <f>D174*$E$8/12</f>
        <v/>
      </c>
      <c r="F174" s="681">
        <f>IF($C$17="Gross Rent",$B$17*(H174+E174),IF($C$17="Base Rent",$B$17*E174))</f>
        <v/>
      </c>
      <c r="G174" s="681">
        <f>IF($C$16="Base Rent",$B$16*E174,IF($C$16="Gross Rent",$B$16*(H174+E174)))</f>
        <v/>
      </c>
      <c r="H174" s="680">
        <f>IF(MONTH(C174)=MONTH($E$19),((H173*(1+$E$18))),H173)</f>
        <v/>
      </c>
      <c r="I174" s="680">
        <f>SUM(F174:H174)</f>
        <v/>
      </c>
      <c r="J174" s="505" t="n"/>
      <c r="K174" s="681">
        <f>IF($E$37&gt;B174,0,$E$36 IF(B174&gt;$E$21,0,$E$36))</f>
        <v/>
      </c>
      <c r="L174" s="685">
        <f>IF($F$37&gt;B174,0,$F$36 IF(B174&gt;$E$21,0,$F$36))</f>
        <v/>
      </c>
      <c r="M174" s="505" t="n"/>
      <c r="N174" s="680">
        <f>SUM(L174,K174,I174,E174)</f>
        <v/>
      </c>
      <c r="O174" s="505" t="n"/>
      <c r="P174" s="673">
        <f>+N174/$E$8*12</f>
        <v/>
      </c>
    </row>
    <row r="175" ht="12.6" customFormat="1" customHeight="1" s="299">
      <c r="B175" s="315">
        <f>IF(B174+1&lt;=$E$21,B174+1,IF(B174&gt;=$E$21,"",IF(B174="","")))</f>
        <v/>
      </c>
      <c r="C175" s="316">
        <f>IF(B175&gt;$E$21,"", DATE(YEAR(C174),MONTH(C174)+1,DAY(C174)))</f>
        <v/>
      </c>
      <c r="D175" s="679">
        <f>VLOOKUP(B175,$G$9:$I$29,3)</f>
        <v/>
      </c>
      <c r="E175" s="680">
        <f>D175*$E$8/12</f>
        <v/>
      </c>
      <c r="F175" s="681">
        <f>IF($C$17="Gross Rent",$B$17*(H175+E175),IF($C$17="Base Rent",$B$17*E175))</f>
        <v/>
      </c>
      <c r="G175" s="681">
        <f>IF($C$16="Base Rent",$B$16*E175,IF($C$16="Gross Rent",$B$16*(H175+E175)))</f>
        <v/>
      </c>
      <c r="H175" s="680">
        <f>IF(MONTH(C175)=MONTH($E$19),((H174*(1+$E$18))),H174)</f>
        <v/>
      </c>
      <c r="I175" s="680">
        <f>SUM(F175:H175)</f>
        <v/>
      </c>
      <c r="J175" s="505" t="n"/>
      <c r="K175" s="681">
        <f>IF($E$37&gt;B175,0,$E$36 IF(B175&gt;$E$21,0,$E$36))</f>
        <v/>
      </c>
      <c r="L175" s="685">
        <f>IF($F$37&gt;B175,0,$F$36 IF(B175&gt;$E$21,0,$F$36))</f>
        <v/>
      </c>
      <c r="M175" s="505" t="n"/>
      <c r="N175" s="680">
        <f>SUM(L175,K175,I175,E175)</f>
        <v/>
      </c>
      <c r="O175" s="505" t="n"/>
      <c r="P175" s="673">
        <f>+N175/$E$8*12</f>
        <v/>
      </c>
    </row>
    <row r="176" ht="12.6" customFormat="1" customHeight="1" s="299">
      <c r="B176" s="315">
        <f>IF(B175+1&lt;=$E$21,B175+1,IF(B175&gt;=$E$21,"",IF(B175="","")))</f>
        <v/>
      </c>
      <c r="C176" s="316">
        <f>IF(B176&gt;$E$21,"", DATE(YEAR(C175),MONTH(C175)+1,DAY(C175)))</f>
        <v/>
      </c>
      <c r="D176" s="679">
        <f>VLOOKUP(B176,$G$9:$I$29,3)</f>
        <v/>
      </c>
      <c r="E176" s="680">
        <f>D176*$E$8/12</f>
        <v/>
      </c>
      <c r="F176" s="681">
        <f>IF($C$17="Gross Rent",$B$17*(H176+E176),IF($C$17="Base Rent",$B$17*E176))</f>
        <v/>
      </c>
      <c r="G176" s="681">
        <f>IF($C$16="Base Rent",$B$16*E176,IF($C$16="Gross Rent",$B$16*(H176+E176)))</f>
        <v/>
      </c>
      <c r="H176" s="680">
        <f>IF(MONTH(C176)=MONTH($E$19),((H175*(1+$E$18))),H175)</f>
        <v/>
      </c>
      <c r="I176" s="680">
        <f>SUM(F176:H176)</f>
        <v/>
      </c>
      <c r="J176" s="505" t="n"/>
      <c r="K176" s="681">
        <f>IF($E$37&gt;B176,0,$E$36 IF(B176&gt;$E$21,0,$E$36))</f>
        <v/>
      </c>
      <c r="L176" s="685">
        <f>IF($F$37&gt;B176,0,$F$36 IF(B176&gt;$E$21,0,$F$36))</f>
        <v/>
      </c>
      <c r="M176" s="505" t="n"/>
      <c r="N176" s="680">
        <f>SUM(L176,K176,I176,E176)</f>
        <v/>
      </c>
      <c r="O176" s="505" t="n"/>
      <c r="P176" s="673">
        <f>+N176/$E$8*12</f>
        <v/>
      </c>
    </row>
    <row r="177" ht="12.6" customFormat="1" customHeight="1" s="299">
      <c r="B177" s="315">
        <f>IF(B176+1&lt;=$E$21,B176+1,IF(B176&gt;=$E$21,"",IF(B176="","")))</f>
        <v/>
      </c>
      <c r="C177" s="316">
        <f>IF(B177&gt;$E$21,"", DATE(YEAR(C176),MONTH(C176)+1,DAY(C176)))</f>
        <v/>
      </c>
      <c r="D177" s="679">
        <f>VLOOKUP(B177,$G$9:$I$29,3)</f>
        <v/>
      </c>
      <c r="E177" s="680">
        <f>D177*$E$8/12</f>
        <v/>
      </c>
      <c r="F177" s="681">
        <f>IF($C$17="Gross Rent",$B$17*(H177+E177),IF($C$17="Base Rent",$B$17*E177))</f>
        <v/>
      </c>
      <c r="G177" s="681">
        <f>IF($C$16="Base Rent",$B$16*E177,IF($C$16="Gross Rent",$B$16*(H177+E177)))</f>
        <v/>
      </c>
      <c r="H177" s="680">
        <f>IF(MONTH(C177)=MONTH($E$19),((H176*(1+$E$18))),H176)</f>
        <v/>
      </c>
      <c r="I177" s="680">
        <f>SUM(F177:H177)</f>
        <v/>
      </c>
      <c r="J177" s="505" t="n"/>
      <c r="K177" s="681">
        <f>IF($E$37&gt;B177,0,$E$36 IF(B177&gt;$E$21,0,$E$36))</f>
        <v/>
      </c>
      <c r="L177" s="685">
        <f>IF($F$37&gt;B177,0,$F$36 IF(B177&gt;$E$21,0,$F$36))</f>
        <v/>
      </c>
      <c r="M177" s="505" t="n"/>
      <c r="N177" s="680">
        <f>SUM(L177,K177,I177,E177)</f>
        <v/>
      </c>
      <c r="O177" s="505" t="n"/>
      <c r="P177" s="673">
        <f>+N177/$E$8*12</f>
        <v/>
      </c>
    </row>
    <row r="178" ht="12.6" customFormat="1" customHeight="1" s="299">
      <c r="B178" s="315">
        <f>IF(B177+1&lt;=$E$21,B177+1,IF(B177&gt;=$E$21,"",IF(B177="","")))</f>
        <v/>
      </c>
      <c r="C178" s="316">
        <f>IF(B178&gt;$E$21,"", DATE(YEAR(C177),MONTH(C177)+1,DAY(C177)))</f>
        <v/>
      </c>
      <c r="D178" s="679">
        <f>VLOOKUP(B178,$G$9:$I$29,3)</f>
        <v/>
      </c>
      <c r="E178" s="680">
        <f>D178*$E$8/12</f>
        <v/>
      </c>
      <c r="F178" s="681">
        <f>IF($C$17="Gross Rent",$B$17*(H178+E178),IF($C$17="Base Rent",$B$17*E178))</f>
        <v/>
      </c>
      <c r="G178" s="681">
        <f>IF($C$16="Base Rent",$B$16*E178,IF($C$16="Gross Rent",$B$16*(H178+E178)))</f>
        <v/>
      </c>
      <c r="H178" s="680">
        <f>IF(MONTH(C178)=MONTH($E$19),((H177*(1+$E$18))),H177)</f>
        <v/>
      </c>
      <c r="I178" s="680">
        <f>SUM(F178:H178)</f>
        <v/>
      </c>
      <c r="J178" s="505" t="n"/>
      <c r="K178" s="681">
        <f>IF($E$37&gt;B178,0,$E$36 IF(B178&gt;$E$21,0,$E$36))</f>
        <v/>
      </c>
      <c r="L178" s="685">
        <f>IF($F$37&gt;B178,0,$F$36 IF(B178&gt;$E$21,0,$F$36))</f>
        <v/>
      </c>
      <c r="M178" s="505" t="n"/>
      <c r="N178" s="680">
        <f>SUM(L178,K178,I178,E178)</f>
        <v/>
      </c>
      <c r="O178" s="505" t="n"/>
      <c r="P178" s="673">
        <f>+N178/$E$8*12</f>
        <v/>
      </c>
    </row>
    <row r="179" ht="12.6" customFormat="1" customHeight="1" s="299">
      <c r="B179" s="315">
        <f>IF(B178+1&lt;=$E$21,B178+1,IF(B178&gt;=$E$21,"",IF(B178="","")))</f>
        <v/>
      </c>
      <c r="C179" s="316">
        <f>IF(B179&gt;$E$21,"", DATE(YEAR(C178),MONTH(C178)+1,DAY(C178)))</f>
        <v/>
      </c>
      <c r="D179" s="679">
        <f>VLOOKUP(B179,$G$9:$I$29,3)</f>
        <v/>
      </c>
      <c r="E179" s="680">
        <f>D179*$E$8/12</f>
        <v/>
      </c>
      <c r="F179" s="681">
        <f>IF($C$17="Gross Rent",$B$17*(H179+E179),IF($C$17="Base Rent",$B$17*E179))</f>
        <v/>
      </c>
      <c r="G179" s="681">
        <f>IF($C$16="Base Rent",$B$16*E179,IF($C$16="Gross Rent",$B$16*(H179+E179)))</f>
        <v/>
      </c>
      <c r="H179" s="680">
        <f>IF(MONTH(C179)=MONTH($E$19),((H178*(1+$E$18))),H178)</f>
        <v/>
      </c>
      <c r="I179" s="680">
        <f>SUM(F179:H179)</f>
        <v/>
      </c>
      <c r="J179" s="505" t="n"/>
      <c r="K179" s="681">
        <f>IF($E$37&gt;B179,0,$E$36 IF(B179&gt;$E$21,0,$E$36))</f>
        <v/>
      </c>
      <c r="L179" s="685">
        <f>IF($F$37&gt;B179,0,$F$36 IF(B179&gt;$E$21,0,$F$36))</f>
        <v/>
      </c>
      <c r="M179" s="505" t="n"/>
      <c r="N179" s="680">
        <f>SUM(L179,K179,I179,E179)</f>
        <v/>
      </c>
      <c r="O179" s="505" t="n"/>
      <c r="P179" s="673">
        <f>+N179/$E$8*12</f>
        <v/>
      </c>
    </row>
    <row r="180" ht="12.6" customFormat="1" customHeight="1" s="299">
      <c r="B180" s="315">
        <f>IF(B179+1&lt;=$E$21,B179+1,IF(B179&gt;=$E$21,"",IF(B179="","")))</f>
        <v/>
      </c>
      <c r="C180" s="316">
        <f>IF(B180&gt;$E$21,"", DATE(YEAR(C179),MONTH(C179)+1,DAY(C179)))</f>
        <v/>
      </c>
      <c r="D180" s="679">
        <f>VLOOKUP(B180,$G$9:$I$29,3)</f>
        <v/>
      </c>
      <c r="E180" s="680">
        <f>D180*$E$8/12</f>
        <v/>
      </c>
      <c r="F180" s="681">
        <f>IF($C$17="Gross Rent",$B$17*(H180+E180),IF($C$17="Base Rent",$B$17*E180))</f>
        <v/>
      </c>
      <c r="G180" s="681">
        <f>IF($C$16="Base Rent",$B$16*E180,IF($C$16="Gross Rent",$B$16*(H180+E180)))</f>
        <v/>
      </c>
      <c r="H180" s="680">
        <f>IF(MONTH(C180)=MONTH($E$19),((H179*(1+$E$18))),H179)</f>
        <v/>
      </c>
      <c r="I180" s="680">
        <f>SUM(F180:H180)</f>
        <v/>
      </c>
      <c r="J180" s="505" t="n"/>
      <c r="K180" s="681">
        <f>IF($E$37&gt;B180,0,$E$36 IF(B180&gt;$E$21,0,$E$36))</f>
        <v/>
      </c>
      <c r="L180" s="685">
        <f>IF($F$37&gt;B180,0,$F$36 IF(B180&gt;$E$21,0,$F$36))</f>
        <v/>
      </c>
      <c r="M180" s="505" t="n"/>
      <c r="N180" s="680">
        <f>SUM(L180,K180,I180,E180)</f>
        <v/>
      </c>
      <c r="O180" s="505" t="n"/>
      <c r="P180" s="673">
        <f>+N180/$E$8*12</f>
        <v/>
      </c>
    </row>
    <row r="181" ht="12.6" customFormat="1" customHeight="1" s="299">
      <c r="B181" s="315">
        <f>IF(B180+1&lt;=$E$21,B180+1,IF(B180&gt;=$E$21,"",IF(B180="","")))</f>
        <v/>
      </c>
      <c r="C181" s="316">
        <f>IF(B181&gt;$E$21,"", DATE(YEAR(C180),MONTH(C180)+1,DAY(C180)))</f>
        <v/>
      </c>
      <c r="D181" s="679">
        <f>VLOOKUP(B181,$G$9:$I$29,3)</f>
        <v/>
      </c>
      <c r="E181" s="680">
        <f>D181*$E$8/12</f>
        <v/>
      </c>
      <c r="F181" s="681">
        <f>IF($C$17="Gross Rent",$B$17*(H181+E181),IF($C$17="Base Rent",$B$17*E181))</f>
        <v/>
      </c>
      <c r="G181" s="681">
        <f>IF($C$16="Base Rent",$B$16*E181,IF($C$16="Gross Rent",$B$16*(H181+E181)))</f>
        <v/>
      </c>
      <c r="H181" s="680">
        <f>IF(MONTH(C181)=MONTH($E$19),((H180*(1+$E$18))),H180)</f>
        <v/>
      </c>
      <c r="I181" s="680">
        <f>SUM(F181:H181)</f>
        <v/>
      </c>
      <c r="J181" s="505" t="n"/>
      <c r="K181" s="681">
        <f>IF($E$37&gt;B181,0,$E$36 IF(B181&gt;$E$21,0,$E$36))</f>
        <v/>
      </c>
      <c r="L181" s="685">
        <f>IF($F$37&gt;B181,0,$F$36 IF(B181&gt;$E$21,0,$F$36))</f>
        <v/>
      </c>
      <c r="M181" s="505" t="n"/>
      <c r="N181" s="680">
        <f>SUM(L181,K181,I181,E181)</f>
        <v/>
      </c>
      <c r="O181" s="505" t="n"/>
      <c r="P181" s="673">
        <f>+N181/$E$8*12</f>
        <v/>
      </c>
    </row>
    <row r="182" ht="12.6" customFormat="1" customHeight="1" s="299">
      <c r="B182" s="315">
        <f>IF(B181+1&lt;=$E$21,B181+1,IF(B181&gt;=$E$21,"",IF(B181="","")))</f>
        <v/>
      </c>
      <c r="C182" s="316">
        <f>IF(B182&gt;$E$21,"", DATE(YEAR(C181),MONTH(C181)+1,DAY(C181)))</f>
        <v/>
      </c>
      <c r="D182" s="679">
        <f>VLOOKUP(B182,$G$9:$I$29,3)</f>
        <v/>
      </c>
      <c r="E182" s="680">
        <f>D182*$E$8/12</f>
        <v/>
      </c>
      <c r="F182" s="681">
        <f>IF($C$17="Gross Rent",$B$17*(H182+E182),IF($C$17="Base Rent",$B$17*E182))</f>
        <v/>
      </c>
      <c r="G182" s="681">
        <f>IF($C$16="Base Rent",$B$16*E182,IF($C$16="Gross Rent",$B$16*(H182+E182)))</f>
        <v/>
      </c>
      <c r="H182" s="680">
        <f>IF(MONTH(C182)=MONTH($E$19),((H181*(1+$E$18))),H181)</f>
        <v/>
      </c>
      <c r="I182" s="680">
        <f>SUM(F182:H182)</f>
        <v/>
      </c>
      <c r="J182" s="505" t="n"/>
      <c r="K182" s="681">
        <f>IF($E$37&gt;B182,0,$E$36 IF(B182&gt;$E$21,0,$E$36))</f>
        <v/>
      </c>
      <c r="L182" s="685">
        <f>IF($F$37&gt;B182,0,$F$36 IF(B182&gt;$E$21,0,$F$36))</f>
        <v/>
      </c>
      <c r="M182" s="505" t="n"/>
      <c r="N182" s="680">
        <f>SUM(L182,K182,I182,E182)</f>
        <v/>
      </c>
      <c r="O182" s="505" t="n"/>
      <c r="P182" s="673">
        <f>+N182/$E$8*12</f>
        <v/>
      </c>
    </row>
    <row r="183" ht="12.6" customFormat="1" customHeight="1" s="299">
      <c r="B183" s="315">
        <f>IF(B182+1&lt;=$E$21,B182+1,IF(B182&gt;=$E$21,"",IF(B182="","")))</f>
        <v/>
      </c>
      <c r="C183" s="316">
        <f>IF(B183&gt;$E$21,"", DATE(YEAR(C182),MONTH(C182)+1,DAY(C182)))</f>
        <v/>
      </c>
      <c r="D183" s="679">
        <f>VLOOKUP(B183,$G$9:$I$29,3)</f>
        <v/>
      </c>
      <c r="E183" s="680">
        <f>D183*$E$8/12</f>
        <v/>
      </c>
      <c r="F183" s="681">
        <f>IF($C$17="Gross Rent",$B$17*(H183+E183),IF($C$17="Base Rent",$B$17*E183))</f>
        <v/>
      </c>
      <c r="G183" s="681">
        <f>IF($C$16="Base Rent",$B$16*E183,IF($C$16="Gross Rent",$B$16*(H183+E183)))</f>
        <v/>
      </c>
      <c r="H183" s="680">
        <f>IF(MONTH(C183)=MONTH($E$19),((H182*(1+$E$18))),H182)</f>
        <v/>
      </c>
      <c r="I183" s="680">
        <f>SUM(F183:H183)</f>
        <v/>
      </c>
      <c r="J183" s="505" t="n"/>
      <c r="K183" s="681">
        <f>IF($E$37&gt;B183,0,$E$36 IF(B183&gt;$E$21,0,$E$36))</f>
        <v/>
      </c>
      <c r="L183" s="685">
        <f>IF($F$37&gt;B183,0,$F$36 IF(B183&gt;$E$21,0,$F$36))</f>
        <v/>
      </c>
      <c r="M183" s="505" t="n"/>
      <c r="N183" s="680">
        <f>SUM(L183,K183,I183,E183)</f>
        <v/>
      </c>
      <c r="O183" s="505" t="n"/>
      <c r="P183" s="673">
        <f>+N183/$E$8*12</f>
        <v/>
      </c>
    </row>
    <row r="184" ht="12.6" customFormat="1" customHeight="1" s="299">
      <c r="B184" s="315">
        <f>IF(B183+1&lt;=$E$21,B183+1,IF(B183&gt;=$E$21,"",IF(B183="","")))</f>
        <v/>
      </c>
      <c r="C184" s="316">
        <f>IF(B184&gt;$E$21,"", DATE(YEAR(C183),MONTH(C183)+1,DAY(C183)))</f>
        <v/>
      </c>
      <c r="D184" s="679">
        <f>VLOOKUP(B184,$G$9:$I$29,3)</f>
        <v/>
      </c>
      <c r="E184" s="680">
        <f>D184*$E$8/12</f>
        <v/>
      </c>
      <c r="F184" s="681">
        <f>IF($C$17="Gross Rent",$B$17*(H184+E184),IF($C$17="Base Rent",$B$17*E184))</f>
        <v/>
      </c>
      <c r="G184" s="681">
        <f>IF($C$16="Base Rent",$B$16*E184,IF($C$16="Gross Rent",$B$16*(H184+E184)))</f>
        <v/>
      </c>
      <c r="H184" s="680">
        <f>IF(MONTH(C184)=MONTH($E$19),((H183*(1+$E$18))),H183)</f>
        <v/>
      </c>
      <c r="I184" s="680">
        <f>SUM(F184:H184)</f>
        <v/>
      </c>
      <c r="J184" s="505" t="n"/>
      <c r="K184" s="681">
        <f>IF($E$37&gt;B184,0,$E$36 IF(B184&gt;$E$21,0,$E$36))</f>
        <v/>
      </c>
      <c r="L184" s="685">
        <f>IF($F$37&gt;B184,0,$F$36 IF(B184&gt;$E$21,0,$F$36))</f>
        <v/>
      </c>
      <c r="M184" s="505" t="n"/>
      <c r="N184" s="680">
        <f>SUM(L184,K184,I184,E184)</f>
        <v/>
      </c>
      <c r="O184" s="505" t="n"/>
      <c r="P184" s="673">
        <f>+N184/$E$8*12</f>
        <v/>
      </c>
    </row>
    <row r="185" ht="12.6" customFormat="1" customHeight="1" s="299">
      <c r="B185" s="315">
        <f>IF(B184+1&lt;=$E$21,B184+1,IF(B184&gt;=$E$21,"",IF(B184="","")))</f>
        <v/>
      </c>
      <c r="C185" s="316">
        <f>IF(B185&gt;$E$21,"", DATE(YEAR(C184),MONTH(C184)+1,DAY(C184)))</f>
        <v/>
      </c>
      <c r="D185" s="679">
        <f>VLOOKUP(B185,$G$9:$I$29,3)</f>
        <v/>
      </c>
      <c r="E185" s="680">
        <f>D185*$E$8/12</f>
        <v/>
      </c>
      <c r="F185" s="681">
        <f>IF($C$17="Gross Rent",$B$17*(H185+E185),IF($C$17="Base Rent",$B$17*E185))</f>
        <v/>
      </c>
      <c r="G185" s="681">
        <f>IF($C$16="Base Rent",$B$16*E185,IF($C$16="Gross Rent",$B$16*(H185+E185)))</f>
        <v/>
      </c>
      <c r="H185" s="680">
        <f>IF(MONTH(C185)=MONTH($E$19),((H184*(1+$E$18))),H184)</f>
        <v/>
      </c>
      <c r="I185" s="680">
        <f>SUM(F185:H185)</f>
        <v/>
      </c>
      <c r="J185" s="505" t="n"/>
      <c r="K185" s="681">
        <f>IF($E$37&gt;B185,0,$E$36 IF(B185&gt;$E$21,0,$E$36))</f>
        <v/>
      </c>
      <c r="L185" s="685">
        <f>IF($F$37&gt;B185,0,$F$36 IF(B185&gt;$E$21,0,$F$36))</f>
        <v/>
      </c>
      <c r="M185" s="505" t="n"/>
      <c r="N185" s="680">
        <f>SUM(L185,K185,I185,E185)</f>
        <v/>
      </c>
      <c r="O185" s="505" t="n"/>
      <c r="P185" s="673">
        <f>+N185/$E$8*12</f>
        <v/>
      </c>
    </row>
    <row r="186" ht="12.6" customFormat="1" customHeight="1" s="299">
      <c r="B186" s="315">
        <f>IF(B185+1&lt;=$E$21,B185+1,IF(B185&gt;=$E$21,"",IF(B185="","")))</f>
        <v/>
      </c>
      <c r="C186" s="316">
        <f>IF(B186&gt;$E$21,"", DATE(YEAR(C185),MONTH(C185)+1,DAY(C185)))</f>
        <v/>
      </c>
      <c r="D186" s="679">
        <f>VLOOKUP(B186,$G$9:$I$29,3)</f>
        <v/>
      </c>
      <c r="E186" s="680">
        <f>D186*$E$8/12</f>
        <v/>
      </c>
      <c r="F186" s="681">
        <f>IF($C$17="Gross Rent",$B$17*(H186+E186),IF($C$17="Base Rent",$B$17*E186))</f>
        <v/>
      </c>
      <c r="G186" s="681">
        <f>IF($C$16="Base Rent",$B$16*E186,IF($C$16="Gross Rent",$B$16*(H186+E186)))</f>
        <v/>
      </c>
      <c r="H186" s="680">
        <f>IF(MONTH(C186)=MONTH($E$19),((H185*(1+$E$18))),H185)</f>
        <v/>
      </c>
      <c r="I186" s="680">
        <f>SUM(F186:H186)</f>
        <v/>
      </c>
      <c r="J186" s="505" t="n"/>
      <c r="K186" s="681">
        <f>IF($E$37&gt;B186,0,$E$36 IF(B186&gt;$E$21,0,$E$36))</f>
        <v/>
      </c>
      <c r="L186" s="685">
        <f>IF($F$37&gt;B186,0,$F$36 IF(B186&gt;$E$21,0,$F$36))</f>
        <v/>
      </c>
      <c r="M186" s="505" t="n"/>
      <c r="N186" s="680">
        <f>SUM(L186,K186,I186,E186)</f>
        <v/>
      </c>
      <c r="O186" s="505" t="n"/>
      <c r="P186" s="673">
        <f>+N186/$E$8*12</f>
        <v/>
      </c>
    </row>
    <row r="187" ht="12.6" customFormat="1" customHeight="1" s="299">
      <c r="B187" s="315">
        <f>IF(B186+1&lt;=$E$21,B186+1,IF(B186&gt;=$E$21,"",IF(B186="","")))</f>
        <v/>
      </c>
      <c r="C187" s="316">
        <f>IF(B187&gt;$E$21,"", DATE(YEAR(C186),MONTH(C186)+1,DAY(C186)))</f>
        <v/>
      </c>
      <c r="D187" s="679">
        <f>VLOOKUP(B187,$G$9:$I$29,3)</f>
        <v/>
      </c>
      <c r="E187" s="680">
        <f>D187*$E$8/12</f>
        <v/>
      </c>
      <c r="F187" s="681">
        <f>IF($C$17="Gross Rent",$B$17*(H187+E187),IF($C$17="Base Rent",$B$17*E187))</f>
        <v/>
      </c>
      <c r="G187" s="681">
        <f>IF($C$16="Base Rent",$B$16*E187,IF($C$16="Gross Rent",$B$16*(H187+E187)))</f>
        <v/>
      </c>
      <c r="H187" s="680">
        <f>IF(MONTH(C187)=MONTH($E$19),((H186*(1+$E$18))),H186)</f>
        <v/>
      </c>
      <c r="I187" s="680">
        <f>SUM(F187:H187)</f>
        <v/>
      </c>
      <c r="J187" s="505" t="n"/>
      <c r="K187" s="681">
        <f>IF($E$37&gt;B187,0,$E$36 IF(B187&gt;$E$21,0,$E$36))</f>
        <v/>
      </c>
      <c r="L187" s="685">
        <f>IF($F$37&gt;B187,0,$F$36 IF(B187&gt;$E$21,0,$F$36))</f>
        <v/>
      </c>
      <c r="M187" s="505" t="n"/>
      <c r="N187" s="680">
        <f>SUM(L187,K187,I187,E187)</f>
        <v/>
      </c>
      <c r="O187" s="505" t="n"/>
      <c r="P187" s="673">
        <f>+N187/$E$8*12</f>
        <v/>
      </c>
    </row>
    <row r="188" ht="12.6" customFormat="1" customHeight="1" s="299">
      <c r="B188" s="315">
        <f>IF(B187+1&lt;=$E$21,B187+1,IF(B187&gt;=$E$21,"",IF(B187="","")))</f>
        <v/>
      </c>
      <c r="C188" s="316">
        <f>IF(B188&gt;$E$21,"", DATE(YEAR(C187),MONTH(C187)+1,DAY(C187)))</f>
        <v/>
      </c>
      <c r="D188" s="679">
        <f>VLOOKUP(B188,$G$9:$I$29,3)</f>
        <v/>
      </c>
      <c r="E188" s="680">
        <f>D188*$E$8/12</f>
        <v/>
      </c>
      <c r="F188" s="681">
        <f>IF($C$17="Gross Rent",$B$17*(H188+E188),IF($C$17="Base Rent",$B$17*E188))</f>
        <v/>
      </c>
      <c r="G188" s="681">
        <f>IF($C$16="Base Rent",$B$16*E188,IF($C$16="Gross Rent",$B$16*(H188+E188)))</f>
        <v/>
      </c>
      <c r="H188" s="680">
        <f>IF(MONTH(C188)=MONTH($E$19),((H187*(1+$E$18))),H187)</f>
        <v/>
      </c>
      <c r="I188" s="680">
        <f>SUM(F188:H188)</f>
        <v/>
      </c>
      <c r="J188" s="505" t="n"/>
      <c r="K188" s="681">
        <f>IF($E$37&gt;B188,0,$E$36 IF(B188&gt;$E$21,0,$E$36))</f>
        <v/>
      </c>
      <c r="L188" s="685">
        <f>IF($F$37&gt;B188,0,$F$36 IF(B188&gt;$E$21,0,$F$36))</f>
        <v/>
      </c>
      <c r="M188" s="505" t="n"/>
      <c r="N188" s="680">
        <f>SUM(L188,K188,I188,E188)</f>
        <v/>
      </c>
      <c r="O188" s="505" t="n"/>
      <c r="P188" s="673">
        <f>+N188/$E$8*12</f>
        <v/>
      </c>
    </row>
    <row r="189" ht="12.6" customFormat="1" customHeight="1" s="299">
      <c r="B189" s="315">
        <f>IF(B188+1&lt;=$E$21,B188+1,IF(B188&gt;=$E$21,"",IF(B188="","")))</f>
        <v/>
      </c>
      <c r="C189" s="316">
        <f>IF(B189&gt;$E$21,"", DATE(YEAR(C188),MONTH(C188)+1,DAY(C188)))</f>
        <v/>
      </c>
      <c r="D189" s="679">
        <f>VLOOKUP(B189,$G$9:$I$29,3)</f>
        <v/>
      </c>
      <c r="E189" s="680">
        <f>D189*$E$8/12</f>
        <v/>
      </c>
      <c r="F189" s="681">
        <f>IF($C$17="Gross Rent",$B$17*(H189+E189),IF($C$17="Base Rent",$B$17*E189))</f>
        <v/>
      </c>
      <c r="G189" s="681">
        <f>IF($C$16="Base Rent",$B$16*E189,IF($C$16="Gross Rent",$B$16*(H189+E189)))</f>
        <v/>
      </c>
      <c r="H189" s="680">
        <f>IF(MONTH(C189)=MONTH($E$19),((H188*(1+$E$18))),H188)</f>
        <v/>
      </c>
      <c r="I189" s="680">
        <f>SUM(F189:H189)</f>
        <v/>
      </c>
      <c r="J189" s="505" t="n"/>
      <c r="K189" s="681">
        <f>IF($E$37&gt;B189,0,$E$36 IF(B189&gt;$E$21,0,$E$36))</f>
        <v/>
      </c>
      <c r="L189" s="685">
        <f>IF($F$37&gt;B189,0,$F$36 IF(B189&gt;$E$21,0,$F$36))</f>
        <v/>
      </c>
      <c r="M189" s="505" t="n"/>
      <c r="N189" s="680">
        <f>SUM(L189,K189,I189,E189)</f>
        <v/>
      </c>
      <c r="O189" s="505" t="n"/>
      <c r="P189" s="673">
        <f>+N189/$E$8*12</f>
        <v/>
      </c>
    </row>
    <row r="190" ht="12.6" customFormat="1" customHeight="1" s="299">
      <c r="B190" s="315">
        <f>IF(B189+1&lt;=$E$21,B189+1,IF(B189&gt;=$E$21,"",IF(B189="","")))</f>
        <v/>
      </c>
      <c r="C190" s="316">
        <f>IF(B190&gt;$E$21,"", DATE(YEAR(C189),MONTH(C189)+1,DAY(C189)))</f>
        <v/>
      </c>
      <c r="D190" s="679">
        <f>VLOOKUP(B190,$G$9:$I$29,3)</f>
        <v/>
      </c>
      <c r="E190" s="680">
        <f>D190*$E$8/12</f>
        <v/>
      </c>
      <c r="F190" s="681">
        <f>IF($C$17="Gross Rent",$B$17*(H190+E190),IF($C$17="Base Rent",$B$17*E190))</f>
        <v/>
      </c>
      <c r="G190" s="681">
        <f>IF($C$16="Base Rent",$B$16*E190,IF($C$16="Gross Rent",$B$16*(H190+E190)))</f>
        <v/>
      </c>
      <c r="H190" s="680">
        <f>IF(MONTH(C190)=MONTH($E$19),((H189*(1+$E$18))),H189)</f>
        <v/>
      </c>
      <c r="I190" s="680">
        <f>SUM(F190:H190)</f>
        <v/>
      </c>
      <c r="J190" s="505" t="n"/>
      <c r="K190" s="681">
        <f>IF($E$37&gt;B190,0,$E$36 IF(B190&gt;$E$21,0,$E$36))</f>
        <v/>
      </c>
      <c r="L190" s="685">
        <f>IF($F$37&gt;B190,0,$F$36 IF(B190&gt;$E$21,0,$F$36))</f>
        <v/>
      </c>
      <c r="M190" s="505" t="n"/>
      <c r="N190" s="680">
        <f>SUM(L190,K190,I190,E190)</f>
        <v/>
      </c>
      <c r="O190" s="505" t="n"/>
      <c r="P190" s="673">
        <f>+N190/$E$8*12</f>
        <v/>
      </c>
    </row>
    <row r="191" ht="12.6" customFormat="1" customHeight="1" s="299">
      <c r="B191" s="315">
        <f>IF(B190+1&lt;=$E$21,B190+1,IF(B190&gt;=$E$21,"",IF(B190="","")))</f>
        <v/>
      </c>
      <c r="C191" s="316">
        <f>IF(B191&gt;$E$21,"", DATE(YEAR(C190),MONTH(C190)+1,DAY(C190)))</f>
        <v/>
      </c>
      <c r="D191" s="679">
        <f>VLOOKUP(B191,$G$9:$I$29,3)</f>
        <v/>
      </c>
      <c r="E191" s="680">
        <f>D191*$E$8/12</f>
        <v/>
      </c>
      <c r="F191" s="681">
        <f>IF($C$17="Gross Rent",$B$17*(H191+E191),IF($C$17="Base Rent",$B$17*E191))</f>
        <v/>
      </c>
      <c r="G191" s="681">
        <f>IF($C$16="Base Rent",$B$16*E191,IF($C$16="Gross Rent",$B$16*(H191+E191)))</f>
        <v/>
      </c>
      <c r="H191" s="680">
        <f>IF(MONTH(C191)=MONTH($E$19),((H190*(1+$E$18))),H190)</f>
        <v/>
      </c>
      <c r="I191" s="680">
        <f>SUM(F191:H191)</f>
        <v/>
      </c>
      <c r="J191" s="505" t="n"/>
      <c r="K191" s="681">
        <f>IF($E$37&gt;B191,0,$E$36 IF(B191&gt;$E$21,0,$E$36))</f>
        <v/>
      </c>
      <c r="L191" s="685">
        <f>IF($F$37&gt;B191,0,$F$36 IF(B191&gt;$E$21,0,$F$36))</f>
        <v/>
      </c>
      <c r="M191" s="505" t="n"/>
      <c r="N191" s="680">
        <f>SUM(L191,K191,I191,E191)</f>
        <v/>
      </c>
      <c r="O191" s="505" t="n"/>
      <c r="P191" s="673">
        <f>+N191/$E$8*12</f>
        <v/>
      </c>
    </row>
    <row r="192" ht="12.6" customFormat="1" customHeight="1" s="299">
      <c r="B192" s="315">
        <f>IF(B191+1&lt;=$E$21,B191+1,IF(B191&gt;=$E$21,"",IF(B191="","")))</f>
        <v/>
      </c>
      <c r="C192" s="316">
        <f>IF(B192&gt;$E$21,"", DATE(YEAR(C191),MONTH(C191)+1,DAY(C191)))</f>
        <v/>
      </c>
      <c r="D192" s="679">
        <f>VLOOKUP(B192,$G$9:$I$29,3)</f>
        <v/>
      </c>
      <c r="E192" s="680">
        <f>D192*$E$8/12</f>
        <v/>
      </c>
      <c r="F192" s="681">
        <f>IF($C$17="Gross Rent",$B$17*(H192+E192),IF($C$17="Base Rent",$B$17*E192))</f>
        <v/>
      </c>
      <c r="G192" s="681">
        <f>IF($C$16="Base Rent",$B$16*E192,IF($C$16="Gross Rent",$B$16*(H192+E192)))</f>
        <v/>
      </c>
      <c r="H192" s="680">
        <f>IF(MONTH(C192)=MONTH($E$19),((H191*(1+$E$18))),H191)</f>
        <v/>
      </c>
      <c r="I192" s="680">
        <f>SUM(F192:H192)</f>
        <v/>
      </c>
      <c r="J192" s="505" t="n"/>
      <c r="K192" s="681">
        <f>IF($E$37&gt;B192,0,$E$36 IF(B192&gt;$E$21,0,$E$36))</f>
        <v/>
      </c>
      <c r="L192" s="685">
        <f>IF($F$37&gt;B192,0,$F$36 IF(B192&gt;$E$21,0,$F$36))</f>
        <v/>
      </c>
      <c r="M192" s="505" t="n"/>
      <c r="N192" s="680">
        <f>SUM(L192,K192,I192,E192)</f>
        <v/>
      </c>
      <c r="O192" s="505" t="n"/>
      <c r="P192" s="673">
        <f>+N192/$E$8*12</f>
        <v/>
      </c>
    </row>
    <row r="193" ht="12.6" customFormat="1" customHeight="1" s="299">
      <c r="B193" s="315">
        <f>IF(B192+1&lt;=$E$21,B192+1,IF(B192&gt;=$E$21,"",IF(B192="","")))</f>
        <v/>
      </c>
      <c r="C193" s="316">
        <f>IF(B193&gt;$E$21,"", DATE(YEAR(C192),MONTH(C192)+1,DAY(C192)))</f>
        <v/>
      </c>
      <c r="D193" s="679">
        <f>VLOOKUP(B193,$G$9:$I$29,3)</f>
        <v/>
      </c>
      <c r="E193" s="680">
        <f>D193*$E$8/12</f>
        <v/>
      </c>
      <c r="F193" s="681">
        <f>IF($C$17="Gross Rent",$B$17*(H193+E193),IF($C$17="Base Rent",$B$17*E193))</f>
        <v/>
      </c>
      <c r="G193" s="681">
        <f>IF($C$16="Base Rent",$B$16*E193,IF($C$16="Gross Rent",$B$16*(H193+E193)))</f>
        <v/>
      </c>
      <c r="H193" s="680">
        <f>IF(MONTH(C193)=MONTH($E$19),((H192*(1+$E$18))),H192)</f>
        <v/>
      </c>
      <c r="I193" s="680">
        <f>SUM(F193:H193)</f>
        <v/>
      </c>
      <c r="J193" s="505" t="n"/>
      <c r="K193" s="681">
        <f>IF($E$37&gt;B193,0,$E$36 IF(B193&gt;$E$21,0,$E$36))</f>
        <v/>
      </c>
      <c r="L193" s="685">
        <f>IF($F$37&gt;B193,0,$F$36 IF(B193&gt;$E$21,0,$F$36))</f>
        <v/>
      </c>
      <c r="M193" s="505" t="n"/>
      <c r="N193" s="680">
        <f>SUM(L193,K193,I193,E193)</f>
        <v/>
      </c>
      <c r="O193" s="505" t="n"/>
      <c r="P193" s="673">
        <f>+N193/$E$8*12</f>
        <v/>
      </c>
    </row>
    <row r="194" ht="12.6" customFormat="1" customHeight="1" s="299">
      <c r="B194" s="315">
        <f>IF(B193+1&lt;=$E$21,B193+1,IF(B193&gt;=$E$21,"",IF(B193="","")))</f>
        <v/>
      </c>
      <c r="C194" s="316">
        <f>IF(B194&gt;$E$21,"", DATE(YEAR(C193),MONTH(C193)+1,DAY(C193)))</f>
        <v/>
      </c>
      <c r="D194" s="679">
        <f>VLOOKUP(B194,$G$9:$I$29,3)</f>
        <v/>
      </c>
      <c r="E194" s="680">
        <f>D194*$E$8/12</f>
        <v/>
      </c>
      <c r="F194" s="681">
        <f>IF($C$17="Gross Rent",$B$17*(H194+E194),IF($C$17="Base Rent",$B$17*E194))</f>
        <v/>
      </c>
      <c r="G194" s="681">
        <f>IF($C$16="Base Rent",$B$16*E194,IF($C$16="Gross Rent",$B$16*(H194+E194)))</f>
        <v/>
      </c>
      <c r="H194" s="680">
        <f>IF(MONTH(C194)=MONTH($E$19),((H193*(1+$E$18))),H193)</f>
        <v/>
      </c>
      <c r="I194" s="680">
        <f>SUM(F194:H194)</f>
        <v/>
      </c>
      <c r="J194" s="505" t="n"/>
      <c r="K194" s="681">
        <f>IF($E$37&gt;B194,0,$E$36 IF(B194&gt;$E$21,0,$E$36))</f>
        <v/>
      </c>
      <c r="L194" s="685">
        <f>IF($F$37&gt;B194,0,$F$36 IF(B194&gt;$E$21,0,$F$36))</f>
        <v/>
      </c>
      <c r="M194" s="505" t="n"/>
      <c r="N194" s="680">
        <f>SUM(L194,K194,I194,E194)</f>
        <v/>
      </c>
      <c r="O194" s="505" t="n"/>
      <c r="P194" s="673">
        <f>+N194/$E$8*12</f>
        <v/>
      </c>
    </row>
    <row r="195" ht="12.6" customFormat="1" customHeight="1" s="299">
      <c r="B195" s="315">
        <f>IF(B194+1&lt;=$E$21,B194+1,IF(B194&gt;=$E$21,"",IF(B194="","")))</f>
        <v/>
      </c>
      <c r="C195" s="316">
        <f>IF(B195&gt;$E$21,"", DATE(YEAR(C194),MONTH(C194)+1,DAY(C194)))</f>
        <v/>
      </c>
      <c r="D195" s="679">
        <f>VLOOKUP(B195,$G$9:$I$29,3)</f>
        <v/>
      </c>
      <c r="E195" s="680">
        <f>D195*$E$8/12</f>
        <v/>
      </c>
      <c r="F195" s="681">
        <f>IF($C$17="Gross Rent",$B$17*(H195+E195),IF($C$17="Base Rent",$B$17*E195))</f>
        <v/>
      </c>
      <c r="G195" s="681">
        <f>IF($C$16="Base Rent",$B$16*E195,IF($C$16="Gross Rent",$B$16*(H195+E195)))</f>
        <v/>
      </c>
      <c r="H195" s="680">
        <f>IF(MONTH(C195)=MONTH($E$19),((H194*(1+$E$18))),H194)</f>
        <v/>
      </c>
      <c r="I195" s="680">
        <f>SUM(F195:H195)</f>
        <v/>
      </c>
      <c r="J195" s="505" t="n"/>
      <c r="K195" s="681">
        <f>IF($E$37&gt;B195,0,$E$36 IF(B195&gt;$E$21,0,$E$36))</f>
        <v/>
      </c>
      <c r="L195" s="685">
        <f>IF($F$37&gt;B195,0,$F$36 IF(B195&gt;$E$21,0,$F$36))</f>
        <v/>
      </c>
      <c r="M195" s="505" t="n"/>
      <c r="N195" s="680">
        <f>SUM(L195,K195,I195,E195)</f>
        <v/>
      </c>
      <c r="O195" s="505" t="n"/>
      <c r="P195" s="673">
        <f>+N195/$E$8*12</f>
        <v/>
      </c>
    </row>
    <row r="196" ht="12.6" customFormat="1" customHeight="1" s="299">
      <c r="B196" s="315">
        <f>IF(B195+1&lt;=$E$21,B195+1,IF(B195&gt;=$E$21,"",IF(B195="","")))</f>
        <v/>
      </c>
      <c r="C196" s="316">
        <f>IF(B196&gt;$E$21,"", DATE(YEAR(C195),MONTH(C195)+1,DAY(C195)))</f>
        <v/>
      </c>
      <c r="D196" s="679">
        <f>VLOOKUP(B196,$G$9:$I$29,3)</f>
        <v/>
      </c>
      <c r="E196" s="680">
        <f>D196*$E$8/12</f>
        <v/>
      </c>
      <c r="F196" s="681">
        <f>IF($C$17="Gross Rent",$B$17*(H196+E196),IF($C$17="Base Rent",$B$17*E196))</f>
        <v/>
      </c>
      <c r="G196" s="681">
        <f>IF($C$16="Base Rent",$B$16*E196,IF($C$16="Gross Rent",$B$16*(H196+E196)))</f>
        <v/>
      </c>
      <c r="H196" s="680">
        <f>IF(MONTH(C196)=MONTH($E$19),((H195*(1+$E$18))),H195)</f>
        <v/>
      </c>
      <c r="I196" s="680">
        <f>SUM(F196:H196)</f>
        <v/>
      </c>
      <c r="J196" s="505" t="n"/>
      <c r="K196" s="681">
        <f>IF($E$37&gt;B196,0,$E$36 IF(B196&gt;$E$21,0,$E$36))</f>
        <v/>
      </c>
      <c r="L196" s="685">
        <f>IF($F$37&gt;B196,0,$F$36 IF(B196&gt;$E$21,0,$F$36))</f>
        <v/>
      </c>
      <c r="M196" s="505" t="n"/>
      <c r="N196" s="680">
        <f>SUM(L196,K196,I196,E196)</f>
        <v/>
      </c>
      <c r="O196" s="505" t="n"/>
      <c r="P196" s="673">
        <f>+N196/$E$8*12</f>
        <v/>
      </c>
    </row>
    <row r="197" ht="12.6" customFormat="1" customHeight="1" s="299">
      <c r="B197" s="315">
        <f>IF(B196+1&lt;=$E$21,B196+1,IF(B196&gt;=$E$21,"",IF(B196="","")))</f>
        <v/>
      </c>
      <c r="C197" s="316">
        <f>IF(B197&gt;$E$21,"", DATE(YEAR(C196),MONTH(C196)+1,DAY(C196)))</f>
        <v/>
      </c>
      <c r="D197" s="679">
        <f>VLOOKUP(B197,$G$9:$I$29,3)</f>
        <v/>
      </c>
      <c r="E197" s="680">
        <f>D197*$E$8/12</f>
        <v/>
      </c>
      <c r="F197" s="681">
        <f>IF($C$17="Gross Rent",$B$17*(H197+E197),IF($C$17="Base Rent",$B$17*E197))</f>
        <v/>
      </c>
      <c r="G197" s="681">
        <f>IF($C$16="Base Rent",$B$16*E197,IF($C$16="Gross Rent",$B$16*(H197+E197)))</f>
        <v/>
      </c>
      <c r="H197" s="680">
        <f>IF(MONTH(C197)=MONTH($E$19),((H196*(1+$E$18))),H196)</f>
        <v/>
      </c>
      <c r="I197" s="680">
        <f>SUM(F197:H197)</f>
        <v/>
      </c>
      <c r="J197" s="505" t="n"/>
      <c r="K197" s="681">
        <f>IF($E$37&gt;B197,0,$E$36 IF(B197&gt;$E$21,0,$E$36))</f>
        <v/>
      </c>
      <c r="L197" s="685">
        <f>IF($F$37&gt;B197,0,$F$36 IF(B197&gt;$E$21,0,$F$36))</f>
        <v/>
      </c>
      <c r="M197" s="505" t="n"/>
      <c r="N197" s="680">
        <f>SUM(L197,K197,I197,E197)</f>
        <v/>
      </c>
      <c r="O197" s="505" t="n"/>
      <c r="P197" s="673">
        <f>+N197/$E$8*12</f>
        <v/>
      </c>
    </row>
    <row r="198" ht="12.6" customFormat="1" customHeight="1" s="299">
      <c r="B198" s="315">
        <f>IF(B197+1&lt;=$E$21,B197+1,IF(B197&gt;=$E$21,"",IF(B197="","")))</f>
        <v/>
      </c>
      <c r="C198" s="316">
        <f>IF(B198&gt;$E$21,"", DATE(YEAR(C197),MONTH(C197)+1,DAY(C197)))</f>
        <v/>
      </c>
      <c r="D198" s="679">
        <f>VLOOKUP(B198,$G$9:$I$29,3)</f>
        <v/>
      </c>
      <c r="E198" s="680">
        <f>D198*$E$8/12</f>
        <v/>
      </c>
      <c r="F198" s="681">
        <f>IF($C$17="Gross Rent",$B$17*(H198+E198),IF($C$17="Base Rent",$B$17*E198))</f>
        <v/>
      </c>
      <c r="G198" s="681">
        <f>IF($C$16="Base Rent",$B$16*E198,IF($C$16="Gross Rent",$B$16*(H198+E198)))</f>
        <v/>
      </c>
      <c r="H198" s="680">
        <f>IF(MONTH(C198)=MONTH($E$19),((H197*(1+$E$18))),H197)</f>
        <v/>
      </c>
      <c r="I198" s="680">
        <f>SUM(F198:H198)</f>
        <v/>
      </c>
      <c r="J198" s="505" t="n"/>
      <c r="K198" s="681">
        <f>IF($E$37&gt;B198,0,$E$36 IF(B198&gt;$E$21,0,$E$36))</f>
        <v/>
      </c>
      <c r="L198" s="685">
        <f>IF($F$37&gt;B198,0,$F$36 IF(B198&gt;$E$21,0,$F$36))</f>
        <v/>
      </c>
      <c r="M198" s="505" t="n"/>
      <c r="N198" s="680">
        <f>SUM(L198,K198,I198,E198)</f>
        <v/>
      </c>
      <c r="O198" s="505" t="n"/>
      <c r="P198" s="673">
        <f>+N198/$E$8*12</f>
        <v/>
      </c>
    </row>
    <row r="199" ht="12.6" customFormat="1" customHeight="1" s="299">
      <c r="B199" s="315">
        <f>IF(B198+1&lt;=$E$21,B198+1,IF(B198&gt;=$E$21,"",IF(B198="","")))</f>
        <v/>
      </c>
      <c r="C199" s="316">
        <f>IF(B199&gt;$E$21,"", DATE(YEAR(C198),MONTH(C198)+1,DAY(C198)))</f>
        <v/>
      </c>
      <c r="D199" s="679">
        <f>VLOOKUP(B199,$G$9:$I$29,3)</f>
        <v/>
      </c>
      <c r="E199" s="680">
        <f>D199*$E$8/12</f>
        <v/>
      </c>
      <c r="F199" s="681">
        <f>IF($C$17="Gross Rent",$B$17*(H199+E199),IF($C$17="Base Rent",$B$17*E199))</f>
        <v/>
      </c>
      <c r="G199" s="681">
        <f>IF($C$16="Base Rent",$B$16*E199,IF($C$16="Gross Rent",$B$16*(H199+E199)))</f>
        <v/>
      </c>
      <c r="H199" s="680">
        <f>IF(MONTH(C199)=MONTH($E$19),((H198*(1+$E$18))),H198)</f>
        <v/>
      </c>
      <c r="I199" s="680">
        <f>SUM(F199:H199)</f>
        <v/>
      </c>
      <c r="J199" s="505" t="n"/>
      <c r="K199" s="681">
        <f>IF($E$37&gt;B199,0,$E$36 IF(B199&gt;$E$21,0,$E$36))</f>
        <v/>
      </c>
      <c r="L199" s="685">
        <f>IF($F$37&gt;B199,0,$F$36 IF(B199&gt;$E$21,0,$F$36))</f>
        <v/>
      </c>
      <c r="M199" s="505" t="n"/>
      <c r="N199" s="680">
        <f>SUM(L199,K199,I199,E199)</f>
        <v/>
      </c>
      <c r="O199" s="505" t="n"/>
      <c r="P199" s="673">
        <f>+N199/$E$8*12</f>
        <v/>
      </c>
    </row>
    <row r="200" ht="12.6" customFormat="1" customHeight="1" s="299">
      <c r="B200" s="315">
        <f>IF(B199+1&lt;=$E$21,B199+1,IF(B199&gt;=$E$21,"",IF(B199="","")))</f>
        <v/>
      </c>
      <c r="C200" s="316">
        <f>IF(B200&gt;$E$21,"", DATE(YEAR(C199),MONTH(C199)+1,DAY(C199)))</f>
        <v/>
      </c>
      <c r="D200" s="679">
        <f>VLOOKUP(B200,$G$9:$I$29,3)</f>
        <v/>
      </c>
      <c r="E200" s="680">
        <f>D200*$E$8/12</f>
        <v/>
      </c>
      <c r="F200" s="681">
        <f>IF($C$17="Gross Rent",$B$17*(H200+E200),IF($C$17="Base Rent",$B$17*E200))</f>
        <v/>
      </c>
      <c r="G200" s="681">
        <f>IF($C$16="Base Rent",$B$16*E200,IF($C$16="Gross Rent",$B$16*(H200+E200)))</f>
        <v/>
      </c>
      <c r="H200" s="680">
        <f>IF(MONTH(C200)=MONTH($E$19),((H199*(1+$E$18))),H199)</f>
        <v/>
      </c>
      <c r="I200" s="680">
        <f>SUM(F200:H200)</f>
        <v/>
      </c>
      <c r="J200" s="505" t="n"/>
      <c r="K200" s="681">
        <f>IF($E$37&gt;B200,0,$E$36 IF(B200&gt;$E$21,0,$E$36))</f>
        <v/>
      </c>
      <c r="L200" s="685">
        <f>IF($F$37&gt;B200,0,$F$36 IF(B200&gt;$E$21,0,$F$36))</f>
        <v/>
      </c>
      <c r="M200" s="505" t="n"/>
      <c r="N200" s="680">
        <f>SUM(L200,K200,I200,E200)</f>
        <v/>
      </c>
      <c r="O200" s="505" t="n"/>
      <c r="P200" s="673">
        <f>+N200/$E$8*12</f>
        <v/>
      </c>
    </row>
    <row r="201" ht="12.6" customFormat="1" customHeight="1" s="299">
      <c r="B201" s="315">
        <f>IF(B200+1&lt;=$E$21,B200+1,IF(B200&gt;=$E$21,"",IF(B200="","")))</f>
        <v/>
      </c>
      <c r="C201" s="316">
        <f>IF(B201&gt;$E$21,"", DATE(YEAR(C200),MONTH(C200)+1,DAY(C200)))</f>
        <v/>
      </c>
      <c r="D201" s="679">
        <f>VLOOKUP(B201,$G$9:$I$29,3)</f>
        <v/>
      </c>
      <c r="E201" s="680">
        <f>D201*$E$8/12</f>
        <v/>
      </c>
      <c r="F201" s="681">
        <f>IF($C$17="Gross Rent",$B$17*(H201+E201),IF($C$17="Base Rent",$B$17*E201))</f>
        <v/>
      </c>
      <c r="G201" s="681">
        <f>IF($C$16="Base Rent",$B$16*E201,IF($C$16="Gross Rent",$B$16*(H201+E201)))</f>
        <v/>
      </c>
      <c r="H201" s="680">
        <f>IF(MONTH(C201)=MONTH($E$19),((H200*(1+$E$18))),H200)</f>
        <v/>
      </c>
      <c r="I201" s="680">
        <f>SUM(F201:H201)</f>
        <v/>
      </c>
      <c r="J201" s="505" t="n"/>
      <c r="K201" s="681">
        <f>IF($E$37&gt;B201,0,$E$36 IF(B201&gt;$E$21,0,$E$36))</f>
        <v/>
      </c>
      <c r="L201" s="685">
        <f>IF($F$37&gt;B201,0,$F$36 IF(B201&gt;$E$21,0,$F$36))</f>
        <v/>
      </c>
      <c r="M201" s="505" t="n"/>
      <c r="N201" s="680">
        <f>SUM(L201,K201,I201,E201)</f>
        <v/>
      </c>
      <c r="O201" s="505" t="n"/>
      <c r="P201" s="673">
        <f>+N201/$E$8*12</f>
        <v/>
      </c>
    </row>
    <row r="202" ht="12.6" customFormat="1" customHeight="1" s="299">
      <c r="B202" s="315">
        <f>IF(B201+1&lt;=$E$21,B201+1,IF(B201&gt;=$E$21,"",IF(B201="","")))</f>
        <v/>
      </c>
      <c r="C202" s="316">
        <f>IF(B202&gt;$E$21,"", DATE(YEAR(C201),MONTH(C201)+1,DAY(C201)))</f>
        <v/>
      </c>
      <c r="D202" s="679">
        <f>VLOOKUP(B202,$G$9:$I$29,3)</f>
        <v/>
      </c>
      <c r="E202" s="680">
        <f>D202*$E$8/12</f>
        <v/>
      </c>
      <c r="F202" s="681">
        <f>IF($C$17="Gross Rent",$B$17*(H202+E202),IF($C$17="Base Rent",$B$17*E202))</f>
        <v/>
      </c>
      <c r="G202" s="681">
        <f>IF($C$16="Base Rent",$B$16*E202,IF($C$16="Gross Rent",$B$16*(H202+E202)))</f>
        <v/>
      </c>
      <c r="H202" s="680">
        <f>IF(MONTH(C202)=MONTH($E$19),((H201*(1+$E$18))),H201)</f>
        <v/>
      </c>
      <c r="I202" s="680">
        <f>SUM(F202:H202)</f>
        <v/>
      </c>
      <c r="J202" s="505" t="n"/>
      <c r="K202" s="681">
        <f>IF($E$37&gt;B202,0,$E$36 IF(B202&gt;$E$21,0,$E$36))</f>
        <v/>
      </c>
      <c r="L202" s="685">
        <f>IF($F$37&gt;B202,0,$F$36 IF(B202&gt;$E$21,0,$F$36))</f>
        <v/>
      </c>
      <c r="M202" s="505" t="n"/>
      <c r="N202" s="680">
        <f>SUM(L202,K202,I202,E202)</f>
        <v/>
      </c>
      <c r="O202" s="505" t="n"/>
      <c r="P202" s="673">
        <f>+N202/$E$8*12</f>
        <v/>
      </c>
    </row>
    <row r="203" ht="12.6" customFormat="1" customHeight="1" s="299">
      <c r="B203" s="315">
        <f>IF(B202+1&lt;=$E$21,B202+1,IF(B202&gt;=$E$21,"",IF(B202="","")))</f>
        <v/>
      </c>
      <c r="C203" s="316">
        <f>IF(B203&gt;$E$21,"", DATE(YEAR(C202),MONTH(C202)+1,DAY(C202)))</f>
        <v/>
      </c>
      <c r="D203" s="679">
        <f>VLOOKUP(B203,$G$9:$I$29,3)</f>
        <v/>
      </c>
      <c r="E203" s="680">
        <f>D203*$E$8/12</f>
        <v/>
      </c>
      <c r="F203" s="681">
        <f>IF($C$17="Gross Rent",$B$17*(H203+E203),IF($C$17="Base Rent",$B$17*E203))</f>
        <v/>
      </c>
      <c r="G203" s="681">
        <f>IF($C$16="Base Rent",$B$16*E203,IF($C$16="Gross Rent",$B$16*(H203+E203)))</f>
        <v/>
      </c>
      <c r="H203" s="680">
        <f>IF(MONTH(C203)=MONTH($E$19),((H202*(1+$E$18))),H202)</f>
        <v/>
      </c>
      <c r="I203" s="680">
        <f>SUM(F203:H203)</f>
        <v/>
      </c>
      <c r="J203" s="505" t="n"/>
      <c r="K203" s="681">
        <f>IF($E$37&gt;B203,0,$E$36 IF(B203&gt;$E$21,0,$E$36))</f>
        <v/>
      </c>
      <c r="L203" s="685">
        <f>IF($F$37&gt;B203,0,$F$36 IF(B203&gt;$E$21,0,$F$36))</f>
        <v/>
      </c>
      <c r="M203" s="505" t="n"/>
      <c r="N203" s="680">
        <f>SUM(L203,K203,I203,E203)</f>
        <v/>
      </c>
      <c r="O203" s="505" t="n"/>
      <c r="P203" s="673">
        <f>+N203/$E$8*12</f>
        <v/>
      </c>
    </row>
    <row r="204" ht="12.6" customFormat="1" customHeight="1" s="299">
      <c r="B204" s="315">
        <f>IF(B203+1&lt;=$E$21,B203+1,IF(B203&gt;=$E$21,"",IF(B203="","")))</f>
        <v/>
      </c>
      <c r="C204" s="316">
        <f>IF(B204&gt;$E$21,"", DATE(YEAR(C203),MONTH(C203)+1,DAY(C203)))</f>
        <v/>
      </c>
      <c r="D204" s="679">
        <f>VLOOKUP(B204,$G$9:$I$29,3)</f>
        <v/>
      </c>
      <c r="E204" s="680">
        <f>D204*$E$8/12</f>
        <v/>
      </c>
      <c r="F204" s="681">
        <f>IF($C$17="Gross Rent",$B$17*(H204+E204),IF($C$17="Base Rent",$B$17*E204))</f>
        <v/>
      </c>
      <c r="G204" s="681">
        <f>IF($C$16="Base Rent",$B$16*E204,IF($C$16="Gross Rent",$B$16*(H204+E204)))</f>
        <v/>
      </c>
      <c r="H204" s="680">
        <f>IF(MONTH(C204)=MONTH($E$19),((H203*(1+$E$18))),H203)</f>
        <v/>
      </c>
      <c r="I204" s="680">
        <f>SUM(F204:H204)</f>
        <v/>
      </c>
      <c r="J204" s="505" t="n"/>
      <c r="K204" s="681">
        <f>IF($E$37&gt;B204,0,$E$36 IF(B204&gt;$E$21,0,$E$36))</f>
        <v/>
      </c>
      <c r="L204" s="685">
        <f>IF($F$37&gt;B204,0,$F$36 IF(B204&gt;$E$21,0,$F$36))</f>
        <v/>
      </c>
      <c r="M204" s="505" t="n"/>
      <c r="N204" s="680">
        <f>SUM(L204,K204,I204,E204)</f>
        <v/>
      </c>
      <c r="O204" s="505" t="n"/>
      <c r="P204" s="673">
        <f>+N204/$E$8*12</f>
        <v/>
      </c>
    </row>
    <row r="205" ht="12.6" customFormat="1" customHeight="1" s="299">
      <c r="B205" s="315">
        <f>IF(B204+1&lt;=$E$21,B204+1,IF(B204&gt;=$E$21,"",IF(B204="","")))</f>
        <v/>
      </c>
      <c r="C205" s="316">
        <f>IF(B205&gt;$E$21,"", DATE(YEAR(C204),MONTH(C204)+1,DAY(C204)))</f>
        <v/>
      </c>
      <c r="D205" s="679">
        <f>VLOOKUP(B205,$G$9:$I$29,3)</f>
        <v/>
      </c>
      <c r="E205" s="680">
        <f>D205*$E$8/12</f>
        <v/>
      </c>
      <c r="F205" s="681">
        <f>IF($C$17="Gross Rent",$B$17*(H205+E205),IF($C$17="Base Rent",$B$17*E205))</f>
        <v/>
      </c>
      <c r="G205" s="681">
        <f>IF($C$16="Base Rent",$B$16*E205,IF($C$16="Gross Rent",$B$16*(H205+E205)))</f>
        <v/>
      </c>
      <c r="H205" s="680">
        <f>IF(MONTH(C205)=MONTH($E$19),((H204*(1+$E$18))),H204)</f>
        <v/>
      </c>
      <c r="I205" s="680">
        <f>SUM(F205:H205)</f>
        <v/>
      </c>
      <c r="J205" s="505" t="n"/>
      <c r="K205" s="681">
        <f>IF($E$37&gt;B205,0,$E$36 IF(B205&gt;$E$21,0,$E$36))</f>
        <v/>
      </c>
      <c r="L205" s="685">
        <f>IF($F$37&gt;B205,0,$F$36 IF(B205&gt;$E$21,0,$F$36))</f>
        <v/>
      </c>
      <c r="M205" s="505" t="n"/>
      <c r="N205" s="680">
        <f>SUM(L205,K205,I205,E205)</f>
        <v/>
      </c>
      <c r="O205" s="505" t="n"/>
      <c r="P205" s="673">
        <f>+N205/$E$8*12</f>
        <v/>
      </c>
    </row>
    <row r="206" ht="12.6" customFormat="1" customHeight="1" s="299">
      <c r="B206" s="315">
        <f>IF(B205+1&lt;=$E$21,B205+1,IF(B205&gt;=$E$21,"",IF(B205="","")))</f>
        <v/>
      </c>
      <c r="C206" s="316">
        <f>IF(B206&gt;$E$21,"", DATE(YEAR(C205),MONTH(C205)+1,DAY(C205)))</f>
        <v/>
      </c>
      <c r="D206" s="679">
        <f>VLOOKUP(B206,$G$9:$I$29,3)</f>
        <v/>
      </c>
      <c r="E206" s="680">
        <f>D206*$E$8/12</f>
        <v/>
      </c>
      <c r="F206" s="681">
        <f>IF($C$17="Gross Rent",$B$17*(H206+E206),IF($C$17="Base Rent",$B$17*E206))</f>
        <v/>
      </c>
      <c r="G206" s="681">
        <f>IF($C$16="Base Rent",$B$16*E206,IF($C$16="Gross Rent",$B$16*(H206+E206)))</f>
        <v/>
      </c>
      <c r="H206" s="680">
        <f>IF(MONTH(C206)=MONTH($E$19),((H205*(1+$E$18))),H205)</f>
        <v/>
      </c>
      <c r="I206" s="680">
        <f>SUM(F206:H206)</f>
        <v/>
      </c>
      <c r="J206" s="505" t="n"/>
      <c r="K206" s="681">
        <f>IF($E$37&gt;B206,0,$E$36 IF(B206&gt;$E$21,0,$E$36))</f>
        <v/>
      </c>
      <c r="L206" s="685">
        <f>IF($F$37&gt;B206,0,$F$36 IF(B206&gt;$E$21,0,$F$36))</f>
        <v/>
      </c>
      <c r="M206" s="505" t="n"/>
      <c r="N206" s="680">
        <f>SUM(L206,K206,I206,E206)</f>
        <v/>
      </c>
      <c r="O206" s="505" t="n"/>
      <c r="P206" s="673">
        <f>+N206/$E$8*12</f>
        <v/>
      </c>
    </row>
    <row r="207" ht="12.6" customFormat="1" customHeight="1" s="299">
      <c r="B207" s="315">
        <f>IF(B206+1&lt;=$E$21,B206+1,IF(B206&gt;=$E$21,"",IF(B206="","")))</f>
        <v/>
      </c>
      <c r="C207" s="316">
        <f>IF(B207&gt;$E$21,"", DATE(YEAR(C206),MONTH(C206)+1,DAY(C206)))</f>
        <v/>
      </c>
      <c r="D207" s="679">
        <f>VLOOKUP(B207,$G$9:$I$29,3)</f>
        <v/>
      </c>
      <c r="E207" s="680">
        <f>D207*$E$8/12</f>
        <v/>
      </c>
      <c r="F207" s="681">
        <f>IF($C$17="Gross Rent",$B$17*(H207+E207),IF($C$17="Base Rent",$B$17*E207))</f>
        <v/>
      </c>
      <c r="G207" s="681">
        <f>IF($C$16="Base Rent",$B$16*E207,IF($C$16="Gross Rent",$B$16*(H207+E207)))</f>
        <v/>
      </c>
      <c r="H207" s="680">
        <f>IF(MONTH(C207)=MONTH($E$19),((H206*(1+$E$18))),H206)</f>
        <v/>
      </c>
      <c r="I207" s="680">
        <f>SUM(F207:H207)</f>
        <v/>
      </c>
      <c r="J207" s="505" t="n"/>
      <c r="K207" s="681">
        <f>IF($E$37&gt;B207,0,$E$36 IF(B207&gt;$E$21,0,$E$36))</f>
        <v/>
      </c>
      <c r="L207" s="685">
        <f>IF($F$37&gt;B207,0,$F$36 IF(B207&gt;$E$21,0,$F$36))</f>
        <v/>
      </c>
      <c r="M207" s="505" t="n"/>
      <c r="N207" s="680">
        <f>SUM(L207,K207,I207,E207)</f>
        <v/>
      </c>
      <c r="O207" s="505" t="n"/>
      <c r="P207" s="673">
        <f>+N207/$E$8*12</f>
        <v/>
      </c>
    </row>
    <row r="208" ht="12.6" customFormat="1" customHeight="1" s="299">
      <c r="B208" s="315">
        <f>IF(B207+1&lt;=$E$21,B207+1,IF(B207&gt;=$E$21,"",IF(B207="","")))</f>
        <v/>
      </c>
      <c r="C208" s="316">
        <f>IF(B208&gt;$E$21,"", DATE(YEAR(C207),MONTH(C207)+1,DAY(C207)))</f>
        <v/>
      </c>
      <c r="D208" s="679">
        <f>VLOOKUP(B208,$G$9:$I$29,3)</f>
        <v/>
      </c>
      <c r="E208" s="680">
        <f>D208*$E$8/12</f>
        <v/>
      </c>
      <c r="F208" s="681">
        <f>IF($C$17="Gross Rent",$B$17*(H208+E208),IF($C$17="Base Rent",$B$17*E208))</f>
        <v/>
      </c>
      <c r="G208" s="681">
        <f>IF($C$16="Base Rent",$B$16*E208,IF($C$16="Gross Rent",$B$16*(H208+E208)))</f>
        <v/>
      </c>
      <c r="H208" s="680">
        <f>IF(MONTH(C208)=MONTH($E$19),((H207*(1+$E$18))),H207)</f>
        <v/>
      </c>
      <c r="I208" s="680">
        <f>SUM(F208:H208)</f>
        <v/>
      </c>
      <c r="J208" s="505" t="n"/>
      <c r="K208" s="681">
        <f>IF($E$37&gt;B208,0,$E$36 IF(B208&gt;$E$21,0,$E$36))</f>
        <v/>
      </c>
      <c r="L208" s="685">
        <f>IF($F$37&gt;B208,0,$F$36 IF(B208&gt;$E$21,0,$F$36))</f>
        <v/>
      </c>
      <c r="M208" s="505" t="n"/>
      <c r="N208" s="680">
        <f>SUM(L208,K208,I208,E208)</f>
        <v/>
      </c>
      <c r="O208" s="505" t="n"/>
      <c r="P208" s="673">
        <f>+N208/$E$8*12</f>
        <v/>
      </c>
    </row>
    <row r="209" ht="12.6" customFormat="1" customHeight="1" s="299">
      <c r="B209" s="315">
        <f>IF(B208+1&lt;=$E$21,B208+1,IF(B208&gt;=$E$21,"",IF(B208="","")))</f>
        <v/>
      </c>
      <c r="C209" s="316">
        <f>IF(B209&gt;$E$21,"", DATE(YEAR(C208),MONTH(C208)+1,DAY(C208)))</f>
        <v/>
      </c>
      <c r="D209" s="679">
        <f>VLOOKUP(B209,$G$9:$I$29,3)</f>
        <v/>
      </c>
      <c r="E209" s="680">
        <f>D209*$E$8/12</f>
        <v/>
      </c>
      <c r="F209" s="681">
        <f>IF($C$17="Gross Rent",$B$17*(H209+E209),IF($C$17="Base Rent",$B$17*E209))</f>
        <v/>
      </c>
      <c r="G209" s="681">
        <f>IF($C$16="Base Rent",$B$16*E209,IF($C$16="Gross Rent",$B$16*(H209+E209)))</f>
        <v/>
      </c>
      <c r="H209" s="680">
        <f>IF(MONTH(C209)=MONTH($E$19),((H208*(1+$E$18))),H208)</f>
        <v/>
      </c>
      <c r="I209" s="680">
        <f>SUM(F209:H209)</f>
        <v/>
      </c>
      <c r="J209" s="505" t="n"/>
      <c r="K209" s="681">
        <f>IF($E$37&gt;B209,0,$E$36 IF(B209&gt;$E$21,0,$E$36))</f>
        <v/>
      </c>
      <c r="L209" s="685">
        <f>IF($F$37&gt;B209,0,$F$36 IF(B209&gt;$E$21,0,$F$36))</f>
        <v/>
      </c>
      <c r="M209" s="505" t="n"/>
      <c r="N209" s="680">
        <f>SUM(L209,K209,I209,E209)</f>
        <v/>
      </c>
      <c r="O209" s="505" t="n"/>
      <c r="P209" s="673">
        <f>+N209/$E$8*12</f>
        <v/>
      </c>
    </row>
    <row r="210" ht="12.6" customFormat="1" customHeight="1" s="299">
      <c r="B210" s="315">
        <f>IF(B209+1&lt;=$E$21,B209+1,IF(B209&gt;=$E$21,"",IF(B209="","")))</f>
        <v/>
      </c>
      <c r="C210" s="316">
        <f>IF(B210&gt;$E$21,"", DATE(YEAR(C209),MONTH(C209)+1,DAY(C209)))</f>
        <v/>
      </c>
      <c r="D210" s="679">
        <f>VLOOKUP(B210,$G$9:$I$29,3)</f>
        <v/>
      </c>
      <c r="E210" s="680">
        <f>D210*$E$8/12</f>
        <v/>
      </c>
      <c r="F210" s="681">
        <f>IF($C$17="Gross Rent",$B$17*(H210+E210),IF($C$17="Base Rent",$B$17*E210))</f>
        <v/>
      </c>
      <c r="G210" s="681">
        <f>IF($C$16="Base Rent",$B$16*E210,IF($C$16="Gross Rent",$B$16*(H210+E210)))</f>
        <v/>
      </c>
      <c r="H210" s="680">
        <f>IF(MONTH(C210)=MONTH($E$19),((H209*(1+$E$18))),H209)</f>
        <v/>
      </c>
      <c r="I210" s="680">
        <f>SUM(F210:H210)</f>
        <v/>
      </c>
      <c r="J210" s="505" t="n"/>
      <c r="K210" s="681">
        <f>IF($E$37&gt;B210,0,$E$36 IF(B210&gt;$E$21,0,$E$36))</f>
        <v/>
      </c>
      <c r="L210" s="685">
        <f>IF($F$37&gt;B210,0,$F$36 IF(B210&gt;$E$21,0,$F$36))</f>
        <v/>
      </c>
      <c r="M210" s="505" t="n"/>
      <c r="N210" s="680">
        <f>SUM(L210,K210,I210,E210)</f>
        <v/>
      </c>
      <c r="O210" s="505" t="n"/>
      <c r="P210" s="673">
        <f>+N210/$E$8*12</f>
        <v/>
      </c>
    </row>
    <row r="211" ht="12.6" customFormat="1" customHeight="1" s="299">
      <c r="B211" s="315">
        <f>IF(B210+1&lt;=$E$21,B210+1,IF(B210&gt;=$E$21,"",IF(B210="","")))</f>
        <v/>
      </c>
      <c r="C211" s="316">
        <f>IF(B211&gt;$E$21,"", DATE(YEAR(C210),MONTH(C210)+1,DAY(C210)))</f>
        <v/>
      </c>
      <c r="D211" s="679">
        <f>VLOOKUP(B211,$G$9:$I$29,3)</f>
        <v/>
      </c>
      <c r="E211" s="680">
        <f>D211*$E$8/12</f>
        <v/>
      </c>
      <c r="F211" s="681">
        <f>IF($C$17="Gross Rent",$B$17*(H211+E211),IF($C$17="Base Rent",$B$17*E211))</f>
        <v/>
      </c>
      <c r="G211" s="681">
        <f>IF($C$16="Base Rent",$B$16*E211,IF($C$16="Gross Rent",$B$16*(H211+E211)))</f>
        <v/>
      </c>
      <c r="H211" s="680">
        <f>IF(MONTH(C211)=MONTH($E$19),((H210*(1+$E$18))),H210)</f>
        <v/>
      </c>
      <c r="I211" s="680">
        <f>SUM(F211:H211)</f>
        <v/>
      </c>
      <c r="J211" s="505" t="n"/>
      <c r="K211" s="681">
        <f>IF($E$37&gt;B211,0,$E$36 IF(B211&gt;$E$21,0,$E$36))</f>
        <v/>
      </c>
      <c r="L211" s="685">
        <f>IF($F$37&gt;B211,0,$F$36 IF(B211&gt;$E$21,0,$F$36))</f>
        <v/>
      </c>
      <c r="M211" s="505" t="n"/>
      <c r="N211" s="680">
        <f>SUM(L211,K211,I211,E211)</f>
        <v/>
      </c>
      <c r="O211" s="505" t="n"/>
      <c r="P211" s="673">
        <f>+N211/$E$8*12</f>
        <v/>
      </c>
    </row>
    <row r="212" ht="12.6" customFormat="1" customHeight="1" s="299">
      <c r="B212" s="315">
        <f>IF(B211+1&lt;=$E$21,B211+1,IF(B211&gt;=$E$21,"",IF(B211="","")))</f>
        <v/>
      </c>
      <c r="C212" s="316">
        <f>IF(B212&gt;$E$21,"", DATE(YEAR(C211),MONTH(C211)+1,DAY(C211)))</f>
        <v/>
      </c>
      <c r="D212" s="679">
        <f>VLOOKUP(B212,$G$9:$I$29,3)</f>
        <v/>
      </c>
      <c r="E212" s="680">
        <f>D212*$E$8/12</f>
        <v/>
      </c>
      <c r="F212" s="681">
        <f>IF($C$17="Gross Rent",$B$17*(H212+E212),IF($C$17="Base Rent",$B$17*E212))</f>
        <v/>
      </c>
      <c r="G212" s="681">
        <f>IF($C$16="Base Rent",$B$16*E212,IF($C$16="Gross Rent",$B$16*(H212+E212)))</f>
        <v/>
      </c>
      <c r="H212" s="680">
        <f>IF(MONTH(C212)=MONTH($E$19),((H211*(1+$E$18))),H211)</f>
        <v/>
      </c>
      <c r="I212" s="680">
        <f>SUM(F212:H212)</f>
        <v/>
      </c>
      <c r="J212" s="505" t="n"/>
      <c r="K212" s="681">
        <f>IF($E$37&gt;B212,0,$E$36 IF(B212&gt;$E$21,0,$E$36))</f>
        <v/>
      </c>
      <c r="L212" s="685">
        <f>IF($F$37&gt;B212,0,$F$36 IF(B212&gt;$E$21,0,$F$36))</f>
        <v/>
      </c>
      <c r="M212" s="505" t="n"/>
      <c r="N212" s="680">
        <f>SUM(L212,K212,I212,E212)</f>
        <v/>
      </c>
      <c r="O212" s="505" t="n"/>
      <c r="P212" s="673">
        <f>+N212/$E$8*12</f>
        <v/>
      </c>
    </row>
    <row r="213" ht="12.6" customFormat="1" customHeight="1" s="299">
      <c r="B213" s="315">
        <f>IF(B212+1&lt;=$E$21,B212+1,IF(B212&gt;=$E$21,"",IF(B212="","")))</f>
        <v/>
      </c>
      <c r="C213" s="316">
        <f>IF(B213&gt;$E$21,"", DATE(YEAR(C212),MONTH(C212)+1,DAY(C212)))</f>
        <v/>
      </c>
      <c r="D213" s="679">
        <f>VLOOKUP(B213,$G$9:$I$29,3)</f>
        <v/>
      </c>
      <c r="E213" s="680">
        <f>D213*$E$8/12</f>
        <v/>
      </c>
      <c r="F213" s="681">
        <f>IF($C$17="Gross Rent",$B$17*(H213+E213),IF($C$17="Base Rent",$B$17*E213))</f>
        <v/>
      </c>
      <c r="G213" s="681">
        <f>IF($C$16="Base Rent",$B$16*E213,IF($C$16="Gross Rent",$B$16*(H213+E213)))</f>
        <v/>
      </c>
      <c r="H213" s="680">
        <f>IF(MONTH(C213)=MONTH($E$19),((H212*(1+$E$18))),H212)</f>
        <v/>
      </c>
      <c r="I213" s="680">
        <f>SUM(F213:H213)</f>
        <v/>
      </c>
      <c r="J213" s="505" t="n"/>
      <c r="K213" s="681">
        <f>IF($E$37&gt;B213,0,$E$36 IF(B213&gt;$E$21,0,$E$36))</f>
        <v/>
      </c>
      <c r="L213" s="685">
        <f>IF($F$37&gt;B213,0,$F$36 IF(B213&gt;$E$21,0,$F$36))</f>
        <v/>
      </c>
      <c r="M213" s="505" t="n"/>
      <c r="N213" s="680">
        <f>SUM(L213,K213,I213,E213)</f>
        <v/>
      </c>
      <c r="O213" s="505" t="n"/>
      <c r="P213" s="673">
        <f>+N213/$E$8*12</f>
        <v/>
      </c>
    </row>
    <row r="214" ht="12.6" customFormat="1" customHeight="1" s="299">
      <c r="B214" s="315">
        <f>IF(B213+1&lt;=$E$21,B213+1,IF(B213&gt;=$E$21,"",IF(B213="","")))</f>
        <v/>
      </c>
      <c r="C214" s="316">
        <f>IF(B214&gt;$E$21,"", DATE(YEAR(C213),MONTH(C213)+1,DAY(C213)))</f>
        <v/>
      </c>
      <c r="D214" s="679">
        <f>VLOOKUP(B214,$G$9:$I$29,3)</f>
        <v/>
      </c>
      <c r="E214" s="680">
        <f>D214*$E$8/12</f>
        <v/>
      </c>
      <c r="F214" s="681">
        <f>IF($C$17="Gross Rent",$B$17*(H214+E214),IF($C$17="Base Rent",$B$17*E214))</f>
        <v/>
      </c>
      <c r="G214" s="681">
        <f>IF($C$16="Base Rent",$B$16*E214,IF($C$16="Gross Rent",$B$16*(H214+E214)))</f>
        <v/>
      </c>
      <c r="H214" s="680">
        <f>IF(MONTH(C214)=MONTH($E$19),((H213*(1+$E$18))),H213)</f>
        <v/>
      </c>
      <c r="I214" s="680">
        <f>SUM(F214:H214)</f>
        <v/>
      </c>
      <c r="J214" s="505" t="n"/>
      <c r="K214" s="681">
        <f>IF($E$37&gt;B214,0,$E$36 IF(B214&gt;$E$21,0,$E$36))</f>
        <v/>
      </c>
      <c r="L214" s="685">
        <f>IF($F$37&gt;B214,0,$F$36 IF(B214&gt;$E$21,0,$F$36))</f>
        <v/>
      </c>
      <c r="M214" s="505" t="n"/>
      <c r="N214" s="680">
        <f>SUM(L214,K214,I214,E214)</f>
        <v/>
      </c>
      <c r="O214" s="505" t="n"/>
      <c r="P214" s="673">
        <f>+N214/$E$8*12</f>
        <v/>
      </c>
    </row>
    <row r="215" ht="12.6" customFormat="1" customHeight="1" s="299">
      <c r="B215" s="315">
        <f>IF(B214+1&lt;=$E$21,B214+1,IF(B214&gt;=$E$21,"",IF(B214="","")))</f>
        <v/>
      </c>
      <c r="C215" s="316">
        <f>IF(B215&gt;$E$21,"", DATE(YEAR(C214),MONTH(C214)+1,DAY(C214)))</f>
        <v/>
      </c>
      <c r="D215" s="679">
        <f>VLOOKUP(B215,$G$9:$I$29,3)</f>
        <v/>
      </c>
      <c r="E215" s="680">
        <f>D215*$E$8/12</f>
        <v/>
      </c>
      <c r="F215" s="681">
        <f>IF($C$17="Gross Rent",$B$17*(H215+E215),IF($C$17="Base Rent",$B$17*E215))</f>
        <v/>
      </c>
      <c r="G215" s="681">
        <f>IF($C$16="Base Rent",$B$16*E215,IF($C$16="Gross Rent",$B$16*(H215+E215)))</f>
        <v/>
      </c>
      <c r="H215" s="680">
        <f>IF(MONTH(C215)=MONTH($E$19),((H214*(1+$E$18))),H214)</f>
        <v/>
      </c>
      <c r="I215" s="680">
        <f>SUM(F215:H215)</f>
        <v/>
      </c>
      <c r="J215" s="505" t="n"/>
      <c r="K215" s="681">
        <f>IF($E$37&gt;B215,0,$E$36 IF(B215&gt;$E$21,0,$E$36))</f>
        <v/>
      </c>
      <c r="L215" s="685">
        <f>IF($F$37&gt;B215,0,$F$36 IF(B215&gt;$E$21,0,$F$36))</f>
        <v/>
      </c>
      <c r="M215" s="505" t="n"/>
      <c r="N215" s="680">
        <f>SUM(L215,K215,I215,E215)</f>
        <v/>
      </c>
      <c r="O215" s="505" t="n"/>
      <c r="P215" s="673">
        <f>+N215/$E$8*12</f>
        <v/>
      </c>
    </row>
    <row r="216" ht="12.6" customFormat="1" customHeight="1" s="299">
      <c r="B216" s="315">
        <f>IF(B215+1&lt;=$E$21,B215+1,IF(B215&gt;=$E$21,"",IF(B215="","")))</f>
        <v/>
      </c>
      <c r="C216" s="316">
        <f>IF(B216&gt;$E$21,"", DATE(YEAR(C215),MONTH(C215)+1,DAY(C215)))</f>
        <v/>
      </c>
      <c r="D216" s="679">
        <f>VLOOKUP(B216,$G$9:$I$29,3)</f>
        <v/>
      </c>
      <c r="E216" s="680">
        <f>D216*$E$8/12</f>
        <v/>
      </c>
      <c r="F216" s="681">
        <f>IF($C$17="Gross Rent",$B$17*(H216+E216),IF($C$17="Base Rent",$B$17*E216))</f>
        <v/>
      </c>
      <c r="G216" s="681">
        <f>IF($C$16="Base Rent",$B$16*E216,IF($C$16="Gross Rent",$B$16*(H216+E216)))</f>
        <v/>
      </c>
      <c r="H216" s="680">
        <f>IF(MONTH(C216)=MONTH($E$19),((H215*(1+$E$18))),H215)</f>
        <v/>
      </c>
      <c r="I216" s="680">
        <f>SUM(F216:H216)</f>
        <v/>
      </c>
      <c r="J216" s="505" t="n"/>
      <c r="K216" s="681">
        <f>IF($E$37&gt;B216,0,$E$36 IF(B216&gt;$E$21,0,$E$36))</f>
        <v/>
      </c>
      <c r="L216" s="685">
        <f>IF($F$37&gt;B216,0,$F$36 IF(B216&gt;$E$21,0,$F$36))</f>
        <v/>
      </c>
      <c r="M216" s="505" t="n"/>
      <c r="N216" s="680">
        <f>SUM(L216,K216,I216,E216)</f>
        <v/>
      </c>
      <c r="O216" s="505" t="n"/>
      <c r="P216" s="673">
        <f>+N216/$E$8*12</f>
        <v/>
      </c>
    </row>
    <row r="217" ht="12.6" customFormat="1" customHeight="1" s="299">
      <c r="B217" s="315">
        <f>IF(B216+1&lt;=$E$21,B216+1,IF(B216&gt;=$E$21,"",IF(B216="","")))</f>
        <v/>
      </c>
      <c r="C217" s="316">
        <f>IF(B217&gt;$E$21,"", DATE(YEAR(C216),MONTH(C216)+1,DAY(C216)))</f>
        <v/>
      </c>
      <c r="D217" s="679">
        <f>VLOOKUP(B217,$G$9:$I$29,3)</f>
        <v/>
      </c>
      <c r="E217" s="680">
        <f>D217*$E$8/12</f>
        <v/>
      </c>
      <c r="F217" s="681">
        <f>IF($C$17="Gross Rent",$B$17*(H217+E217),IF($C$17="Base Rent",$B$17*E217))</f>
        <v/>
      </c>
      <c r="G217" s="681">
        <f>IF($C$16="Base Rent",$B$16*E217,IF($C$16="Gross Rent",$B$16*(H217+E217)))</f>
        <v/>
      </c>
      <c r="H217" s="680">
        <f>IF(MONTH(C217)=MONTH($E$19),((H216*(1+$E$18))),H216)</f>
        <v/>
      </c>
      <c r="I217" s="680">
        <f>SUM(F217:H217)</f>
        <v/>
      </c>
      <c r="J217" s="505" t="n"/>
      <c r="K217" s="681">
        <f>IF($E$37&gt;B217,0,$E$36 IF(B217&gt;$E$21,0,$E$36))</f>
        <v/>
      </c>
      <c r="L217" s="685">
        <f>IF($F$37&gt;B217,0,$F$36 IF(B217&gt;$E$21,0,$F$36))</f>
        <v/>
      </c>
      <c r="M217" s="505" t="n"/>
      <c r="N217" s="680">
        <f>SUM(L217,K217,I217,E217)</f>
        <v/>
      </c>
      <c r="O217" s="505" t="n"/>
      <c r="P217" s="673">
        <f>+N217/$E$8*12</f>
        <v/>
      </c>
    </row>
    <row r="218" ht="12.6" customFormat="1" customHeight="1" s="299">
      <c r="B218" s="315">
        <f>IF(B217+1&lt;=$E$21,B217+1,IF(B217&gt;=$E$21,"",IF(B217="","")))</f>
        <v/>
      </c>
      <c r="C218" s="316">
        <f>IF(B218&gt;$E$21,"", DATE(YEAR(C217),MONTH(C217)+1,DAY(C217)))</f>
        <v/>
      </c>
      <c r="D218" s="679">
        <f>VLOOKUP(B218,$G$9:$I$29,3)</f>
        <v/>
      </c>
      <c r="E218" s="680">
        <f>D218*$E$8/12</f>
        <v/>
      </c>
      <c r="F218" s="681">
        <f>IF($C$17="Gross Rent",$B$17*(H218+E218),IF($C$17="Base Rent",$B$17*E218))</f>
        <v/>
      </c>
      <c r="G218" s="681">
        <f>IF($C$16="Base Rent",$B$16*E218,IF($C$16="Gross Rent",$B$16*(H218+E218)))</f>
        <v/>
      </c>
      <c r="H218" s="680">
        <f>IF(MONTH(C218)=MONTH($E$19),((H217*(1+$E$18))),H217)</f>
        <v/>
      </c>
      <c r="I218" s="680">
        <f>SUM(F218:H218)</f>
        <v/>
      </c>
      <c r="J218" s="505" t="n"/>
      <c r="K218" s="681">
        <f>IF($E$37&gt;B218,0,$E$36 IF(B218&gt;$E$21,0,$E$36))</f>
        <v/>
      </c>
      <c r="L218" s="685">
        <f>IF($F$37&gt;B218,0,$F$36 IF(B218&gt;$E$21,0,$F$36))</f>
        <v/>
      </c>
      <c r="M218" s="505" t="n"/>
      <c r="N218" s="680">
        <f>SUM(L218,K218,I218,E218)</f>
        <v/>
      </c>
      <c r="O218" s="505" t="n"/>
      <c r="P218" s="673">
        <f>+N218/$E$8*12</f>
        <v/>
      </c>
    </row>
    <row r="219" ht="12.6" customFormat="1" customHeight="1" s="299">
      <c r="B219" s="315">
        <f>IF(B218+1&lt;=$E$21,B218+1,IF(B218&gt;=$E$21,"",IF(B218="","")))</f>
        <v/>
      </c>
      <c r="C219" s="316">
        <f>IF(B219&gt;$E$21,"", DATE(YEAR(C218),MONTH(C218)+1,DAY(C218)))</f>
        <v/>
      </c>
      <c r="D219" s="679">
        <f>VLOOKUP(B219,$G$9:$I$29,3)</f>
        <v/>
      </c>
      <c r="E219" s="680">
        <f>D219*$E$8/12</f>
        <v/>
      </c>
      <c r="F219" s="681">
        <f>IF($C$17="Gross Rent",$B$17*(H219+E219),IF($C$17="Base Rent",$B$17*E219))</f>
        <v/>
      </c>
      <c r="G219" s="681">
        <f>IF($C$16="Base Rent",$B$16*E219,IF($C$16="Gross Rent",$B$16*(H219+E219)))</f>
        <v/>
      </c>
      <c r="H219" s="680">
        <f>IF(MONTH(C219)=MONTH($E$19),((H218*(1+$E$18))),H218)</f>
        <v/>
      </c>
      <c r="I219" s="680">
        <f>SUM(F219:H219)</f>
        <v/>
      </c>
      <c r="J219" s="505" t="n"/>
      <c r="K219" s="681">
        <f>IF($E$37&gt;B219,0,$E$36 IF(B219&gt;$E$21,0,$E$36))</f>
        <v/>
      </c>
      <c r="L219" s="685">
        <f>IF($F$37&gt;B219,0,$F$36 IF(B219&gt;$E$21,0,$F$36))</f>
        <v/>
      </c>
      <c r="M219" s="505" t="n"/>
      <c r="N219" s="680">
        <f>SUM(L219,K219,I219,E219)</f>
        <v/>
      </c>
      <c r="O219" s="505" t="n"/>
      <c r="P219" s="673">
        <f>+N219/$E$8*12</f>
        <v/>
      </c>
    </row>
    <row r="220" ht="12.6" customFormat="1" customHeight="1" s="299">
      <c r="B220" s="315">
        <f>IF(B219+1&lt;=$E$21,B219+1,IF(B219&gt;=$E$21,"",IF(B219="","")))</f>
        <v/>
      </c>
      <c r="C220" s="316">
        <f>IF(B220&gt;$E$21,"", DATE(YEAR(C219),MONTH(C219)+1,DAY(C219)))</f>
        <v/>
      </c>
      <c r="D220" s="679">
        <f>VLOOKUP(B220,$G$9:$I$29,3)</f>
        <v/>
      </c>
      <c r="E220" s="680">
        <f>D220*$E$8/12</f>
        <v/>
      </c>
      <c r="F220" s="681">
        <f>IF($C$17="Gross Rent",$B$17*(H220+E220),IF($C$17="Base Rent",$B$17*E220))</f>
        <v/>
      </c>
      <c r="G220" s="681">
        <f>IF($C$16="Base Rent",$B$16*E220,IF($C$16="Gross Rent",$B$16*(H220+E220)))</f>
        <v/>
      </c>
      <c r="H220" s="680">
        <f>IF(MONTH(C220)=MONTH($E$19),((H219*(1+$E$18))),H219)</f>
        <v/>
      </c>
      <c r="I220" s="680">
        <f>SUM(F220:H220)</f>
        <v/>
      </c>
      <c r="J220" s="505" t="n"/>
      <c r="K220" s="681">
        <f>IF($E$37&gt;B220,0,$E$36 IF(B220&gt;$E$21,0,$E$36))</f>
        <v/>
      </c>
      <c r="L220" s="685">
        <f>IF($F$37&gt;B220,0,$F$36 IF(B220&gt;$E$21,0,$F$36))</f>
        <v/>
      </c>
      <c r="M220" s="505" t="n"/>
      <c r="N220" s="680">
        <f>SUM(L220,K220,I220,E220)</f>
        <v/>
      </c>
      <c r="O220" s="505" t="n"/>
      <c r="P220" s="673">
        <f>+N220/$E$8*12</f>
        <v/>
      </c>
    </row>
    <row r="221" ht="12.6" customFormat="1" customHeight="1" s="299">
      <c r="B221" s="315">
        <f>IF(B220+1&lt;=$E$21,B220+1,IF(B220&gt;=$E$21,"",IF(B220="","")))</f>
        <v/>
      </c>
      <c r="C221" s="316">
        <f>IF(B221&gt;$E$21,"", DATE(YEAR(C220),MONTH(C220)+1,DAY(C220)))</f>
        <v/>
      </c>
      <c r="D221" s="679">
        <f>VLOOKUP(B221,$G$9:$I$29,3)</f>
        <v/>
      </c>
      <c r="E221" s="680">
        <f>D221*$E$8/12</f>
        <v/>
      </c>
      <c r="F221" s="681">
        <f>IF($C$17="Gross Rent",$B$17*(H221+E221),IF($C$17="Base Rent",$B$17*E221))</f>
        <v/>
      </c>
      <c r="G221" s="681">
        <f>IF($C$16="Base Rent",$B$16*E221,IF($C$16="Gross Rent",$B$16*(H221+E221)))</f>
        <v/>
      </c>
      <c r="H221" s="680">
        <f>IF(MONTH(C221)=MONTH($E$19),((H220*(1+$E$18))),H220)</f>
        <v/>
      </c>
      <c r="I221" s="680">
        <f>SUM(F221:H221)</f>
        <v/>
      </c>
      <c r="J221" s="505" t="n"/>
      <c r="K221" s="681">
        <f>IF($E$37&gt;B221,0,$E$36 IF(B221&gt;$E$21,0,$E$36))</f>
        <v/>
      </c>
      <c r="L221" s="685">
        <f>IF($F$37&gt;B221,0,$F$36 IF(B221&gt;$E$21,0,$F$36))</f>
        <v/>
      </c>
      <c r="M221" s="505" t="n"/>
      <c r="N221" s="680">
        <f>SUM(L221,K221,I221,E221)</f>
        <v/>
      </c>
      <c r="O221" s="505" t="n"/>
      <c r="P221" s="673">
        <f>+N221/$E$8*12</f>
        <v/>
      </c>
    </row>
    <row r="222" ht="12.6" customFormat="1" customHeight="1" s="299">
      <c r="B222" s="315">
        <f>IF(B221+1&lt;=$E$21,B221+1,IF(B221&gt;=$E$21,"",IF(B221="","")))</f>
        <v/>
      </c>
      <c r="C222" s="316">
        <f>IF(B222&gt;$E$21,"", DATE(YEAR(C221),MONTH(C221)+1,DAY(C221)))</f>
        <v/>
      </c>
      <c r="D222" s="679">
        <f>VLOOKUP(B222,$G$9:$I$29,3)</f>
        <v/>
      </c>
      <c r="E222" s="680">
        <f>D222*$E$8/12</f>
        <v/>
      </c>
      <c r="F222" s="681">
        <f>IF($C$17="Gross Rent",$B$17*(H222+E222),IF($C$17="Base Rent",$B$17*E222))</f>
        <v/>
      </c>
      <c r="G222" s="681">
        <f>IF($C$16="Base Rent",$B$16*E222,IF($C$16="Gross Rent",$B$16*(H222+E222)))</f>
        <v/>
      </c>
      <c r="H222" s="680">
        <f>IF(MONTH(C222)=MONTH($E$19),((H221*(1+$E$18))),H221)</f>
        <v/>
      </c>
      <c r="I222" s="680">
        <f>SUM(F222:H222)</f>
        <v/>
      </c>
      <c r="J222" s="505" t="n"/>
      <c r="K222" s="681">
        <f>IF($E$37&gt;B222,0,$E$36 IF(B222&gt;$E$21,0,$E$36))</f>
        <v/>
      </c>
      <c r="L222" s="685">
        <f>IF($F$37&gt;B222,0,$F$36 IF(B222&gt;$E$21,0,$F$36))</f>
        <v/>
      </c>
      <c r="M222" s="505" t="n"/>
      <c r="N222" s="680">
        <f>SUM(L222,K222,I222,E222)</f>
        <v/>
      </c>
      <c r="O222" s="505" t="n"/>
      <c r="P222" s="673">
        <f>+N222/$E$8*12</f>
        <v/>
      </c>
    </row>
    <row r="223" ht="12.6" customFormat="1" customHeight="1" s="299">
      <c r="B223" s="315">
        <f>IF(B222+1&lt;=$E$21,B222+1,IF(B222&gt;=$E$21,"",IF(B222="","")))</f>
        <v/>
      </c>
      <c r="C223" s="316">
        <f>IF(B223&gt;$E$21,"", DATE(YEAR(C222),MONTH(C222)+1,DAY(C222)))</f>
        <v/>
      </c>
      <c r="D223" s="679">
        <f>VLOOKUP(B223,$G$9:$I$29,3)</f>
        <v/>
      </c>
      <c r="E223" s="680">
        <f>D223*$E$8/12</f>
        <v/>
      </c>
      <c r="F223" s="681">
        <f>IF($C$17="Gross Rent",$B$17*(H223+E223),IF($C$17="Base Rent",$B$17*E223))</f>
        <v/>
      </c>
      <c r="G223" s="681">
        <f>IF($C$16="Base Rent",$B$16*E223,IF($C$16="Gross Rent",$B$16*(H223+E223)))</f>
        <v/>
      </c>
      <c r="H223" s="680">
        <f>IF(MONTH(C223)=MONTH($E$19),((H222*(1+$E$18))),H222)</f>
        <v/>
      </c>
      <c r="I223" s="680">
        <f>SUM(F223:H223)</f>
        <v/>
      </c>
      <c r="J223" s="505" t="n"/>
      <c r="K223" s="681">
        <f>IF($E$37&gt;B223,0,$E$36 IF(B223&gt;$E$21,0,$E$36))</f>
        <v/>
      </c>
      <c r="L223" s="685">
        <f>IF($F$37&gt;B223,0,$F$36 IF(B223&gt;$E$21,0,$F$36))</f>
        <v/>
      </c>
      <c r="M223" s="505" t="n"/>
      <c r="N223" s="680">
        <f>SUM(L223,K223,I223,E223)</f>
        <v/>
      </c>
      <c r="O223" s="505" t="n"/>
      <c r="P223" s="673">
        <f>+N223/$E$8*12</f>
        <v/>
      </c>
    </row>
    <row r="224" ht="12.6" customFormat="1" customHeight="1" s="299">
      <c r="B224" s="315">
        <f>IF(B223+1&lt;=$E$21,B223+1,IF(B223&gt;=$E$21,"",IF(B223="","")))</f>
        <v/>
      </c>
      <c r="C224" s="316">
        <f>IF(B224&gt;$E$21,"", DATE(YEAR(C223),MONTH(C223)+1,DAY(C223)))</f>
        <v/>
      </c>
      <c r="D224" s="679">
        <f>VLOOKUP(B224,$G$9:$I$29,3)</f>
        <v/>
      </c>
      <c r="E224" s="680">
        <f>D224*$E$8/12</f>
        <v/>
      </c>
      <c r="F224" s="681">
        <f>IF($C$17="Gross Rent",$B$17*(H224+E224),IF($C$17="Base Rent",$B$17*E224))</f>
        <v/>
      </c>
      <c r="G224" s="681">
        <f>IF($C$16="Base Rent",$B$16*E224,IF($C$16="Gross Rent",$B$16*(H224+E224)))</f>
        <v/>
      </c>
      <c r="H224" s="680">
        <f>IF(MONTH(C224)=MONTH($E$19),((H223*(1+$E$18))),H223)</f>
        <v/>
      </c>
      <c r="I224" s="680">
        <f>SUM(F224:H224)</f>
        <v/>
      </c>
      <c r="J224" s="505" t="n"/>
      <c r="K224" s="681">
        <f>IF($E$37&gt;B224,0,$E$36 IF(B224&gt;$E$21,0,$E$36))</f>
        <v/>
      </c>
      <c r="L224" s="685">
        <f>IF($F$37&gt;B224,0,$F$36 IF(B224&gt;$E$21,0,$F$36))</f>
        <v/>
      </c>
      <c r="M224" s="505" t="n"/>
      <c r="N224" s="680">
        <f>SUM(L224,K224,I224,E224)</f>
        <v/>
      </c>
      <c r="O224" s="505" t="n"/>
      <c r="P224" s="673">
        <f>+N224/$E$8*12</f>
        <v/>
      </c>
    </row>
    <row r="225" ht="12.6" customFormat="1" customHeight="1" s="299">
      <c r="B225" s="315">
        <f>IF(B224+1&lt;=$E$21,B224+1,IF(B224&gt;=$E$21,"",IF(B224="","")))</f>
        <v/>
      </c>
      <c r="C225" s="316">
        <f>IF(B225&gt;$E$21,"", DATE(YEAR(C224),MONTH(C224)+1,DAY(C224)))</f>
        <v/>
      </c>
      <c r="D225" s="679">
        <f>VLOOKUP(B225,$G$9:$I$29,3)</f>
        <v/>
      </c>
      <c r="E225" s="680">
        <f>D225*$E$8/12</f>
        <v/>
      </c>
      <c r="F225" s="681">
        <f>IF($C$17="Gross Rent",$B$17*(H225+E225),IF($C$17="Base Rent",$B$17*E225))</f>
        <v/>
      </c>
      <c r="G225" s="681">
        <f>IF($C$16="Base Rent",$B$16*E225,IF($C$16="Gross Rent",$B$16*(H225+E225)))</f>
        <v/>
      </c>
      <c r="H225" s="680">
        <f>IF(MONTH(C225)=MONTH($E$19),((H224*(1+$E$18))),H224)</f>
        <v/>
      </c>
      <c r="I225" s="680">
        <f>SUM(F225:H225)</f>
        <v/>
      </c>
      <c r="J225" s="505" t="n"/>
      <c r="K225" s="681">
        <f>IF($E$37&gt;B225,0,$E$36 IF(B225&gt;$E$21,0,$E$36))</f>
        <v/>
      </c>
      <c r="L225" s="685">
        <f>IF($F$37&gt;B225,0,$F$36 IF(B225&gt;$E$21,0,$F$36))</f>
        <v/>
      </c>
      <c r="M225" s="505" t="n"/>
      <c r="N225" s="680">
        <f>SUM(L225,K225,I225,E225)</f>
        <v/>
      </c>
      <c r="O225" s="505" t="n"/>
      <c r="P225" s="673">
        <f>+N225/$E$8*12</f>
        <v/>
      </c>
    </row>
    <row r="226" ht="12.6" customFormat="1" customHeight="1" s="299">
      <c r="B226" s="315">
        <f>IF(B225+1&lt;=$E$21,B225+1,IF(B225&gt;=$E$21,"",IF(B225="","")))</f>
        <v/>
      </c>
      <c r="C226" s="316">
        <f>IF(B226&gt;$E$21,"", DATE(YEAR(C225),MONTH(C225)+1,DAY(C225)))</f>
        <v/>
      </c>
      <c r="D226" s="679">
        <f>VLOOKUP(B226,$G$9:$I$29,3)</f>
        <v/>
      </c>
      <c r="E226" s="680">
        <f>D226*$E$8/12</f>
        <v/>
      </c>
      <c r="F226" s="681">
        <f>IF($C$17="Gross Rent",$B$17*(H226+E226),IF($C$17="Base Rent",$B$17*E226))</f>
        <v/>
      </c>
      <c r="G226" s="681">
        <f>IF($C$16="Base Rent",$B$16*E226,IF($C$16="Gross Rent",$B$16*(H226+E226)))</f>
        <v/>
      </c>
      <c r="H226" s="680">
        <f>IF(MONTH(C226)=MONTH($E$19),((H225*(1+$E$18))),H225)</f>
        <v/>
      </c>
      <c r="I226" s="680">
        <f>SUM(F226:H226)</f>
        <v/>
      </c>
      <c r="J226" s="505" t="n"/>
      <c r="K226" s="681">
        <f>IF($E$37&gt;B226,0,$E$36 IF(B226&gt;$E$21,0,$E$36))</f>
        <v/>
      </c>
      <c r="L226" s="685">
        <f>IF($F$37&gt;B226,0,$F$36 IF(B226&gt;$E$21,0,$F$36))</f>
        <v/>
      </c>
      <c r="M226" s="505" t="n"/>
      <c r="N226" s="680">
        <f>SUM(L226,K226,I226,E226)</f>
        <v/>
      </c>
      <c r="O226" s="505" t="n"/>
      <c r="P226" s="673">
        <f>+N226/$E$8*12</f>
        <v/>
      </c>
    </row>
    <row r="227" ht="12.6" customFormat="1" customHeight="1" s="299">
      <c r="B227" s="315">
        <f>IF(B226+1&lt;=$E$21,B226+1,IF(B226&gt;=$E$21,"",IF(B226="","")))</f>
        <v/>
      </c>
      <c r="C227" s="316">
        <f>IF(B227&gt;$E$21,"", DATE(YEAR(C226),MONTH(C226)+1,DAY(C226)))</f>
        <v/>
      </c>
      <c r="D227" s="679">
        <f>VLOOKUP(B227,$G$9:$I$29,3)</f>
        <v/>
      </c>
      <c r="E227" s="680">
        <f>D227*$E$8/12</f>
        <v/>
      </c>
      <c r="F227" s="681">
        <f>IF($C$17="Gross Rent",$B$17*(H227+E227),IF($C$17="Base Rent",$B$17*E227))</f>
        <v/>
      </c>
      <c r="G227" s="681">
        <f>IF($C$16="Base Rent",$B$16*E227,IF($C$16="Gross Rent",$B$16*(H227+E227)))</f>
        <v/>
      </c>
      <c r="H227" s="680">
        <f>IF(MONTH(C227)=MONTH($E$19),((H226*(1+$E$18))),H226)</f>
        <v/>
      </c>
      <c r="I227" s="680">
        <f>SUM(F227:H227)</f>
        <v/>
      </c>
      <c r="J227" s="505" t="n"/>
      <c r="K227" s="681">
        <f>IF($E$37&gt;B227,0,$E$36 IF(B227&gt;$E$21,0,$E$36))</f>
        <v/>
      </c>
      <c r="L227" s="685">
        <f>IF($F$37&gt;B227,0,$F$36 IF(B227&gt;$E$21,0,$F$36))</f>
        <v/>
      </c>
      <c r="M227" s="505" t="n"/>
      <c r="N227" s="680">
        <f>SUM(L227,K227,I227,E227)</f>
        <v/>
      </c>
      <c r="O227" s="505" t="n"/>
      <c r="P227" s="673">
        <f>+N227/$E$8*12</f>
        <v/>
      </c>
    </row>
    <row r="228" ht="12.6" customFormat="1" customHeight="1" s="299">
      <c r="B228" s="315">
        <f>IF(B227+1&lt;=$E$21,B227+1,IF(B227&gt;=$E$21,"",IF(B227="","")))</f>
        <v/>
      </c>
      <c r="C228" s="316">
        <f>IF(B228&gt;$E$21,"", DATE(YEAR(C227),MONTH(C227)+1,DAY(C227)))</f>
        <v/>
      </c>
      <c r="D228" s="679">
        <f>VLOOKUP(B228,$G$9:$I$29,3)</f>
        <v/>
      </c>
      <c r="E228" s="680">
        <f>D228*$E$8/12</f>
        <v/>
      </c>
      <c r="F228" s="681">
        <f>IF($C$17="Gross Rent",$B$17*(H228+E228),IF($C$17="Base Rent",$B$17*E228))</f>
        <v/>
      </c>
      <c r="G228" s="681">
        <f>IF($C$16="Base Rent",$B$16*E228,IF($C$16="Gross Rent",$B$16*(H228+E228)))</f>
        <v/>
      </c>
      <c r="H228" s="680">
        <f>IF(MONTH(C228)=MONTH($E$19),((H227*(1+$E$18))),H227)</f>
        <v/>
      </c>
      <c r="I228" s="680">
        <f>SUM(F228:H228)</f>
        <v/>
      </c>
      <c r="J228" s="505" t="n"/>
      <c r="K228" s="681">
        <f>IF($E$37&gt;B228,0,$E$36 IF(B228&gt;$E$21,0,$E$36))</f>
        <v/>
      </c>
      <c r="L228" s="685">
        <f>IF($F$37&gt;B228,0,$F$36 IF(B228&gt;$E$21,0,$F$36))</f>
        <v/>
      </c>
      <c r="M228" s="505" t="n"/>
      <c r="N228" s="680">
        <f>SUM(L228,K228,I228,E228)</f>
        <v/>
      </c>
      <c r="O228" s="505" t="n"/>
      <c r="P228" s="673">
        <f>+N228/$E$8*12</f>
        <v/>
      </c>
    </row>
    <row r="229" ht="12.6" customFormat="1" customHeight="1" s="299">
      <c r="B229" s="315">
        <f>IF(B228+1&lt;=$E$21,B228+1,IF(B228&gt;=$E$21,"",IF(B228="","")))</f>
        <v/>
      </c>
      <c r="C229" s="316">
        <f>IF(B229&gt;$E$21,"", DATE(YEAR(C228),MONTH(C228)+1,DAY(C228)))</f>
        <v/>
      </c>
      <c r="D229" s="679">
        <f>VLOOKUP(B229,$G$9:$I$29,3)</f>
        <v/>
      </c>
      <c r="E229" s="680">
        <f>D229*$E$8/12</f>
        <v/>
      </c>
      <c r="F229" s="681">
        <f>IF($C$17="Gross Rent",$B$17*(H229+E229),IF($C$17="Base Rent",$B$17*E229))</f>
        <v/>
      </c>
      <c r="G229" s="681">
        <f>IF($C$16="Base Rent",$B$16*E229,IF($C$16="Gross Rent",$B$16*(H229+E229)))</f>
        <v/>
      </c>
      <c r="H229" s="680">
        <f>IF(MONTH(C229)=MONTH($E$19),((H228*(1+$E$18))),H228)</f>
        <v/>
      </c>
      <c r="I229" s="680">
        <f>SUM(F229:H229)</f>
        <v/>
      </c>
      <c r="J229" s="505" t="n"/>
      <c r="K229" s="681">
        <f>IF($E$37&gt;B229,0,$E$36 IF(B229&gt;$E$21,0,$E$36))</f>
        <v/>
      </c>
      <c r="L229" s="685">
        <f>IF($F$37&gt;B229,0,$F$36 IF(B229&gt;$E$21,0,$F$36))</f>
        <v/>
      </c>
      <c r="M229" s="505" t="n"/>
      <c r="N229" s="680">
        <f>SUM(L229,K229,I229,E229)</f>
        <v/>
      </c>
      <c r="O229" s="505" t="n"/>
      <c r="P229" s="673">
        <f>+N229/$E$8*12</f>
        <v/>
      </c>
    </row>
    <row r="230" ht="12.6" customFormat="1" customHeight="1" s="299">
      <c r="B230" s="315">
        <f>IF(B229+1&lt;=$E$21,B229+1,IF(B229&gt;=$E$21,"",IF(B229="","")))</f>
        <v/>
      </c>
      <c r="C230" s="316">
        <f>IF(B230&gt;$E$21,"", DATE(YEAR(C229),MONTH(C229)+1,DAY(C229)))</f>
        <v/>
      </c>
      <c r="D230" s="679">
        <f>VLOOKUP(B230,$G$9:$I$29,3)</f>
        <v/>
      </c>
      <c r="E230" s="680">
        <f>D230*$E$8/12</f>
        <v/>
      </c>
      <c r="F230" s="681">
        <f>IF($C$17="Gross Rent",$B$17*(H230+E230),IF($C$17="Base Rent",$B$17*E230))</f>
        <v/>
      </c>
      <c r="G230" s="681">
        <f>IF($C$16="Base Rent",$B$16*E230,IF($C$16="Gross Rent",$B$16*(H230+E230)))</f>
        <v/>
      </c>
      <c r="H230" s="680">
        <f>IF(MONTH(C230)=MONTH($E$19),((H229*(1+$E$18))),H229)</f>
        <v/>
      </c>
      <c r="I230" s="680">
        <f>SUM(F230:H230)</f>
        <v/>
      </c>
      <c r="J230" s="505" t="n"/>
      <c r="K230" s="681">
        <f>IF($E$37&gt;B230,0,$E$36 IF(B230&gt;$E$21,0,$E$36))</f>
        <v/>
      </c>
      <c r="L230" s="685">
        <f>IF($F$37&gt;B230,0,$F$36 IF(B230&gt;$E$21,0,$F$36))</f>
        <v/>
      </c>
      <c r="M230" s="505" t="n"/>
      <c r="N230" s="680">
        <f>SUM(L230,K230,I230,E230)</f>
        <v/>
      </c>
      <c r="O230" s="505" t="n"/>
      <c r="P230" s="673">
        <f>+N230/$E$8*12</f>
        <v/>
      </c>
    </row>
    <row r="231" ht="12.6" customFormat="1" customHeight="1" s="299">
      <c r="B231" s="315">
        <f>IF(B230+1&lt;=$E$21,B230+1,IF(B230&gt;=$E$21,"",IF(B230="","")))</f>
        <v/>
      </c>
      <c r="C231" s="316">
        <f>IF(B231&gt;$E$21,"", DATE(YEAR(C230),MONTH(C230)+1,DAY(C230)))</f>
        <v/>
      </c>
      <c r="D231" s="679">
        <f>VLOOKUP(B231,$G$9:$I$29,3)</f>
        <v/>
      </c>
      <c r="E231" s="680">
        <f>D231*$E$8/12</f>
        <v/>
      </c>
      <c r="F231" s="681">
        <f>IF($C$17="Gross Rent",$B$17*(H231+E231),IF($C$17="Base Rent",$B$17*E231))</f>
        <v/>
      </c>
      <c r="G231" s="681">
        <f>IF($C$16="Base Rent",$B$16*E231,IF($C$16="Gross Rent",$B$16*(H231+E231)))</f>
        <v/>
      </c>
      <c r="H231" s="680">
        <f>IF(MONTH(C231)=MONTH($E$19),((H230*(1+$E$18))),H230)</f>
        <v/>
      </c>
      <c r="I231" s="680">
        <f>SUM(F231:H231)</f>
        <v/>
      </c>
      <c r="J231" s="505" t="n"/>
      <c r="K231" s="681">
        <f>IF($E$37&gt;B231,0,$E$36 IF(B231&gt;$E$21,0,$E$36))</f>
        <v/>
      </c>
      <c r="L231" s="685">
        <f>IF($F$37&gt;B231,0,$F$36 IF(B231&gt;$E$21,0,$F$36))</f>
        <v/>
      </c>
      <c r="M231" s="505" t="n"/>
      <c r="N231" s="680">
        <f>SUM(L231,K231,I231,E231)</f>
        <v/>
      </c>
      <c r="O231" s="505" t="n"/>
      <c r="P231" s="673">
        <f>+N231/$E$8*12</f>
        <v/>
      </c>
    </row>
    <row r="232" ht="12.6" customFormat="1" customHeight="1" s="299">
      <c r="B232" s="315">
        <f>IF(B231+1&lt;=$E$21,B231+1,IF(B231&gt;=$E$21,"",IF(B231="","")))</f>
        <v/>
      </c>
      <c r="C232" s="316">
        <f>IF(B232&gt;$E$21,"", DATE(YEAR(C231),MONTH(C231)+1,DAY(C231)))</f>
        <v/>
      </c>
      <c r="D232" s="679">
        <f>VLOOKUP(B232,$G$9:$I$29,3)</f>
        <v/>
      </c>
      <c r="E232" s="680">
        <f>D232*$E$8/12</f>
        <v/>
      </c>
      <c r="F232" s="681">
        <f>IF($C$17="Gross Rent",$B$17*(H232+E232),IF($C$17="Base Rent",$B$17*E232))</f>
        <v/>
      </c>
      <c r="G232" s="681">
        <f>IF($C$16="Base Rent",$B$16*E232,IF($C$16="Gross Rent",$B$16*(H232+E232)))</f>
        <v/>
      </c>
      <c r="H232" s="680">
        <f>IF(MONTH(C232)=MONTH($E$19),((H231*(1+$E$18))),H231)</f>
        <v/>
      </c>
      <c r="I232" s="680">
        <f>SUM(F232:H232)</f>
        <v/>
      </c>
      <c r="J232" s="505" t="n"/>
      <c r="K232" s="681">
        <f>IF($E$37&gt;B232,0,$E$36 IF(B232&gt;$E$21,0,$E$36))</f>
        <v/>
      </c>
      <c r="L232" s="685">
        <f>IF($F$37&gt;B232,0,$F$36 IF(B232&gt;$E$21,0,$F$36))</f>
        <v/>
      </c>
      <c r="M232" s="505" t="n"/>
      <c r="N232" s="680">
        <f>SUM(L232,K232,I232,E232)</f>
        <v/>
      </c>
      <c r="O232" s="505" t="n"/>
      <c r="P232" s="673">
        <f>+N232/$E$8*12</f>
        <v/>
      </c>
    </row>
    <row r="233" ht="12.6" customFormat="1" customHeight="1" s="299">
      <c r="B233" s="315">
        <f>IF(B232+1&lt;=$E$21,B232+1,IF(B232&gt;=$E$21,"",IF(B232="","")))</f>
        <v/>
      </c>
      <c r="C233" s="316">
        <f>IF(B233&gt;$E$21,"", DATE(YEAR(C232),MONTH(C232)+1,DAY(C232)))</f>
        <v/>
      </c>
      <c r="D233" s="679">
        <f>VLOOKUP(B233,$G$9:$I$29,3)</f>
        <v/>
      </c>
      <c r="E233" s="680">
        <f>D233*$E$8/12</f>
        <v/>
      </c>
      <c r="F233" s="681">
        <f>IF($C$17="Gross Rent",$B$17*(H233+E233),IF($C$17="Base Rent",$B$17*E233))</f>
        <v/>
      </c>
      <c r="G233" s="681">
        <f>IF($C$16="Base Rent",$B$16*E233,IF($C$16="Gross Rent",$B$16*(H233+E233)))</f>
        <v/>
      </c>
      <c r="H233" s="680">
        <f>IF(MONTH(C233)=MONTH($E$19),((H232*(1+$E$18))),H232)</f>
        <v/>
      </c>
      <c r="I233" s="680">
        <f>SUM(F233:H233)</f>
        <v/>
      </c>
      <c r="J233" s="505" t="n"/>
      <c r="K233" s="681">
        <f>IF($E$37&gt;B233,0,$E$36 IF(B233&gt;$E$21,0,$E$36))</f>
        <v/>
      </c>
      <c r="L233" s="685">
        <f>IF($F$37&gt;B233,0,$F$36 IF(B233&gt;$E$21,0,$F$36))</f>
        <v/>
      </c>
      <c r="M233" s="505" t="n"/>
      <c r="N233" s="680">
        <f>SUM(L233,K233,I233,E233)</f>
        <v/>
      </c>
      <c r="O233" s="505" t="n"/>
      <c r="P233" s="673">
        <f>+N233/$E$8*12</f>
        <v/>
      </c>
    </row>
    <row r="234" ht="12.6" customFormat="1" customHeight="1" s="299">
      <c r="B234" s="315">
        <f>IF(B233+1&lt;=$E$21,B233+1,IF(B233&gt;=$E$21,"",IF(B233="","")))</f>
        <v/>
      </c>
      <c r="C234" s="316">
        <f>IF(B234&gt;$E$21,"", DATE(YEAR(C233),MONTH(C233)+1,DAY(C233)))</f>
        <v/>
      </c>
      <c r="D234" s="679">
        <f>VLOOKUP(B234,$G$9:$I$29,3)</f>
        <v/>
      </c>
      <c r="E234" s="680">
        <f>D234*$E$8/12</f>
        <v/>
      </c>
      <c r="F234" s="681">
        <f>IF($C$17="Gross Rent",$B$17*(H234+E234),IF($C$17="Base Rent",$B$17*E234))</f>
        <v/>
      </c>
      <c r="G234" s="681">
        <f>IF($C$16="Base Rent",$B$16*E234,IF($C$16="Gross Rent",$B$16*(H234+E234)))</f>
        <v/>
      </c>
      <c r="H234" s="680">
        <f>IF(MONTH(C234)=MONTH($E$19),((H233*(1+$E$18))),H233)</f>
        <v/>
      </c>
      <c r="I234" s="680">
        <f>SUM(F234:H234)</f>
        <v/>
      </c>
      <c r="J234" s="505" t="n"/>
      <c r="K234" s="681">
        <f>IF($E$37&gt;B234,0,$E$36 IF(B234&gt;$E$21,0,$E$36))</f>
        <v/>
      </c>
      <c r="L234" s="685">
        <f>IF($F$37&gt;B234,0,$F$36 IF(B234&gt;$E$21,0,$F$36))</f>
        <v/>
      </c>
      <c r="M234" s="505" t="n"/>
      <c r="N234" s="680">
        <f>SUM(L234,K234,I234,E234)</f>
        <v/>
      </c>
      <c r="O234" s="505" t="n"/>
      <c r="P234" s="673">
        <f>+N234/$E$8*12</f>
        <v/>
      </c>
    </row>
    <row r="235" ht="12.6" customFormat="1" customHeight="1" s="299">
      <c r="B235" s="315">
        <f>IF(B234+1&lt;=$E$21,B234+1,IF(B234&gt;=$E$21,"",IF(B234="","")))</f>
        <v/>
      </c>
      <c r="C235" s="316">
        <f>IF(B235&gt;$E$21,"", DATE(YEAR(C234),MONTH(C234)+1,DAY(C234)))</f>
        <v/>
      </c>
      <c r="D235" s="679">
        <f>VLOOKUP(B235,$G$9:$I$29,3)</f>
        <v/>
      </c>
      <c r="E235" s="680">
        <f>D235*$E$8/12</f>
        <v/>
      </c>
      <c r="F235" s="681">
        <f>IF($C$17="Gross Rent",$B$17*(H235+E235),IF($C$17="Base Rent",$B$17*E235))</f>
        <v/>
      </c>
      <c r="G235" s="681">
        <f>IF($C$16="Base Rent",$B$16*E235,IF($C$16="Gross Rent",$B$16*(H235+E235)))</f>
        <v/>
      </c>
      <c r="H235" s="680">
        <f>IF(MONTH(C235)=MONTH($E$19),((H234*(1+$E$18))),H234)</f>
        <v/>
      </c>
      <c r="I235" s="680">
        <f>SUM(F235:H235)</f>
        <v/>
      </c>
      <c r="J235" s="505" t="n"/>
      <c r="K235" s="681">
        <f>IF($E$37&gt;B235,0,$E$36 IF(B235&gt;$E$21,0,$E$36))</f>
        <v/>
      </c>
      <c r="L235" s="685">
        <f>IF($F$37&gt;B235,0,$F$36 IF(B235&gt;$E$21,0,$F$36))</f>
        <v/>
      </c>
      <c r="M235" s="505" t="n"/>
      <c r="N235" s="680">
        <f>SUM(L235,K235,I235,E235)</f>
        <v/>
      </c>
      <c r="O235" s="505" t="n"/>
      <c r="P235" s="673">
        <f>+N235/$E$8*12</f>
        <v/>
      </c>
    </row>
    <row r="236" ht="12.6" customFormat="1" customHeight="1" s="299">
      <c r="B236" s="315">
        <f>IF(B235+1&lt;=$E$21,B235+1,IF(B235&gt;=$E$21,"",IF(B235="","")))</f>
        <v/>
      </c>
      <c r="C236" s="316">
        <f>IF(B236&gt;$E$21,"", DATE(YEAR(C235),MONTH(C235)+1,DAY(C235)))</f>
        <v/>
      </c>
      <c r="D236" s="679">
        <f>VLOOKUP(B236,$G$9:$I$29,3)</f>
        <v/>
      </c>
      <c r="E236" s="680">
        <f>D236*$E$8/12</f>
        <v/>
      </c>
      <c r="F236" s="681">
        <f>IF($C$17="Gross Rent",$B$17*(H236+E236),IF($C$17="Base Rent",$B$17*E236))</f>
        <v/>
      </c>
      <c r="G236" s="681">
        <f>IF($C$16="Base Rent",$B$16*E236,IF($C$16="Gross Rent",$B$16*(H236+E236)))</f>
        <v/>
      </c>
      <c r="H236" s="680">
        <f>IF(MONTH(C236)=MONTH($E$19),((H235*(1+$E$18))),H235)</f>
        <v/>
      </c>
      <c r="I236" s="680">
        <f>SUM(F236:H236)</f>
        <v/>
      </c>
      <c r="J236" s="505" t="n"/>
      <c r="K236" s="681">
        <f>IF($E$37&gt;B236,0,$E$36 IF(B236&gt;$E$21,0,$E$36))</f>
        <v/>
      </c>
      <c r="L236" s="685">
        <f>IF($F$37&gt;B236,0,$F$36 IF(B236&gt;$E$21,0,$F$36))</f>
        <v/>
      </c>
      <c r="M236" s="505" t="n"/>
      <c r="N236" s="680">
        <f>SUM(L236,K236,I236,E236)</f>
        <v/>
      </c>
      <c r="O236" s="505" t="n"/>
      <c r="P236" s="673">
        <f>+N236/$E$8*12</f>
        <v/>
      </c>
    </row>
    <row r="237" ht="12.6" customFormat="1" customHeight="1" s="299">
      <c r="B237" s="315">
        <f>IF(B236+1&lt;=$E$21,B236+1,IF(B236&gt;=$E$21,"",IF(B236="","")))</f>
        <v/>
      </c>
      <c r="C237" s="316">
        <f>IF(B237&gt;$E$21,"", DATE(YEAR(C236),MONTH(C236)+1,DAY(C236)))</f>
        <v/>
      </c>
      <c r="D237" s="679">
        <f>VLOOKUP(B237,$G$9:$I$29,3)</f>
        <v/>
      </c>
      <c r="E237" s="680">
        <f>D237*$E$8/12</f>
        <v/>
      </c>
      <c r="F237" s="681">
        <f>IF($C$17="Gross Rent",$B$17*(H237+E237),IF($C$17="Base Rent",$B$17*E237))</f>
        <v/>
      </c>
      <c r="G237" s="681">
        <f>IF($C$16="Base Rent",$B$16*E237,IF($C$16="Gross Rent",$B$16*(H237+E237)))</f>
        <v/>
      </c>
      <c r="H237" s="680">
        <f>IF(MONTH(C237)=MONTH($E$19),((H236*(1+$E$18))),H236)</f>
        <v/>
      </c>
      <c r="I237" s="680">
        <f>SUM(F237:H237)</f>
        <v/>
      </c>
      <c r="J237" s="505" t="n"/>
      <c r="K237" s="681">
        <f>IF($E$37&gt;B237,0,$E$36 IF(B237&gt;$E$21,0,$E$36))</f>
        <v/>
      </c>
      <c r="L237" s="685">
        <f>IF($F$37&gt;B237,0,$F$36 IF(B237&gt;$E$21,0,$F$36))</f>
        <v/>
      </c>
      <c r="M237" s="505" t="n"/>
      <c r="N237" s="680">
        <f>SUM(L237,K237,I237,E237)</f>
        <v/>
      </c>
      <c r="O237" s="505" t="n"/>
      <c r="P237" s="673">
        <f>+N237/$E$8*12</f>
        <v/>
      </c>
    </row>
    <row r="238" ht="12.6" customFormat="1" customHeight="1" s="299">
      <c r="B238" s="315">
        <f>IF(B237+1&lt;=$E$21,B237+1,IF(B237&gt;=$E$21,"",IF(B237="","")))</f>
        <v/>
      </c>
      <c r="C238" s="316">
        <f>IF(B238&gt;$E$21,"", DATE(YEAR(C237),MONTH(C237)+1,DAY(C237)))</f>
        <v/>
      </c>
      <c r="D238" s="679">
        <f>VLOOKUP(B238,$G$9:$I$29,3)</f>
        <v/>
      </c>
      <c r="E238" s="680">
        <f>D238*$E$8/12</f>
        <v/>
      </c>
      <c r="F238" s="681">
        <f>IF($C$17="Gross Rent",$B$17*(H238+E238),IF($C$17="Base Rent",$B$17*E238))</f>
        <v/>
      </c>
      <c r="G238" s="681">
        <f>IF($C$16="Base Rent",$B$16*E238,IF($C$16="Gross Rent",$B$16*(H238+E238)))</f>
        <v/>
      </c>
      <c r="H238" s="680">
        <f>IF(MONTH(C238)=MONTH($E$19),((H237*(1+$E$18))),H237)</f>
        <v/>
      </c>
      <c r="I238" s="680">
        <f>SUM(F238:H238)</f>
        <v/>
      </c>
      <c r="J238" s="505" t="n"/>
      <c r="K238" s="681">
        <f>IF($E$37&gt;B238,0,$E$36 IF(B238&gt;$E$21,0,$E$36))</f>
        <v/>
      </c>
      <c r="L238" s="685">
        <f>IF($F$37&gt;B238,0,$F$36 IF(B238&gt;$E$21,0,$F$36))</f>
        <v/>
      </c>
      <c r="M238" s="505" t="n"/>
      <c r="N238" s="680">
        <f>SUM(L238,K238,I238,E238)</f>
        <v/>
      </c>
      <c r="O238" s="505" t="n"/>
      <c r="P238" s="673">
        <f>+N238/$E$8*12</f>
        <v/>
      </c>
    </row>
    <row r="239" ht="12.6" customFormat="1" customHeight="1" s="299">
      <c r="B239" s="315">
        <f>IF(B238+1&lt;=$E$21,B238+1,IF(B238&gt;=$E$21,"",IF(B238="","")))</f>
        <v/>
      </c>
      <c r="C239" s="316">
        <f>IF(B239&gt;$E$21,"", DATE(YEAR(C238),MONTH(C238)+1,DAY(C238)))</f>
        <v/>
      </c>
      <c r="D239" s="679">
        <f>VLOOKUP(B239,$G$9:$I$29,3)</f>
        <v/>
      </c>
      <c r="E239" s="680">
        <f>D239*$E$8/12</f>
        <v/>
      </c>
      <c r="F239" s="681">
        <f>IF($C$17="Gross Rent",$B$17*(H239+E239),IF($C$17="Base Rent",$B$17*E239))</f>
        <v/>
      </c>
      <c r="G239" s="681">
        <f>IF($C$16="Base Rent",$B$16*E239,IF($C$16="Gross Rent",$B$16*(H239+E239)))</f>
        <v/>
      </c>
      <c r="H239" s="680">
        <f>IF(MONTH(C239)=MONTH($E$19),((H238*(1+$E$18))),H238)</f>
        <v/>
      </c>
      <c r="I239" s="680">
        <f>SUM(F239:H239)</f>
        <v/>
      </c>
      <c r="J239" s="505" t="n"/>
      <c r="K239" s="681">
        <f>IF($E$37&gt;B239,0,$E$36 IF(B239&gt;$E$21,0,$E$36))</f>
        <v/>
      </c>
      <c r="L239" s="685">
        <f>IF($F$37&gt;B239,0,$F$36 IF(B239&gt;$E$21,0,$F$36))</f>
        <v/>
      </c>
      <c r="M239" s="505" t="n"/>
      <c r="N239" s="680">
        <f>SUM(L239,K239,I239,E239)</f>
        <v/>
      </c>
      <c r="O239" s="505" t="n"/>
      <c r="P239" s="673">
        <f>+N239/$E$8*12</f>
        <v/>
      </c>
    </row>
    <row r="240" ht="12.6" customFormat="1" customHeight="1" s="299">
      <c r="B240" s="315">
        <f>IF(B239+1&lt;=$E$21,B239+1,IF(B239&gt;=$E$21,"",IF(B239="","")))</f>
        <v/>
      </c>
      <c r="C240" s="316">
        <f>IF(B240&gt;$E$21,"", DATE(YEAR(C239),MONTH(C239)+1,DAY(C239)))</f>
        <v/>
      </c>
      <c r="D240" s="679">
        <f>VLOOKUP(B240,$G$9:$I$29,3)</f>
        <v/>
      </c>
      <c r="E240" s="680">
        <f>D240*$E$8/12</f>
        <v/>
      </c>
      <c r="F240" s="681">
        <f>IF($C$17="Gross Rent",$B$17*(H240+E240),IF($C$17="Base Rent",$B$17*E240))</f>
        <v/>
      </c>
      <c r="G240" s="681">
        <f>IF($C$16="Base Rent",$B$16*E240,IF($C$16="Gross Rent",$B$16*(H240+E240)))</f>
        <v/>
      </c>
      <c r="H240" s="680">
        <f>IF(MONTH(C240)=MONTH($E$19),((H239*(1+$E$18))),H239)</f>
        <v/>
      </c>
      <c r="I240" s="680">
        <f>SUM(F240:H240)</f>
        <v/>
      </c>
      <c r="J240" s="505" t="n"/>
      <c r="K240" s="681">
        <f>IF($E$37&gt;B240,0,$E$36 IF(B240&gt;$E$21,0,$E$36))</f>
        <v/>
      </c>
      <c r="L240" s="685">
        <f>IF($F$37&gt;B240,0,$F$36 IF(B240&gt;$E$21,0,$F$36))</f>
        <v/>
      </c>
      <c r="M240" s="505" t="n"/>
      <c r="N240" s="680">
        <f>SUM(L240,K240,I240,E240)</f>
        <v/>
      </c>
      <c r="O240" s="505" t="n"/>
      <c r="P240" s="673">
        <f>+N240/$E$8*12</f>
        <v/>
      </c>
    </row>
    <row r="241" ht="12.6" customFormat="1" customHeight="1" s="299">
      <c r="B241" s="315">
        <f>IF(B240+1&lt;=$E$21,B240+1,IF(B240&gt;=$E$21,"",IF(B240="","")))</f>
        <v/>
      </c>
      <c r="C241" s="316">
        <f>IF(B241&gt;$E$21,"", DATE(YEAR(C240),MONTH(C240)+1,DAY(C240)))</f>
        <v/>
      </c>
      <c r="D241" s="679">
        <f>VLOOKUP(B241,$G$9:$I$29,3)</f>
        <v/>
      </c>
      <c r="E241" s="680">
        <f>D241*$E$8/12</f>
        <v/>
      </c>
      <c r="F241" s="681">
        <f>IF($C$17="Gross Rent",$B$17*(H241+E241),IF($C$17="Base Rent",$B$17*E241))</f>
        <v/>
      </c>
      <c r="G241" s="681">
        <f>IF($C$16="Base Rent",$B$16*E241,IF($C$16="Gross Rent",$B$16*(H241+E241)))</f>
        <v/>
      </c>
      <c r="H241" s="680">
        <f>IF(MONTH(C241)=MONTH($E$19),((H240*(1+$E$18))),H240)</f>
        <v/>
      </c>
      <c r="I241" s="680">
        <f>SUM(F241:H241)</f>
        <v/>
      </c>
      <c r="J241" s="505" t="n"/>
      <c r="K241" s="681">
        <f>IF($E$37&gt;B241,0,$E$36 IF(B241&gt;$E$21,0,$E$36))</f>
        <v/>
      </c>
      <c r="L241" s="685">
        <f>IF($F$37&gt;B241,0,$F$36 IF(B241&gt;$E$21,0,$F$36))</f>
        <v/>
      </c>
      <c r="M241" s="505" t="n"/>
      <c r="N241" s="680">
        <f>SUM(L241,K241,I241,E241)</f>
        <v/>
      </c>
      <c r="O241" s="505" t="n"/>
      <c r="P241" s="673">
        <f>+N241/$E$8*12</f>
        <v/>
      </c>
    </row>
    <row r="242" ht="12.6" customFormat="1" customHeight="1" s="299">
      <c r="B242" s="315">
        <f>IF(B241+1&lt;=$E$21,B241+1,IF(B241&gt;=$E$21,"",IF(B241="","")))</f>
        <v/>
      </c>
      <c r="C242" s="316">
        <f>IF(B242&gt;$E$21,"", DATE(YEAR(C241),MONTH(C241)+1,DAY(C241)))</f>
        <v/>
      </c>
      <c r="D242" s="679">
        <f>VLOOKUP(B242,$G$9:$I$29,3)</f>
        <v/>
      </c>
      <c r="E242" s="680">
        <f>D242*$E$8/12</f>
        <v/>
      </c>
      <c r="F242" s="681">
        <f>IF($C$17="Gross Rent",$B$17*(H242+E242),IF($C$17="Base Rent",$B$17*E242))</f>
        <v/>
      </c>
      <c r="G242" s="681">
        <f>IF($C$16="Base Rent",$B$16*E242,IF($C$16="Gross Rent",$B$16*(H242+E242)))</f>
        <v/>
      </c>
      <c r="H242" s="680">
        <f>IF(MONTH(C242)=MONTH($E$19),((H241*(1+$E$18))),H241)</f>
        <v/>
      </c>
      <c r="I242" s="680">
        <f>SUM(F242:H242)</f>
        <v/>
      </c>
      <c r="J242" s="505" t="n"/>
      <c r="K242" s="681">
        <f>IF($E$37&gt;B242,0,$E$36 IF(B242&gt;$E$21,0,$E$36))</f>
        <v/>
      </c>
      <c r="L242" s="685">
        <f>IF($F$37&gt;B242,0,$F$36 IF(B242&gt;$E$21,0,$F$36))</f>
        <v/>
      </c>
      <c r="M242" s="505" t="n"/>
      <c r="N242" s="680">
        <f>SUM(L242,K242,I242,E242)</f>
        <v/>
      </c>
      <c r="O242" s="505" t="n"/>
      <c r="P242" s="673">
        <f>+N242/$E$8*12</f>
        <v/>
      </c>
    </row>
    <row r="243" ht="12.6" customFormat="1" customHeight="1" s="299">
      <c r="B243" s="315">
        <f>IF(B242+1&lt;=$E$21,B242+1,IF(B242&gt;=$E$21,"",IF(B242="","")))</f>
        <v/>
      </c>
      <c r="C243" s="316">
        <f>IF(B243&gt;$E$21,"", DATE(YEAR(C242),MONTH(C242)+1,DAY(C242)))</f>
        <v/>
      </c>
      <c r="D243" s="679">
        <f>VLOOKUP(B243,$G$9:$I$29,3)</f>
        <v/>
      </c>
      <c r="E243" s="680">
        <f>D243*$E$8/12</f>
        <v/>
      </c>
      <c r="F243" s="681">
        <f>IF($C$17="Gross Rent",$B$17*(H243+E243),IF($C$17="Base Rent",$B$17*E243))</f>
        <v/>
      </c>
      <c r="G243" s="681">
        <f>IF($C$16="Base Rent",$B$16*E243,IF($C$16="Gross Rent",$B$16*(H243+E243)))</f>
        <v/>
      </c>
      <c r="H243" s="680">
        <f>IF(MONTH(C243)=MONTH($E$19),((H242*(1+$E$18))),H242)</f>
        <v/>
      </c>
      <c r="I243" s="680">
        <f>SUM(F243:H243)</f>
        <v/>
      </c>
      <c r="J243" s="505" t="n"/>
      <c r="K243" s="681">
        <f>IF($E$37&gt;B243,0,$E$36 IF(B243&gt;$E$21,0,$E$36))</f>
        <v/>
      </c>
      <c r="L243" s="685">
        <f>IF($F$37&gt;B243,0,$F$36 IF(B243&gt;$E$21,0,$F$36))</f>
        <v/>
      </c>
      <c r="M243" s="505" t="n"/>
      <c r="N243" s="680">
        <f>SUM(L243,K243,I243,E243)</f>
        <v/>
      </c>
      <c r="O243" s="505" t="n"/>
      <c r="P243" s="673">
        <f>+N243/$E$8*12</f>
        <v/>
      </c>
    </row>
    <row r="244" ht="12.6" customFormat="1" customHeight="1" s="299">
      <c r="B244" s="315">
        <f>IF(B243+1&lt;=$E$21,B243+1,IF(B243&gt;=$E$21,"",IF(B243="","")))</f>
        <v/>
      </c>
      <c r="C244" s="316">
        <f>IF(B244&gt;$E$21,"", DATE(YEAR(C243),MONTH(C243)+1,DAY(C243)))</f>
        <v/>
      </c>
      <c r="D244" s="679">
        <f>VLOOKUP(B244,$G$9:$I$29,3)</f>
        <v/>
      </c>
      <c r="E244" s="680">
        <f>D244*$E$8/12</f>
        <v/>
      </c>
      <c r="F244" s="681">
        <f>IF($C$17="Gross Rent",$B$17*(H244+E244),IF($C$17="Base Rent",$B$17*E244))</f>
        <v/>
      </c>
      <c r="G244" s="681">
        <f>IF($C$16="Base Rent",$B$16*E244,IF($C$16="Gross Rent",$B$16*(H244+E244)))</f>
        <v/>
      </c>
      <c r="H244" s="680">
        <f>IF(MONTH(C244)=MONTH($E$19),((H243*(1+$E$18))),H243)</f>
        <v/>
      </c>
      <c r="I244" s="680">
        <f>SUM(F244:H244)</f>
        <v/>
      </c>
      <c r="J244" s="505" t="n"/>
      <c r="K244" s="681">
        <f>IF($E$37&gt;B244,0,$E$36 IF(B244&gt;$E$21,0,$E$36))</f>
        <v/>
      </c>
      <c r="L244" s="685">
        <f>IF($F$37&gt;B244,0,$F$36 IF(B244&gt;$E$21,0,$F$36))</f>
        <v/>
      </c>
      <c r="M244" s="505" t="n"/>
      <c r="N244" s="680">
        <f>SUM(L244,K244,I244,E244)</f>
        <v/>
      </c>
      <c r="O244" s="505" t="n"/>
      <c r="P244" s="673">
        <f>+N244/$E$8*12</f>
        <v/>
      </c>
    </row>
    <row r="245" ht="12.6" customFormat="1" customHeight="1" s="299">
      <c r="B245" s="315">
        <f>IF(B244+1&lt;=$E$21,B244+1,IF(B244&gt;=$E$21,"",IF(B244="","")))</f>
        <v/>
      </c>
      <c r="C245" s="316">
        <f>IF(B245&gt;$E$21,"", DATE(YEAR(C244),MONTH(C244)+1,DAY(C244)))</f>
        <v/>
      </c>
      <c r="D245" s="679">
        <f>VLOOKUP(B245,$G$9:$I$29,3)</f>
        <v/>
      </c>
      <c r="E245" s="680">
        <f>D245*$E$8/12</f>
        <v/>
      </c>
      <c r="F245" s="681">
        <f>IF($C$17="Gross Rent",$B$17*(H245+E245),IF($C$17="Base Rent",$B$17*E245))</f>
        <v/>
      </c>
      <c r="G245" s="681">
        <f>IF($C$16="Base Rent",$B$16*E245,IF($C$16="Gross Rent",$B$16*(H245+E245)))</f>
        <v/>
      </c>
      <c r="H245" s="680">
        <f>IF(MONTH(C245)=MONTH($E$19),((H244*(1+$E$18))),H244)</f>
        <v/>
      </c>
      <c r="I245" s="680">
        <f>SUM(F245:H245)</f>
        <v/>
      </c>
      <c r="J245" s="505" t="n"/>
      <c r="K245" s="681">
        <f>IF($E$37&gt;B245,0,$E$36 IF(B245&gt;$E$21,0,$E$36))</f>
        <v/>
      </c>
      <c r="L245" s="685">
        <f>IF($F$37&gt;B245,0,$F$36 IF(B245&gt;$E$21,0,$F$36))</f>
        <v/>
      </c>
      <c r="M245" s="505" t="n"/>
      <c r="N245" s="680">
        <f>SUM(L245,K245,I245,E245)</f>
        <v/>
      </c>
      <c r="O245" s="505" t="n"/>
      <c r="P245" s="673">
        <f>+N245/$E$8*12</f>
        <v/>
      </c>
    </row>
    <row r="246" ht="12.6" customFormat="1" customHeight="1" s="299">
      <c r="B246" s="315">
        <f>IF(B245+1&lt;=$E$21,B245+1,IF(B245&gt;=$E$21,"",IF(B245="","")))</f>
        <v/>
      </c>
      <c r="C246" s="316">
        <f>IF(B246&gt;$E$21,"", DATE(YEAR(C245),MONTH(C245)+1,DAY(C245)))</f>
        <v/>
      </c>
      <c r="D246" s="679">
        <f>VLOOKUP(B246,$G$9:$I$29,3)</f>
        <v/>
      </c>
      <c r="E246" s="680">
        <f>D246*$E$8/12</f>
        <v/>
      </c>
      <c r="F246" s="681">
        <f>IF($C$17="Gross Rent",$B$17*(H246+E246),IF($C$17="Base Rent",$B$17*E246))</f>
        <v/>
      </c>
      <c r="G246" s="681">
        <f>IF($C$16="Base Rent",$B$16*E246,IF($C$16="Gross Rent",$B$16*(H246+E246)))</f>
        <v/>
      </c>
      <c r="H246" s="680">
        <f>IF(MONTH(C246)=MONTH($E$19),((H245*(1+$E$18))),H245)</f>
        <v/>
      </c>
      <c r="I246" s="680">
        <f>SUM(F246:H246)</f>
        <v/>
      </c>
      <c r="J246" s="505" t="n"/>
      <c r="K246" s="681">
        <f>IF($E$37&gt;B246,0,$E$36 IF(B246&gt;$E$21,0,$E$36))</f>
        <v/>
      </c>
      <c r="L246" s="685">
        <f>IF($F$37&gt;B246,0,$F$36 IF(B246&gt;$E$21,0,$F$36))</f>
        <v/>
      </c>
      <c r="M246" s="505" t="n"/>
      <c r="N246" s="680">
        <f>SUM(L246,K246,I246,E246)</f>
        <v/>
      </c>
      <c r="O246" s="505" t="n"/>
      <c r="P246" s="673">
        <f>+N246/$E$8*12</f>
        <v/>
      </c>
    </row>
    <row r="247" ht="12.6" customFormat="1" customHeight="1" s="299">
      <c r="B247" s="315">
        <f>IF(B246+1&lt;=$E$21,B246+1,IF(B246&gt;=$E$21,"",IF(B246="","")))</f>
        <v/>
      </c>
      <c r="C247" s="316">
        <f>IF(B247&gt;$E$21,"", DATE(YEAR(C246),MONTH(C246)+1,DAY(C246)))</f>
        <v/>
      </c>
      <c r="D247" s="679">
        <f>VLOOKUP(B247,$G$9:$I$29,3)</f>
        <v/>
      </c>
      <c r="E247" s="680">
        <f>D247*$E$8/12</f>
        <v/>
      </c>
      <c r="F247" s="681">
        <f>IF($C$17="Gross Rent",$B$17*(H247+E247),IF($C$17="Base Rent",$B$17*E247))</f>
        <v/>
      </c>
      <c r="G247" s="681">
        <f>IF($C$16="Base Rent",$B$16*E247,IF($C$16="Gross Rent",$B$16*(H247+E247)))</f>
        <v/>
      </c>
      <c r="H247" s="680">
        <f>IF(MONTH(C247)=MONTH($E$19),((H246*(1+$E$18))),H246)</f>
        <v/>
      </c>
      <c r="I247" s="680">
        <f>SUM(F247:H247)</f>
        <v/>
      </c>
      <c r="J247" s="505" t="n"/>
      <c r="K247" s="681">
        <f>IF($E$37&gt;B247,0,$E$36 IF(B247&gt;$E$21,0,$E$36))</f>
        <v/>
      </c>
      <c r="L247" s="685">
        <f>IF($F$37&gt;B247,0,$F$36 IF(B247&gt;$E$21,0,$F$36))</f>
        <v/>
      </c>
      <c r="M247" s="505" t="n"/>
      <c r="N247" s="680">
        <f>SUM(L247,K247,I247,E247)</f>
        <v/>
      </c>
      <c r="O247" s="505" t="n"/>
      <c r="P247" s="673">
        <f>+N247/$E$8*12</f>
        <v/>
      </c>
    </row>
    <row r="248" ht="12.6" customFormat="1" customHeight="1" s="299">
      <c r="B248" s="315">
        <f>IF(B247+1&lt;=$E$21,B247+1,IF(B247&gt;=$E$21,"",IF(B247="","")))</f>
        <v/>
      </c>
      <c r="C248" s="316">
        <f>IF(B248&gt;$E$21,"", DATE(YEAR(C247),MONTH(C247)+1,DAY(C247)))</f>
        <v/>
      </c>
      <c r="D248" s="679">
        <f>VLOOKUP(B248,$G$9:$I$29,3)</f>
        <v/>
      </c>
      <c r="E248" s="680">
        <f>D248*$E$8/12</f>
        <v/>
      </c>
      <c r="F248" s="681">
        <f>IF($C$17="Gross Rent",$B$17*(H248+E248),IF($C$17="Base Rent",$B$17*E248))</f>
        <v/>
      </c>
      <c r="G248" s="681">
        <f>IF($C$16="Base Rent",$B$16*E248,IF($C$16="Gross Rent",$B$16*(H248+E248)))</f>
        <v/>
      </c>
      <c r="H248" s="680">
        <f>IF(MONTH(C248)=MONTH($E$19),((H247*(1+$E$18))),H247)</f>
        <v/>
      </c>
      <c r="I248" s="680">
        <f>SUM(F248:H248)</f>
        <v/>
      </c>
      <c r="J248" s="505" t="n"/>
      <c r="K248" s="681">
        <f>IF($E$37&gt;B248,0,$E$36 IF(B248&gt;$E$21,0,$E$36))</f>
        <v/>
      </c>
      <c r="L248" s="685">
        <f>IF($F$37&gt;B248,0,$F$36 IF(B248&gt;$E$21,0,$F$36))</f>
        <v/>
      </c>
      <c r="M248" s="505" t="n"/>
      <c r="N248" s="680">
        <f>SUM(L248,K248,I248,E248)</f>
        <v/>
      </c>
      <c r="O248" s="505" t="n"/>
      <c r="P248" s="673">
        <f>+N248/$E$8*12</f>
        <v/>
      </c>
    </row>
    <row r="249" ht="12.6" customFormat="1" customHeight="1" s="299">
      <c r="B249" s="315">
        <f>IF(B248+1&lt;=$E$21,B248+1,IF(B248&gt;=$E$21,"",IF(B248="","")))</f>
        <v/>
      </c>
      <c r="C249" s="316">
        <f>IF(B249&gt;$E$21,"", DATE(YEAR(C248),MONTH(C248)+1,DAY(C248)))</f>
        <v/>
      </c>
      <c r="D249" s="679">
        <f>VLOOKUP(B249,$G$9:$I$29,3)</f>
        <v/>
      </c>
      <c r="E249" s="680">
        <f>D249*$E$8/12</f>
        <v/>
      </c>
      <c r="F249" s="681">
        <f>IF($C$17="Gross Rent",$B$17*(H249+E249),IF($C$17="Base Rent",$B$17*E249))</f>
        <v/>
      </c>
      <c r="G249" s="681">
        <f>IF($C$16="Base Rent",$B$16*E249,IF($C$16="Gross Rent",$B$16*(H249+E249)))</f>
        <v/>
      </c>
      <c r="H249" s="680">
        <f>IF(MONTH(C249)=MONTH($E$19),((H248*(1+$E$18))),H248)</f>
        <v/>
      </c>
      <c r="I249" s="680">
        <f>SUM(F249:H249)</f>
        <v/>
      </c>
      <c r="J249" s="505" t="n"/>
      <c r="K249" s="681">
        <f>IF($E$37&gt;B249,0,$E$36 IF(B249&gt;$E$21,0,$E$36))</f>
        <v/>
      </c>
      <c r="L249" s="685">
        <f>IF($F$37&gt;B249,0,$F$36 IF(B249&gt;$E$21,0,$F$36))</f>
        <v/>
      </c>
      <c r="M249" s="505" t="n"/>
      <c r="N249" s="680">
        <f>SUM(L249,K249,I249,E249)</f>
        <v/>
      </c>
      <c r="O249" s="505" t="n"/>
      <c r="P249" s="673">
        <f>+N249/$E$8*12</f>
        <v/>
      </c>
    </row>
    <row r="250" ht="12.6" customFormat="1" customHeight="1" s="299">
      <c r="B250" s="315">
        <f>IF(B249+1&lt;=$E$21,B249+1,IF(B249&gt;=$E$21,"",IF(B249="","")))</f>
        <v/>
      </c>
      <c r="C250" s="316">
        <f>IF(B250&gt;$E$21,"", DATE(YEAR(C249),MONTH(C249)+1,DAY(C249)))</f>
        <v/>
      </c>
      <c r="D250" s="679">
        <f>VLOOKUP(B250,$G$9:$I$29,3)</f>
        <v/>
      </c>
      <c r="E250" s="680">
        <f>D250*$E$8/12</f>
        <v/>
      </c>
      <c r="F250" s="681">
        <f>IF($C$17="Gross Rent",$B$17*(H250+E250),IF($C$17="Base Rent",$B$17*E250))</f>
        <v/>
      </c>
      <c r="G250" s="681">
        <f>IF($C$16="Base Rent",$B$16*E250,IF($C$16="Gross Rent",$B$16*(H250+E250)))</f>
        <v/>
      </c>
      <c r="H250" s="680">
        <f>IF(MONTH(C250)=MONTH($E$19),((H249*(1+$E$18))),H249)</f>
        <v/>
      </c>
      <c r="I250" s="680">
        <f>SUM(F250:H250)</f>
        <v/>
      </c>
      <c r="J250" s="505" t="n"/>
      <c r="K250" s="681">
        <f>IF($E$37&gt;B250,0,$E$36 IF(B250&gt;$E$21,0,$E$36))</f>
        <v/>
      </c>
      <c r="L250" s="685">
        <f>IF($F$37&gt;B250,0,$F$36 IF(B250&gt;$E$21,0,$F$36))</f>
        <v/>
      </c>
      <c r="M250" s="505" t="n"/>
      <c r="N250" s="680">
        <f>SUM(L250,K250,I250,E250)</f>
        <v/>
      </c>
      <c r="O250" s="505" t="n"/>
      <c r="P250" s="673">
        <f>+N250/$E$8*12</f>
        <v/>
      </c>
    </row>
    <row r="251" ht="12.6" customFormat="1" customHeight="1" s="299">
      <c r="B251" s="315">
        <f>IF(B250+1&lt;=$E$21,B250+1,IF(B250&gt;=$E$21,"",IF(B250="","")))</f>
        <v/>
      </c>
      <c r="C251" s="316">
        <f>IF(B251&gt;$E$21,"", DATE(YEAR(C250),MONTH(C250)+1,DAY(C250)))</f>
        <v/>
      </c>
      <c r="D251" s="679">
        <f>VLOOKUP(B251,$G$9:$I$29,3)</f>
        <v/>
      </c>
      <c r="E251" s="680">
        <f>D251*$E$8/12</f>
        <v/>
      </c>
      <c r="F251" s="681">
        <f>IF($C$17="Gross Rent",$B$17*(H251+E251),IF($C$17="Base Rent",$B$17*E251))</f>
        <v/>
      </c>
      <c r="G251" s="681">
        <f>IF($C$16="Base Rent",$B$16*E251,IF($C$16="Gross Rent",$B$16*(H251+E251)))</f>
        <v/>
      </c>
      <c r="H251" s="680">
        <f>IF(MONTH(C251)=MONTH($E$19),((H250*(1+$E$18))),H250)</f>
        <v/>
      </c>
      <c r="I251" s="680">
        <f>SUM(F251:H251)</f>
        <v/>
      </c>
      <c r="J251" s="505" t="n"/>
      <c r="K251" s="681">
        <f>IF($E$37&gt;B251,0,$E$36 IF(B251&gt;$E$21,0,$E$36))</f>
        <v/>
      </c>
      <c r="L251" s="685">
        <f>IF($F$37&gt;B251,0,$F$36 IF(B251&gt;$E$21,0,$F$36))</f>
        <v/>
      </c>
      <c r="M251" s="505" t="n"/>
      <c r="N251" s="680">
        <f>SUM(L251,K251,I251,E251)</f>
        <v/>
      </c>
      <c r="O251" s="505" t="n"/>
      <c r="P251" s="673">
        <f>+N251/$E$8*12</f>
        <v/>
      </c>
    </row>
    <row r="252" ht="12.6" customFormat="1" customHeight="1" s="299">
      <c r="B252" s="315">
        <f>IF(B251+1&lt;=$E$21,B251+1,IF(B251&gt;=$E$21,"",IF(B251="","")))</f>
        <v/>
      </c>
      <c r="C252" s="316">
        <f>IF(B252&gt;$E$21,"", DATE(YEAR(C251),MONTH(C251)+1,DAY(C251)))</f>
        <v/>
      </c>
      <c r="D252" s="679">
        <f>VLOOKUP(B252,$G$9:$I$29,3)</f>
        <v/>
      </c>
      <c r="E252" s="680">
        <f>D252*$E$8/12</f>
        <v/>
      </c>
      <c r="F252" s="681">
        <f>IF($C$17="Gross Rent",$B$17*(H252+E252),IF($C$17="Base Rent",$B$17*E252))</f>
        <v/>
      </c>
      <c r="G252" s="681">
        <f>IF($C$16="Base Rent",$B$16*E252,IF($C$16="Gross Rent",$B$16*(H252+E252)))</f>
        <v/>
      </c>
      <c r="H252" s="680">
        <f>IF(MONTH(C252)=MONTH($E$19),((H251*(1+$E$18))),H251)</f>
        <v/>
      </c>
      <c r="I252" s="680">
        <f>SUM(F252:H252)</f>
        <v/>
      </c>
      <c r="J252" s="505" t="n"/>
      <c r="K252" s="681">
        <f>IF($E$37&gt;B252,0,$E$36 IF(B252&gt;$E$21,0,$E$36))</f>
        <v/>
      </c>
      <c r="L252" s="685">
        <f>IF($F$37&gt;B252,0,$F$36 IF(B252&gt;$E$21,0,$F$36))</f>
        <v/>
      </c>
      <c r="M252" s="505" t="n"/>
      <c r="N252" s="680">
        <f>SUM(L252,K252,I252,E252)</f>
        <v/>
      </c>
      <c r="O252" s="505" t="n"/>
      <c r="P252" s="673">
        <f>+N252/$E$8*12</f>
        <v/>
      </c>
    </row>
    <row r="253" ht="12.6" customFormat="1" customHeight="1" s="299">
      <c r="B253" s="315">
        <f>IF(B252+1&lt;=$E$21,B252+1,IF(B252&gt;=$E$21,"",IF(B252="","")))</f>
        <v/>
      </c>
      <c r="C253" s="316">
        <f>IF(B253&gt;$E$21,"", DATE(YEAR(C252),MONTH(C252)+1,DAY(C252)))</f>
        <v/>
      </c>
      <c r="D253" s="679">
        <f>VLOOKUP(B253,$G$9:$I$29,3)</f>
        <v/>
      </c>
      <c r="E253" s="680">
        <f>D253*$E$8/12</f>
        <v/>
      </c>
      <c r="F253" s="681">
        <f>IF($C$17="Gross Rent",$B$17*(H253+E253),IF($C$17="Base Rent",$B$17*E253))</f>
        <v/>
      </c>
      <c r="G253" s="681">
        <f>IF($C$16="Base Rent",$B$16*E253,IF($C$16="Gross Rent",$B$16*(H253+E253)))</f>
        <v/>
      </c>
      <c r="H253" s="680">
        <f>IF(MONTH(C253)=MONTH($E$19),((H252*(1+$E$18))),H252)</f>
        <v/>
      </c>
      <c r="I253" s="680">
        <f>SUM(F253:H253)</f>
        <v/>
      </c>
      <c r="J253" s="505" t="n"/>
      <c r="K253" s="681">
        <f>IF($E$37&gt;B253,0,$E$36 IF(B253&gt;$E$21,0,$E$36))</f>
        <v/>
      </c>
      <c r="L253" s="685">
        <f>IF($F$37&gt;B253,0,$F$36 IF(B253&gt;$E$21,0,$F$36))</f>
        <v/>
      </c>
      <c r="M253" s="505" t="n"/>
      <c r="N253" s="680">
        <f>SUM(L253,K253,I253,E253)</f>
        <v/>
      </c>
      <c r="O253" s="505" t="n"/>
      <c r="P253" s="673">
        <f>+N253/$E$8*12</f>
        <v/>
      </c>
    </row>
    <row r="254" ht="12.6" customFormat="1" customHeight="1" s="299">
      <c r="B254" s="315">
        <f>IF(B253+1&lt;=$E$21,B253+1,IF(B253&gt;=$E$21,"",IF(B253="","")))</f>
        <v/>
      </c>
      <c r="C254" s="316">
        <f>IF(B254&gt;$E$21,"", DATE(YEAR(C253),MONTH(C253)+1,DAY(C253)))</f>
        <v/>
      </c>
      <c r="D254" s="679">
        <f>VLOOKUP(B254,$G$9:$I$29,3)</f>
        <v/>
      </c>
      <c r="E254" s="680">
        <f>D254*$E$8/12</f>
        <v/>
      </c>
      <c r="F254" s="681">
        <f>IF($C$17="Gross Rent",$B$17*(H254+E254),IF($C$17="Base Rent",$B$17*E254))</f>
        <v/>
      </c>
      <c r="G254" s="681">
        <f>IF($C$16="Base Rent",$B$16*E254,IF($C$16="Gross Rent",$B$16*(H254+E254)))</f>
        <v/>
      </c>
      <c r="H254" s="680">
        <f>IF(MONTH(C254)=MONTH($E$19),((H253*(1+$E$18))),H253)</f>
        <v/>
      </c>
      <c r="I254" s="680">
        <f>SUM(F254:H254)</f>
        <v/>
      </c>
      <c r="J254" s="505" t="n"/>
      <c r="K254" s="681">
        <f>IF($E$37&gt;B254,0,$E$36 IF(B254&gt;$E$21,0,$E$36))</f>
        <v/>
      </c>
      <c r="L254" s="685">
        <f>IF($F$37&gt;B254,0,$F$36 IF(B254&gt;$E$21,0,$F$36))</f>
        <v/>
      </c>
      <c r="M254" s="505" t="n"/>
      <c r="N254" s="680">
        <f>SUM(L254,K254,I254,E254)</f>
        <v/>
      </c>
      <c r="O254" s="505" t="n"/>
      <c r="P254" s="673">
        <f>+N254/$E$8*12</f>
        <v/>
      </c>
    </row>
    <row r="255" ht="12.6" customFormat="1" customHeight="1" s="299">
      <c r="B255" s="315">
        <f>IF(B254+1&lt;=$E$21,B254+1,IF(B254&gt;=$E$21,"",IF(B254="","")))</f>
        <v/>
      </c>
      <c r="C255" s="316">
        <f>IF(B255&gt;$E$21,"", DATE(YEAR(C254),MONTH(C254)+1,DAY(C254)))</f>
        <v/>
      </c>
      <c r="D255" s="679">
        <f>VLOOKUP(B255,$G$9:$I$29,3)</f>
        <v/>
      </c>
      <c r="E255" s="680">
        <f>D255*$E$8/12</f>
        <v/>
      </c>
      <c r="F255" s="681">
        <f>IF($C$17="Gross Rent",$B$17*(H255+E255),IF($C$17="Base Rent",$B$17*E255))</f>
        <v/>
      </c>
      <c r="G255" s="681">
        <f>IF($C$16="Base Rent",$B$16*E255,IF($C$16="Gross Rent",$B$16*(H255+E255)))</f>
        <v/>
      </c>
      <c r="H255" s="680">
        <f>IF(MONTH(C255)=MONTH($E$19),((H254*(1+$E$18))),H254)</f>
        <v/>
      </c>
      <c r="I255" s="680">
        <f>SUM(F255:H255)</f>
        <v/>
      </c>
      <c r="J255" s="505" t="n"/>
      <c r="K255" s="681">
        <f>IF($E$37&gt;B255,0,$E$36 IF(B255&gt;$E$21,0,$E$36))</f>
        <v/>
      </c>
      <c r="L255" s="685">
        <f>IF($F$37&gt;B255,0,$F$36 IF(B255&gt;$E$21,0,$F$36))</f>
        <v/>
      </c>
      <c r="M255" s="505" t="n"/>
      <c r="N255" s="680">
        <f>SUM(L255,K255,I255,E255)</f>
        <v/>
      </c>
      <c r="O255" s="505" t="n"/>
      <c r="P255" s="673">
        <f>+N255/$E$8*12</f>
        <v/>
      </c>
    </row>
    <row r="256" ht="12.6" customFormat="1" customHeight="1" s="299">
      <c r="B256" s="315">
        <f>IF(B255+1&lt;=$E$21,B255+1,IF(B255&gt;=$E$21,"",IF(B255="","")))</f>
        <v/>
      </c>
      <c r="C256" s="316">
        <f>IF(B256&gt;$E$21,"", DATE(YEAR(C255),MONTH(C255)+1,DAY(C255)))</f>
        <v/>
      </c>
      <c r="D256" s="679">
        <f>VLOOKUP(B256,$G$9:$I$29,3)</f>
        <v/>
      </c>
      <c r="E256" s="680">
        <f>D256*$E$8/12</f>
        <v/>
      </c>
      <c r="F256" s="681">
        <f>IF($C$17="Gross Rent",$B$17*(H256+E256),IF($C$17="Base Rent",$B$17*E256))</f>
        <v/>
      </c>
      <c r="G256" s="681">
        <f>IF($C$16="Base Rent",$B$16*E256,IF($C$16="Gross Rent",$B$16*(H256+E256)))</f>
        <v/>
      </c>
      <c r="H256" s="680">
        <f>IF(MONTH(C256)=MONTH($E$19),((H255*(1+$E$18))),H255)</f>
        <v/>
      </c>
      <c r="I256" s="680">
        <f>SUM(F256:H256)</f>
        <v/>
      </c>
      <c r="J256" s="505" t="n"/>
      <c r="K256" s="681">
        <f>IF($E$37&gt;B256,0,$E$36 IF(B256&gt;$E$21,0,$E$36))</f>
        <v/>
      </c>
      <c r="L256" s="685">
        <f>IF($F$37&gt;B256,0,$F$36 IF(B256&gt;$E$21,0,$F$36))</f>
        <v/>
      </c>
      <c r="M256" s="505" t="n"/>
      <c r="N256" s="680">
        <f>SUM(L256,K256,I256,E256)</f>
        <v/>
      </c>
      <c r="O256" s="505" t="n"/>
      <c r="P256" s="673">
        <f>+N256/$E$8*12</f>
        <v/>
      </c>
    </row>
    <row r="257" ht="12.6" customFormat="1" customHeight="1" s="299">
      <c r="B257" s="315">
        <f>IF(B256+1&lt;=$E$21,B256+1,IF(B256&gt;=$E$21,"",IF(B256="","")))</f>
        <v/>
      </c>
      <c r="C257" s="316">
        <f>IF(B257&gt;$E$21,"", DATE(YEAR(C256),MONTH(C256)+1,DAY(C256)))</f>
        <v/>
      </c>
      <c r="D257" s="679">
        <f>VLOOKUP(B257,$G$9:$I$29,3)</f>
        <v/>
      </c>
      <c r="E257" s="680">
        <f>D257*$E$8/12</f>
        <v/>
      </c>
      <c r="F257" s="681">
        <f>IF($C$17="Gross Rent",$B$17*(H257+E257),IF($C$17="Base Rent",$B$17*E257))</f>
        <v/>
      </c>
      <c r="G257" s="681">
        <f>IF($C$16="Base Rent",$B$16*E257,IF($C$16="Gross Rent",$B$16*(H257+E257)))</f>
        <v/>
      </c>
      <c r="H257" s="680">
        <f>IF(MONTH(C257)=MONTH($E$19),((H256*(1+$E$18))),H256)</f>
        <v/>
      </c>
      <c r="I257" s="680">
        <f>SUM(F257:H257)</f>
        <v/>
      </c>
      <c r="J257" s="505" t="n"/>
      <c r="K257" s="681">
        <f>IF($E$37&gt;B257,0,$E$36 IF(B257&gt;$E$21,0,$E$36))</f>
        <v/>
      </c>
      <c r="L257" s="685">
        <f>IF($F$37&gt;B257,0,$F$36 IF(B257&gt;$E$21,0,$F$36))</f>
        <v/>
      </c>
      <c r="M257" s="505" t="n"/>
      <c r="N257" s="680">
        <f>SUM(L257,K257,I257,E257)</f>
        <v/>
      </c>
      <c r="O257" s="505" t="n"/>
      <c r="P257" s="673">
        <f>+N257/$E$8*12</f>
        <v/>
      </c>
    </row>
    <row r="258" ht="12.6" customFormat="1" customHeight="1" s="299">
      <c r="B258" s="315">
        <f>IF(B257+1&lt;=$E$21,B257+1,IF(B257&gt;=$E$21,"",IF(B257="","")))</f>
        <v/>
      </c>
      <c r="C258" s="316">
        <f>IF(B258&gt;$E$21,"", DATE(YEAR(C257),MONTH(C257)+1,DAY(C257)))</f>
        <v/>
      </c>
      <c r="D258" s="679">
        <f>VLOOKUP(B258,$G$9:$I$29,3)</f>
        <v/>
      </c>
      <c r="E258" s="680">
        <f>D258*$E$8/12</f>
        <v/>
      </c>
      <c r="F258" s="681">
        <f>IF($C$17="Gross Rent",$B$17*(H258+E258),IF($C$17="Base Rent",$B$17*E258))</f>
        <v/>
      </c>
      <c r="G258" s="681">
        <f>IF($C$16="Base Rent",$B$16*E258,IF($C$16="Gross Rent",$B$16*(H258+E258)))</f>
        <v/>
      </c>
      <c r="H258" s="680">
        <f>IF(MONTH(C258)=MONTH($E$19),((H257*(1+$E$18))),H257)</f>
        <v/>
      </c>
      <c r="I258" s="680">
        <f>SUM(F258:H258)</f>
        <v/>
      </c>
      <c r="J258" s="505" t="n"/>
      <c r="K258" s="681">
        <f>IF($E$37&gt;B258,0,$E$36 IF(B258&gt;$E$21,0,$E$36))</f>
        <v/>
      </c>
      <c r="L258" s="685">
        <f>IF($F$37&gt;B258,0,$F$36 IF(B258&gt;$E$21,0,$F$36))</f>
        <v/>
      </c>
      <c r="M258" s="505" t="n"/>
      <c r="N258" s="680">
        <f>SUM(L258,K258,I258,E258)</f>
        <v/>
      </c>
      <c r="O258" s="505" t="n"/>
      <c r="P258" s="673">
        <f>+N258/$E$8*12</f>
        <v/>
      </c>
    </row>
    <row r="259" ht="12.6" customFormat="1" customHeight="1" s="299">
      <c r="B259" s="315">
        <f>IF(B258+1&lt;=$E$21,B258+1,IF(B258&gt;=$E$21,"",IF(B258="","")))</f>
        <v/>
      </c>
      <c r="C259" s="316">
        <f>IF(B259&gt;$E$21,"", DATE(YEAR(C258),MONTH(C258)+1,DAY(C258)))</f>
        <v/>
      </c>
      <c r="D259" s="679">
        <f>VLOOKUP(B259,$G$9:$I$29,3)</f>
        <v/>
      </c>
      <c r="E259" s="680">
        <f>D259*$E$8/12</f>
        <v/>
      </c>
      <c r="F259" s="681">
        <f>IF($C$17="Gross Rent",$B$17*(H259+E259),IF($C$17="Base Rent",$B$17*E259))</f>
        <v/>
      </c>
      <c r="G259" s="681">
        <f>IF($C$16="Base Rent",$B$16*E259,IF($C$16="Gross Rent",$B$16*(H259+E259)))</f>
        <v/>
      </c>
      <c r="H259" s="680">
        <f>IF(MONTH(C259)=MONTH($E$19),((H258*(1+$E$18))),H258)</f>
        <v/>
      </c>
      <c r="I259" s="680">
        <f>SUM(F259:H259)</f>
        <v/>
      </c>
      <c r="J259" s="505" t="n"/>
      <c r="K259" s="681">
        <f>IF($E$37&gt;B259,0,$E$36 IF(B259&gt;$E$21,0,$E$36))</f>
        <v/>
      </c>
      <c r="L259" s="685">
        <f>IF($F$37&gt;B259,0,$F$36 IF(B259&gt;$E$21,0,$F$36))</f>
        <v/>
      </c>
      <c r="M259" s="505" t="n"/>
      <c r="N259" s="680">
        <f>SUM(L259,K259,I259,E259)</f>
        <v/>
      </c>
      <c r="O259" s="505" t="n"/>
      <c r="P259" s="673">
        <f>+N259/$E$8*12</f>
        <v/>
      </c>
    </row>
    <row r="260" ht="12.6" customFormat="1" customHeight="1" s="299">
      <c r="B260" s="315">
        <f>IF(B259+1&lt;=$E$21,B259+1,IF(B259&gt;=$E$21,"",IF(B259="","")))</f>
        <v/>
      </c>
      <c r="C260" s="316">
        <f>IF(B260&gt;$E$21,"", DATE(YEAR(C259),MONTH(C259)+1,DAY(C259)))</f>
        <v/>
      </c>
      <c r="D260" s="679">
        <f>VLOOKUP(B260,$G$9:$I$29,3)</f>
        <v/>
      </c>
      <c r="E260" s="680">
        <f>D260*$E$8/12</f>
        <v/>
      </c>
      <c r="F260" s="681">
        <f>IF($C$17="Gross Rent",$B$17*(H260+E260),IF($C$17="Base Rent",$B$17*E260))</f>
        <v/>
      </c>
      <c r="G260" s="681">
        <f>IF($C$16="Base Rent",$B$16*E260,IF($C$16="Gross Rent",$B$16*(H260+E260)))</f>
        <v/>
      </c>
      <c r="H260" s="680">
        <f>IF(MONTH(C260)=MONTH($E$19),((H259*(1+$E$18))),H259)</f>
        <v/>
      </c>
      <c r="I260" s="680">
        <f>SUM(F260:H260)</f>
        <v/>
      </c>
      <c r="J260" s="505" t="n"/>
      <c r="K260" s="681">
        <f>IF($E$37&gt;B260,0,$E$36 IF(B260&gt;$E$21,0,$E$36))</f>
        <v/>
      </c>
      <c r="L260" s="685">
        <f>IF($F$37&gt;B260,0,$F$36 IF(B260&gt;$E$21,0,$F$36))</f>
        <v/>
      </c>
      <c r="M260" s="505" t="n"/>
      <c r="N260" s="680">
        <f>SUM(L260,K260,I260,E260)</f>
        <v/>
      </c>
      <c r="O260" s="505" t="n"/>
      <c r="P260" s="673">
        <f>+N260/$E$8*12</f>
        <v/>
      </c>
    </row>
    <row r="261" ht="12.6" customFormat="1" customHeight="1" s="299">
      <c r="B261" s="315">
        <f>IF(B260+1&lt;=$E$21,B260+1,IF(B260&gt;=$E$21,"",IF(B260="","")))</f>
        <v/>
      </c>
      <c r="C261" s="316">
        <f>IF(B261&gt;$E$21,"", DATE(YEAR(C260),MONTH(C260)+1,DAY(C260)))</f>
        <v/>
      </c>
      <c r="D261" s="679">
        <f>VLOOKUP(B261,$G$9:$I$29,3)</f>
        <v/>
      </c>
      <c r="E261" s="680">
        <f>D261*$E$8/12</f>
        <v/>
      </c>
      <c r="F261" s="681">
        <f>IF($C$17="Gross Rent",$B$17*(H261+E261),IF($C$17="Base Rent",$B$17*E261))</f>
        <v/>
      </c>
      <c r="G261" s="681">
        <f>IF($C$16="Base Rent",$B$16*E261,IF($C$16="Gross Rent",$B$16*(H261+E261)))</f>
        <v/>
      </c>
      <c r="H261" s="680">
        <f>IF(MONTH(C261)=MONTH($E$19),((H260*(1+$E$18))),H260)</f>
        <v/>
      </c>
      <c r="I261" s="680">
        <f>SUM(F261:H261)</f>
        <v/>
      </c>
      <c r="J261" s="505" t="n"/>
      <c r="K261" s="681">
        <f>IF($E$37&gt;B261,0,$E$36 IF(B261&gt;$E$21,0,$E$36))</f>
        <v/>
      </c>
      <c r="L261" s="685">
        <f>IF($F$37&gt;B261,0,$F$36 IF(B261&gt;$E$21,0,$F$36))</f>
        <v/>
      </c>
      <c r="M261" s="505" t="n"/>
      <c r="N261" s="680">
        <f>SUM(L261,K261,I261,E261)</f>
        <v/>
      </c>
      <c r="O261" s="505" t="n"/>
      <c r="P261" s="673">
        <f>+N261/$E$8*12</f>
        <v/>
      </c>
    </row>
    <row r="262" ht="12.6" customFormat="1" customHeight="1" s="299">
      <c r="B262" s="315">
        <f>IF(B261+1&lt;=$E$21,B261+1,IF(B261&gt;=$E$21,"",IF(B261="","")))</f>
        <v/>
      </c>
      <c r="C262" s="316">
        <f>IF(B262&gt;$E$21,"", DATE(YEAR(C261),MONTH(C261)+1,DAY(C261)))</f>
        <v/>
      </c>
      <c r="D262" s="679">
        <f>VLOOKUP(B262,$G$9:$I$29,3)</f>
        <v/>
      </c>
      <c r="E262" s="680">
        <f>D262*$E$8/12</f>
        <v/>
      </c>
      <c r="F262" s="681">
        <f>IF($C$17="Gross Rent",$B$17*(H262+E262),IF($C$17="Base Rent",$B$17*E262))</f>
        <v/>
      </c>
      <c r="G262" s="681">
        <f>IF($C$16="Base Rent",$B$16*E262,IF($C$16="Gross Rent",$B$16*(H262+E262)))</f>
        <v/>
      </c>
      <c r="H262" s="680">
        <f>IF(MONTH(C262)=MONTH($E$19),((H261*(1+$E$18))),H261)</f>
        <v/>
      </c>
      <c r="I262" s="680">
        <f>SUM(F262:H262)</f>
        <v/>
      </c>
      <c r="J262" s="505" t="n"/>
      <c r="K262" s="681">
        <f>IF($E$37&gt;B262,0,$E$36 IF(B262&gt;$E$21,0,$E$36))</f>
        <v/>
      </c>
      <c r="L262" s="685">
        <f>IF($F$37&gt;B262,0,$F$36 IF(B262&gt;$E$21,0,$F$36))</f>
        <v/>
      </c>
      <c r="M262" s="505" t="n"/>
      <c r="N262" s="680">
        <f>SUM(L262,K262,I262,E262)</f>
        <v/>
      </c>
      <c r="O262" s="505" t="n"/>
      <c r="P262" s="673">
        <f>+N262/$E$8*12</f>
        <v/>
      </c>
    </row>
    <row r="263" ht="12.6" customFormat="1" customHeight="1" s="299">
      <c r="B263" s="315">
        <f>IF(B262+1&lt;=$E$21,B262+1,IF(B262&gt;=$E$21,"",IF(B262="","")))</f>
        <v/>
      </c>
      <c r="C263" s="316">
        <f>IF(B263&gt;$E$21,"", DATE(YEAR(C262),MONTH(C262)+1,DAY(C262)))</f>
        <v/>
      </c>
      <c r="D263" s="679">
        <f>VLOOKUP(B263,$G$9:$I$29,3)</f>
        <v/>
      </c>
      <c r="E263" s="680">
        <f>D263*$E$8/12</f>
        <v/>
      </c>
      <c r="F263" s="681">
        <f>IF($C$17="Gross Rent",$B$17*(H263+E263),IF($C$17="Base Rent",$B$17*E263))</f>
        <v/>
      </c>
      <c r="G263" s="681">
        <f>IF($C$16="Base Rent",$B$16*E263,IF($C$16="Gross Rent",$B$16*(H263+E263)))</f>
        <v/>
      </c>
      <c r="H263" s="680">
        <f>IF(MONTH(C263)=MONTH($E$19),((H262*(1+$E$18))),H262)</f>
        <v/>
      </c>
      <c r="I263" s="680">
        <f>SUM(F263:H263)</f>
        <v/>
      </c>
      <c r="J263" s="505" t="n"/>
      <c r="K263" s="681">
        <f>IF($E$37&gt;B263,0,$E$36 IF(B263&gt;$E$21,0,$E$36))</f>
        <v/>
      </c>
      <c r="L263" s="685">
        <f>IF($F$37&gt;B263,0,$F$36 IF(B263&gt;$E$21,0,$F$36))</f>
        <v/>
      </c>
      <c r="M263" s="505" t="n"/>
      <c r="N263" s="680">
        <f>SUM(L263,K263,I263,E263)</f>
        <v/>
      </c>
      <c r="O263" s="505" t="n"/>
      <c r="P263" s="673">
        <f>+N263/$E$8*12</f>
        <v/>
      </c>
    </row>
    <row r="264" ht="12.6" customFormat="1" customHeight="1" s="299">
      <c r="B264" s="315">
        <f>IF(B263+1&lt;=$E$21,B263+1,IF(B263&gt;=$E$21,"",IF(B263="","")))</f>
        <v/>
      </c>
      <c r="C264" s="316">
        <f>IF(B264&gt;$E$21,"", DATE(YEAR(C263),MONTH(C263)+1,DAY(C263)))</f>
        <v/>
      </c>
      <c r="D264" s="679">
        <f>VLOOKUP(B264,$G$9:$I$29,3)</f>
        <v/>
      </c>
      <c r="E264" s="680">
        <f>D264*$E$8/12</f>
        <v/>
      </c>
      <c r="F264" s="681">
        <f>IF($C$17="Gross Rent",$B$17*(H264+E264),IF($C$17="Base Rent",$B$17*E264))</f>
        <v/>
      </c>
      <c r="G264" s="681">
        <f>IF($C$16="Base Rent",$B$16*E264,IF($C$16="Gross Rent",$B$16*(H264+E264)))</f>
        <v/>
      </c>
      <c r="H264" s="680">
        <f>IF(MONTH(C264)=MONTH($E$19),((H263*(1+$E$18))),H263)</f>
        <v/>
      </c>
      <c r="I264" s="680">
        <f>SUM(F264:H264)</f>
        <v/>
      </c>
      <c r="J264" s="505" t="n"/>
      <c r="K264" s="681">
        <f>IF($E$37&gt;B264,0,$E$36 IF(B264&gt;$E$21,0,$E$36))</f>
        <v/>
      </c>
      <c r="L264" s="685">
        <f>IF($F$37&gt;B264,0,$F$36 IF(B264&gt;$E$21,0,$F$36))</f>
        <v/>
      </c>
      <c r="M264" s="505" t="n"/>
      <c r="N264" s="680">
        <f>SUM(L264,K264,I264,E264)</f>
        <v/>
      </c>
      <c r="O264" s="505" t="n"/>
      <c r="P264" s="673">
        <f>+N264/$E$8*12</f>
        <v/>
      </c>
    </row>
    <row r="265" ht="12.6" customFormat="1" customHeight="1" s="299">
      <c r="B265" s="315">
        <f>IF(B264+1&lt;=$E$21,B264+1,IF(B264&gt;=$E$21,"",IF(B264="","")))</f>
        <v/>
      </c>
      <c r="C265" s="316">
        <f>IF(B265&gt;$E$21,"", DATE(YEAR(C264),MONTH(C264)+1,DAY(C264)))</f>
        <v/>
      </c>
      <c r="D265" s="679">
        <f>VLOOKUP(B265,$G$9:$I$29,3)</f>
        <v/>
      </c>
      <c r="E265" s="680">
        <f>D265*$E$8/12</f>
        <v/>
      </c>
      <c r="F265" s="681">
        <f>IF($C$17="Gross Rent",$B$17*(H265+E265),IF($C$17="Base Rent",$B$17*E265))</f>
        <v/>
      </c>
      <c r="G265" s="681">
        <f>IF($C$16="Base Rent",$B$16*E265,IF($C$16="Gross Rent",$B$16*(H265+E265)))</f>
        <v/>
      </c>
      <c r="H265" s="680">
        <f>IF(MONTH(C265)=MONTH($E$19),((H264*(1+$E$18))),H264)</f>
        <v/>
      </c>
      <c r="I265" s="680">
        <f>SUM(F265:H265)</f>
        <v/>
      </c>
      <c r="J265" s="505" t="n"/>
      <c r="K265" s="681">
        <f>IF($E$37&gt;B265,0,$E$36 IF(B265&gt;$E$21,0,$E$36))</f>
        <v/>
      </c>
      <c r="L265" s="685">
        <f>IF($F$37&gt;B265,0,$F$36 IF(B265&gt;$E$21,0,$F$36))</f>
        <v/>
      </c>
      <c r="M265" s="505" t="n"/>
      <c r="N265" s="680">
        <f>SUM(L265,K265,I265,E265)</f>
        <v/>
      </c>
      <c r="O265" s="505" t="n"/>
      <c r="P265" s="673">
        <f>+N265/$E$8*12</f>
        <v/>
      </c>
    </row>
    <row r="266" ht="12.6" customFormat="1" customHeight="1" s="299">
      <c r="B266" s="315">
        <f>IF(B265+1&lt;=$E$21,B265+1,IF(B265&gt;=$E$21,"",IF(B265="","")))</f>
        <v/>
      </c>
      <c r="C266" s="316">
        <f>IF(B266&gt;$E$21,"", DATE(YEAR(C265),MONTH(C265)+1,DAY(C265)))</f>
        <v/>
      </c>
      <c r="D266" s="679">
        <f>VLOOKUP(B266,$G$9:$I$29,3)</f>
        <v/>
      </c>
      <c r="E266" s="680">
        <f>D266*$E$8/12</f>
        <v/>
      </c>
      <c r="F266" s="681">
        <f>IF($C$17="Gross Rent",$B$17*(H266+E266),IF($C$17="Base Rent",$B$17*E266))</f>
        <v/>
      </c>
      <c r="G266" s="681">
        <f>IF($C$16="Base Rent",$B$16*E266,IF($C$16="Gross Rent",$B$16*(H266+E266)))</f>
        <v/>
      </c>
      <c r="H266" s="680">
        <f>IF(MONTH(C266)=MONTH($E$19),((H265*(1+$E$18))),H265)</f>
        <v/>
      </c>
      <c r="I266" s="680">
        <f>SUM(F266:H266)</f>
        <v/>
      </c>
      <c r="J266" s="505" t="n"/>
      <c r="K266" s="681">
        <f>IF($E$37&gt;B266,0,$E$36 IF(B266&gt;$E$21,0,$E$36))</f>
        <v/>
      </c>
      <c r="L266" s="685">
        <f>IF($F$37&gt;B266,0,$F$36 IF(B266&gt;$E$21,0,$F$36))</f>
        <v/>
      </c>
      <c r="M266" s="505" t="n"/>
      <c r="N266" s="680">
        <f>SUM(L266,K266,I266,E266)</f>
        <v/>
      </c>
      <c r="O266" s="505" t="n"/>
      <c r="P266" s="673">
        <f>+N266/$E$8*12</f>
        <v/>
      </c>
    </row>
    <row r="267" ht="12.6" customFormat="1" customHeight="1" s="299">
      <c r="B267" s="315">
        <f>IF(B266+1&lt;=$E$21,B266+1,IF(B266&gt;=$E$21,"",IF(B266="","")))</f>
        <v/>
      </c>
      <c r="C267" s="316">
        <f>IF(B267&gt;$E$21,"", DATE(YEAR(C266),MONTH(C266)+1,DAY(C266)))</f>
        <v/>
      </c>
      <c r="D267" s="679">
        <f>VLOOKUP(B267,$G$9:$I$29,3)</f>
        <v/>
      </c>
      <c r="E267" s="680">
        <f>D267*$E$8/12</f>
        <v/>
      </c>
      <c r="F267" s="681">
        <f>IF($C$17="Gross Rent",$B$17*(H267+E267),IF($C$17="Base Rent",$B$17*E267))</f>
        <v/>
      </c>
      <c r="G267" s="681">
        <f>IF($C$16="Base Rent",$B$16*E267,IF($C$16="Gross Rent",$B$16*(H267+E267)))</f>
        <v/>
      </c>
      <c r="H267" s="680">
        <f>IF(MONTH(C267)=MONTH($E$19),((H266*(1+$E$18))),H266)</f>
        <v/>
      </c>
      <c r="I267" s="680">
        <f>SUM(F267:H267)</f>
        <v/>
      </c>
      <c r="J267" s="505" t="n"/>
      <c r="K267" s="681">
        <f>IF($E$37&gt;B267,0,$E$36 IF(B267&gt;$E$21,0,$E$36))</f>
        <v/>
      </c>
      <c r="L267" s="685">
        <f>IF($F$37&gt;B267,0,$F$36 IF(B267&gt;$E$21,0,$F$36))</f>
        <v/>
      </c>
      <c r="M267" s="505" t="n"/>
      <c r="N267" s="680">
        <f>SUM(L267,K267,I267,E267)</f>
        <v/>
      </c>
      <c r="O267" s="505" t="n"/>
      <c r="P267" s="673">
        <f>+N267/$E$8*12</f>
        <v/>
      </c>
    </row>
    <row r="268" ht="12.6" customFormat="1" customHeight="1" s="299">
      <c r="B268" s="315">
        <f>IF(B267+1&lt;=$E$21,B267+1,IF(B267&gt;=$E$21,"",IF(B267="","")))</f>
        <v/>
      </c>
      <c r="C268" s="316">
        <f>IF(B268&gt;$E$21,"", DATE(YEAR(C267),MONTH(C267)+1,DAY(C267)))</f>
        <v/>
      </c>
      <c r="D268" s="679">
        <f>VLOOKUP(B268,$G$9:$I$29,3)</f>
        <v/>
      </c>
      <c r="E268" s="680">
        <f>D268*$E$8/12</f>
        <v/>
      </c>
      <c r="F268" s="681">
        <f>IF($C$17="Gross Rent",$B$17*(H268+E268),IF($C$17="Base Rent",$B$17*E268))</f>
        <v/>
      </c>
      <c r="G268" s="681">
        <f>IF($C$16="Base Rent",$B$16*E268,IF($C$16="Gross Rent",$B$16*(H268+E268)))</f>
        <v/>
      </c>
      <c r="H268" s="680">
        <f>IF(MONTH(C268)=MONTH($E$19),((H267*(1+$E$18))),H267)</f>
        <v/>
      </c>
      <c r="I268" s="680">
        <f>SUM(F268:H268)</f>
        <v/>
      </c>
      <c r="J268" s="505" t="n"/>
      <c r="K268" s="681">
        <f>IF($E$37&gt;B268,0,$E$36 IF(B268&gt;$E$21,0,$E$36))</f>
        <v/>
      </c>
      <c r="L268" s="685">
        <f>IF($F$37&gt;B268,0,$F$36 IF(B268&gt;$E$21,0,$F$36))</f>
        <v/>
      </c>
      <c r="M268" s="505" t="n"/>
      <c r="N268" s="680">
        <f>SUM(L268,K268,I268,E268)</f>
        <v/>
      </c>
      <c r="O268" s="505" t="n"/>
      <c r="P268" s="673">
        <f>+N268/$E$8*12</f>
        <v/>
      </c>
    </row>
    <row r="269" ht="12.6" customFormat="1" customHeight="1" s="299">
      <c r="B269" s="315">
        <f>IF(B268+1&lt;=$E$21,B268+1,IF(B268&gt;=$E$21,"",IF(B268="","")))</f>
        <v/>
      </c>
      <c r="C269" s="316">
        <f>IF(B269&gt;$E$21,"", DATE(YEAR(C268),MONTH(C268)+1,DAY(C268)))</f>
        <v/>
      </c>
      <c r="D269" s="679">
        <f>VLOOKUP(B269,$G$9:$I$29,3)</f>
        <v/>
      </c>
      <c r="E269" s="680">
        <f>D269*$E$8/12</f>
        <v/>
      </c>
      <c r="F269" s="681">
        <f>IF($C$17="Gross Rent",$B$17*(H269+E269),IF($C$17="Base Rent",$B$17*E269))</f>
        <v/>
      </c>
      <c r="G269" s="681">
        <f>IF($C$16="Base Rent",$B$16*E269,IF($C$16="Gross Rent",$B$16*(H269+E269)))</f>
        <v/>
      </c>
      <c r="H269" s="680">
        <f>IF(MONTH(C269)=MONTH($E$19),((H268*(1+$E$18))),H268)</f>
        <v/>
      </c>
      <c r="I269" s="680">
        <f>SUM(F269:H269)</f>
        <v/>
      </c>
      <c r="J269" s="505" t="n"/>
      <c r="K269" s="681">
        <f>IF($E$37&gt;B269,0,$E$36 IF(B269&gt;$E$21,0,$E$36))</f>
        <v/>
      </c>
      <c r="L269" s="685">
        <f>IF($F$37&gt;B269,0,$F$36 IF(B269&gt;$E$21,0,$F$36))</f>
        <v/>
      </c>
      <c r="M269" s="505" t="n"/>
      <c r="N269" s="680">
        <f>SUM(L269,K269,I269,E269)</f>
        <v/>
      </c>
      <c r="O269" s="505" t="n"/>
      <c r="P269" s="673">
        <f>+N269/$E$8*12</f>
        <v/>
      </c>
    </row>
    <row r="270" ht="12.6" customFormat="1" customHeight="1" s="299">
      <c r="B270" s="315">
        <f>IF(B269+1&lt;=$E$21,B269+1,IF(B269&gt;=$E$21,"",IF(B269="","")))</f>
        <v/>
      </c>
      <c r="C270" s="316">
        <f>IF(B270&gt;$E$21,"", DATE(YEAR(C269),MONTH(C269)+1,DAY(C269)))</f>
        <v/>
      </c>
      <c r="D270" s="679">
        <f>VLOOKUP(B270,$G$9:$I$29,3)</f>
        <v/>
      </c>
      <c r="E270" s="680">
        <f>D270*$E$8/12</f>
        <v/>
      </c>
      <c r="F270" s="681">
        <f>IF($C$17="Gross Rent",$B$17*(H270+E270),IF($C$17="Base Rent",$B$17*E270))</f>
        <v/>
      </c>
      <c r="G270" s="681">
        <f>IF($C$16="Base Rent",$B$16*E270,IF($C$16="Gross Rent",$B$16*(H270+E270)))</f>
        <v/>
      </c>
      <c r="H270" s="680">
        <f>IF(MONTH(C270)=MONTH($E$19),((H269*(1+$E$18))),H269)</f>
        <v/>
      </c>
      <c r="I270" s="680">
        <f>SUM(F270:H270)</f>
        <v/>
      </c>
      <c r="J270" s="505" t="n"/>
      <c r="K270" s="681">
        <f>IF($E$37&gt;B270,0,$E$36 IF(B270&gt;$E$21,0,$E$36))</f>
        <v/>
      </c>
      <c r="L270" s="685">
        <f>IF($F$37&gt;B270,0,$F$36 IF(B270&gt;$E$21,0,$F$36))</f>
        <v/>
      </c>
      <c r="M270" s="505" t="n"/>
      <c r="N270" s="680">
        <f>SUM(L270,K270,I270,E270)</f>
        <v/>
      </c>
      <c r="O270" s="505" t="n"/>
      <c r="P270" s="673">
        <f>+N270/$E$8*12</f>
        <v/>
      </c>
    </row>
    <row r="271" ht="12.6" customFormat="1" customHeight="1" s="299">
      <c r="B271" s="315">
        <f>IF(B270+1&lt;=$E$21,B270+1,IF(B270&gt;=$E$21,"",IF(B270="","")))</f>
        <v/>
      </c>
      <c r="C271" s="316">
        <f>IF(B271&gt;$E$21,"", DATE(YEAR(C270),MONTH(C270)+1,DAY(C270)))</f>
        <v/>
      </c>
      <c r="D271" s="679">
        <f>VLOOKUP(B271,$G$9:$I$29,3)</f>
        <v/>
      </c>
      <c r="E271" s="680">
        <f>D271*$E$8/12</f>
        <v/>
      </c>
      <c r="F271" s="681">
        <f>IF($C$17="Gross Rent",$B$17*(H271+E271),IF($C$17="Base Rent",$B$17*E271))</f>
        <v/>
      </c>
      <c r="G271" s="681">
        <f>IF($C$16="Base Rent",$B$16*E271,IF($C$16="Gross Rent",$B$16*(H271+E271)))</f>
        <v/>
      </c>
      <c r="H271" s="680">
        <f>IF(MONTH(C271)=MONTH($E$19),((H270*(1+$E$18))),H270)</f>
        <v/>
      </c>
      <c r="I271" s="680">
        <f>SUM(F271:H271)</f>
        <v/>
      </c>
      <c r="J271" s="505" t="n"/>
      <c r="K271" s="681">
        <f>IF($E$37&gt;B271,0,$E$36 IF(B271&gt;$E$21,0,$E$36))</f>
        <v/>
      </c>
      <c r="L271" s="685">
        <f>IF($F$37&gt;B271,0,$F$36 IF(B271&gt;$E$21,0,$F$36))</f>
        <v/>
      </c>
      <c r="M271" s="505" t="n"/>
      <c r="N271" s="680">
        <f>SUM(L271,K271,I271,E271)</f>
        <v/>
      </c>
      <c r="O271" s="505" t="n"/>
      <c r="P271" s="673">
        <f>+N271/$E$8*12</f>
        <v/>
      </c>
    </row>
    <row r="272" ht="12.6" customFormat="1" customHeight="1" s="299">
      <c r="B272" s="315">
        <f>IF(B271+1&lt;=$E$21,B271+1,IF(B271&gt;=$E$21,"",IF(B271="","")))</f>
        <v/>
      </c>
      <c r="C272" s="316">
        <f>IF(B272&gt;$E$21,"", DATE(YEAR(C271),MONTH(C271)+1,DAY(C271)))</f>
        <v/>
      </c>
      <c r="D272" s="679">
        <f>VLOOKUP(B272,$G$9:$I$29,3)</f>
        <v/>
      </c>
      <c r="E272" s="680">
        <f>D272*$E$8/12</f>
        <v/>
      </c>
      <c r="F272" s="681">
        <f>IF($C$17="Gross Rent",$B$17*(H272+E272),IF($C$17="Base Rent",$B$17*E272))</f>
        <v/>
      </c>
      <c r="G272" s="681">
        <f>IF($C$16="Base Rent",$B$16*E272,IF($C$16="Gross Rent",$B$16*(H272+E272)))</f>
        <v/>
      </c>
      <c r="H272" s="680">
        <f>IF(MONTH(C272)=MONTH($E$19),((H271*(1+$E$18))),H271)</f>
        <v/>
      </c>
      <c r="I272" s="680">
        <f>SUM(F272:H272)</f>
        <v/>
      </c>
      <c r="J272" s="505" t="n"/>
      <c r="K272" s="681">
        <f>IF($E$37&gt;B272,0,$E$36 IF(B272&gt;$E$21,0,$E$36))</f>
        <v/>
      </c>
      <c r="L272" s="685">
        <f>IF($F$37&gt;B272,0,$F$36 IF(B272&gt;$E$21,0,$F$36))</f>
        <v/>
      </c>
      <c r="M272" s="505" t="n"/>
      <c r="N272" s="680">
        <f>SUM(L272,K272,I272,E272)</f>
        <v/>
      </c>
      <c r="O272" s="505" t="n"/>
      <c r="P272" s="673">
        <f>+N272/$E$8*12</f>
        <v/>
      </c>
    </row>
    <row r="273" ht="12.6" customFormat="1" customHeight="1" s="299">
      <c r="B273" s="315">
        <f>IF(B272+1&lt;=$E$21,B272+1,IF(B272&gt;=$E$21,"",IF(B272="","")))</f>
        <v/>
      </c>
      <c r="C273" s="316">
        <f>IF(B273&gt;$E$21,"", DATE(YEAR(C272),MONTH(C272)+1,DAY(C272)))</f>
        <v/>
      </c>
      <c r="D273" s="679">
        <f>VLOOKUP(B273,$G$9:$I$29,3)</f>
        <v/>
      </c>
      <c r="E273" s="680">
        <f>D273*$E$8/12</f>
        <v/>
      </c>
      <c r="F273" s="681">
        <f>IF($C$17="Gross Rent",$B$17*(H273+E273),IF($C$17="Base Rent",$B$17*E273))</f>
        <v/>
      </c>
      <c r="G273" s="681">
        <f>IF($C$16="Base Rent",$B$16*E273,IF($C$16="Gross Rent",$B$16*(H273+E273)))</f>
        <v/>
      </c>
      <c r="H273" s="680">
        <f>IF(MONTH(C273)=MONTH($E$19),((H272*(1+$E$18))),H272)</f>
        <v/>
      </c>
      <c r="I273" s="680">
        <f>SUM(F273:H273)</f>
        <v/>
      </c>
      <c r="J273" s="505" t="n"/>
      <c r="K273" s="681">
        <f>IF($E$37&gt;B273,0,$E$36 IF(B273&gt;$E$21,0,$E$36))</f>
        <v/>
      </c>
      <c r="L273" s="685">
        <f>IF($F$37&gt;B273,0,$F$36 IF(B273&gt;$E$21,0,$F$36))</f>
        <v/>
      </c>
      <c r="M273" s="505" t="n"/>
      <c r="N273" s="680">
        <f>SUM(L273,K273,I273,E273)</f>
        <v/>
      </c>
      <c r="O273" s="505" t="n"/>
      <c r="P273" s="673">
        <f>+N273/$E$8*12</f>
        <v/>
      </c>
    </row>
    <row r="274" ht="12.6" customFormat="1" customHeight="1" s="299">
      <c r="B274" s="315">
        <f>IF(B273+1&lt;=$E$21,B273+1,IF(B273&gt;=$E$21,"",IF(B273="","")))</f>
        <v/>
      </c>
      <c r="C274" s="316">
        <f>IF(B274&gt;$E$21,"", DATE(YEAR(C273),MONTH(C273)+1,DAY(C273)))</f>
        <v/>
      </c>
      <c r="D274" s="679">
        <f>VLOOKUP(B274,$G$9:$I$29,3)</f>
        <v/>
      </c>
      <c r="E274" s="680">
        <f>D274*$E$8/12</f>
        <v/>
      </c>
      <c r="F274" s="681">
        <f>IF($C$17="Gross Rent",$B$17*(H274+E274),IF($C$17="Base Rent",$B$17*E274))</f>
        <v/>
      </c>
      <c r="G274" s="681">
        <f>IF($C$16="Base Rent",$B$16*E274,IF($C$16="Gross Rent",$B$16*(H274+E274)))</f>
        <v/>
      </c>
      <c r="H274" s="680">
        <f>IF(MONTH(C274)=MONTH($E$19),((H273*(1+$E$18))),H273)</f>
        <v/>
      </c>
      <c r="I274" s="680">
        <f>SUM(F274:H274)</f>
        <v/>
      </c>
      <c r="J274" s="505" t="n"/>
      <c r="K274" s="681">
        <f>IF($E$37&gt;B274,0,$E$36 IF(B274&gt;$E$21,0,$E$36))</f>
        <v/>
      </c>
      <c r="L274" s="685">
        <f>IF($F$37&gt;B274,0,$F$36 IF(B274&gt;$E$21,0,$F$36))</f>
        <v/>
      </c>
      <c r="M274" s="505" t="n"/>
      <c r="N274" s="680">
        <f>SUM(L274,K274,I274,E274)</f>
        <v/>
      </c>
      <c r="O274" s="505" t="n"/>
      <c r="P274" s="673">
        <f>+N274/$E$8*12</f>
        <v/>
      </c>
    </row>
    <row r="275" ht="12.6" customFormat="1" customHeight="1" s="299">
      <c r="B275" s="315">
        <f>IF(B274+1&lt;=$E$21,B274+1,IF(B274&gt;=$E$21,"",IF(B274="","")))</f>
        <v/>
      </c>
      <c r="C275" s="316">
        <f>IF(B275&gt;$E$21,"", DATE(YEAR(C274),MONTH(C274)+1,DAY(C274)))</f>
        <v/>
      </c>
      <c r="D275" s="679">
        <f>VLOOKUP(B275,$G$9:$I$29,3)</f>
        <v/>
      </c>
      <c r="E275" s="680">
        <f>D275*$E$8/12</f>
        <v/>
      </c>
      <c r="F275" s="681">
        <f>IF($C$17="Gross Rent",$B$17*(H275+E275),IF($C$17="Base Rent",$B$17*E275))</f>
        <v/>
      </c>
      <c r="G275" s="681">
        <f>IF($C$16="Base Rent",$B$16*E275,IF($C$16="Gross Rent",$B$16*(H275+E275)))</f>
        <v/>
      </c>
      <c r="H275" s="680">
        <f>IF(MONTH(C275)=MONTH($E$19),((H274*(1+$E$18))),H274)</f>
        <v/>
      </c>
      <c r="I275" s="680">
        <f>SUM(F275:H275)</f>
        <v/>
      </c>
      <c r="J275" s="505" t="n"/>
      <c r="K275" s="681">
        <f>IF($E$37&gt;B275,0,$E$36 IF(B275&gt;$E$21,0,$E$36))</f>
        <v/>
      </c>
      <c r="L275" s="685">
        <f>IF($F$37&gt;B275,0,$F$36 IF(B275&gt;$E$21,0,$F$36))</f>
        <v/>
      </c>
      <c r="M275" s="505" t="n"/>
      <c r="N275" s="680">
        <f>SUM(L275,K275,I275,E275)</f>
        <v/>
      </c>
      <c r="O275" s="505" t="n"/>
      <c r="P275" s="673">
        <f>+N275/$E$8*12</f>
        <v/>
      </c>
    </row>
    <row r="276" ht="12.6" customFormat="1" customHeight="1" s="299">
      <c r="B276" s="315">
        <f>IF(B275+1&lt;=$E$21,B275+1,IF(B275&gt;=$E$21,"",IF(B275="","")))</f>
        <v/>
      </c>
      <c r="C276" s="316">
        <f>IF(B276&gt;$E$21,"", DATE(YEAR(C275),MONTH(C275)+1,DAY(C275)))</f>
        <v/>
      </c>
      <c r="D276" s="679">
        <f>VLOOKUP(B276,$G$9:$I$29,3)</f>
        <v/>
      </c>
      <c r="E276" s="680">
        <f>D276*$E$8/12</f>
        <v/>
      </c>
      <c r="F276" s="681">
        <f>IF($C$17="Gross Rent",$B$17*(H276+E276),IF($C$17="Base Rent",$B$17*E276))</f>
        <v/>
      </c>
      <c r="G276" s="681">
        <f>IF($C$16="Base Rent",$B$16*E276,IF($C$16="Gross Rent",$B$16*(H276+E276)))</f>
        <v/>
      </c>
      <c r="H276" s="680">
        <f>IF(MONTH(C276)=MONTH($E$19),((H275*(1+$E$18))),H275)</f>
        <v/>
      </c>
      <c r="I276" s="680">
        <f>SUM(F276:H276)</f>
        <v/>
      </c>
      <c r="J276" s="505" t="n"/>
      <c r="K276" s="681">
        <f>IF($E$37&gt;B276,0,$E$36 IF(B276&gt;$E$21,0,$E$36))</f>
        <v/>
      </c>
      <c r="L276" s="685">
        <f>IF($F$37&gt;B276,0,$F$36 IF(B276&gt;$E$21,0,$F$36))</f>
        <v/>
      </c>
      <c r="M276" s="505" t="n"/>
      <c r="N276" s="680">
        <f>SUM(L276,K276,I276,E276)</f>
        <v/>
      </c>
      <c r="O276" s="505" t="n"/>
      <c r="P276" s="673">
        <f>+N276/$E$8*12</f>
        <v/>
      </c>
    </row>
    <row r="277" ht="12.6" customFormat="1" customHeight="1" s="299">
      <c r="B277" s="315">
        <f>IF(B276+1&lt;=$E$21,B276+1,IF(B276&gt;=$E$21,"",IF(B276="","")))</f>
        <v/>
      </c>
      <c r="C277" s="316">
        <f>IF(B277&gt;$E$21,"", DATE(YEAR(C276),MONTH(C276)+1,DAY(C276)))</f>
        <v/>
      </c>
      <c r="D277" s="679">
        <f>VLOOKUP(B277,$G$9:$I$29,3)</f>
        <v/>
      </c>
      <c r="E277" s="680">
        <f>D277*$E$8/12</f>
        <v/>
      </c>
      <c r="F277" s="681">
        <f>IF($C$17="Gross Rent",$B$17*(H277+E277),IF($C$17="Base Rent",$B$17*E277))</f>
        <v/>
      </c>
      <c r="G277" s="681">
        <f>IF($C$16="Base Rent",$B$16*E277,IF($C$16="Gross Rent",$B$16*(H277+E277)))</f>
        <v/>
      </c>
      <c r="H277" s="680">
        <f>IF(MONTH(C277)=MONTH($E$19),((H276*(1+$E$18))),H276)</f>
        <v/>
      </c>
      <c r="I277" s="680">
        <f>SUM(F277:H277)</f>
        <v/>
      </c>
      <c r="J277" s="505" t="n"/>
      <c r="K277" s="681">
        <f>IF($E$37&gt;B277,0,$E$36 IF(B277&gt;$E$21,0,$E$36))</f>
        <v/>
      </c>
      <c r="L277" s="685">
        <f>IF($F$37&gt;B277,0,$F$36 IF(B277&gt;$E$21,0,$F$36))</f>
        <v/>
      </c>
      <c r="M277" s="505" t="n"/>
      <c r="N277" s="680">
        <f>SUM(L277,K277,I277,E277)</f>
        <v/>
      </c>
      <c r="O277" s="505" t="n"/>
      <c r="P277" s="673">
        <f>+N277/$E$8*12</f>
        <v/>
      </c>
    </row>
    <row r="278" ht="12.6" customFormat="1" customHeight="1" s="299">
      <c r="B278" s="315">
        <f>IF(B277+1&lt;=$E$21,B277+1,IF(B277&gt;=$E$21,"",IF(B277="","")))</f>
        <v/>
      </c>
      <c r="C278" s="316">
        <f>IF(B278&gt;$E$21,"", DATE(YEAR(C277),MONTH(C277)+1,DAY(C277)))</f>
        <v/>
      </c>
      <c r="D278" s="679">
        <f>VLOOKUP(B278,$G$9:$I$29,3)</f>
        <v/>
      </c>
      <c r="E278" s="680">
        <f>D278*$E$8/12</f>
        <v/>
      </c>
      <c r="F278" s="681">
        <f>IF($C$17="Gross Rent",$B$17*(H278+E278),IF($C$17="Base Rent",$B$17*E278))</f>
        <v/>
      </c>
      <c r="G278" s="681">
        <f>IF($C$16="Base Rent",$B$16*E278,IF($C$16="Gross Rent",$B$16*(H278+E278)))</f>
        <v/>
      </c>
      <c r="H278" s="680">
        <f>IF(MONTH(C278)=MONTH($E$19),((H277*(1+$E$18))),H277)</f>
        <v/>
      </c>
      <c r="I278" s="680">
        <f>SUM(F278:H278)</f>
        <v/>
      </c>
      <c r="J278" s="505" t="n"/>
      <c r="K278" s="681">
        <f>IF($E$37&gt;B278,0,$E$36 IF(B278&gt;$E$21,0,$E$36))</f>
        <v/>
      </c>
      <c r="L278" s="685">
        <f>IF($F$37&gt;B278,0,$F$36 IF(B278&gt;$E$21,0,$F$36))</f>
        <v/>
      </c>
      <c r="M278" s="505" t="n"/>
      <c r="N278" s="680">
        <f>SUM(L278,K278,I278,E278)</f>
        <v/>
      </c>
      <c r="O278" s="505" t="n"/>
      <c r="P278" s="673">
        <f>+N278/$E$8*12</f>
        <v/>
      </c>
    </row>
    <row r="279" ht="12.6" customFormat="1" customHeight="1" s="299">
      <c r="B279" s="315">
        <f>IF(B278+1&lt;=$E$21,B278+1,IF(B278&gt;=$E$21,"",IF(B278="","")))</f>
        <v/>
      </c>
      <c r="C279" s="316">
        <f>IF(B279&gt;$E$21,"", DATE(YEAR(C278),MONTH(C278)+1,DAY(C278)))</f>
        <v/>
      </c>
      <c r="D279" s="679">
        <f>VLOOKUP(B279,$G$9:$I$29,3)</f>
        <v/>
      </c>
      <c r="E279" s="680">
        <f>D279*$E$8/12</f>
        <v/>
      </c>
      <c r="F279" s="681">
        <f>IF($C$17="Gross Rent",$B$17*(H279+E279),IF($C$17="Base Rent",$B$17*E279))</f>
        <v/>
      </c>
      <c r="G279" s="681">
        <f>IF($C$16="Base Rent",$B$16*E279,IF($C$16="Gross Rent",$B$16*(H279+E279)))</f>
        <v/>
      </c>
      <c r="H279" s="680">
        <f>IF(MONTH(C279)=MONTH($E$19),((H278*(1+$E$18))),H278)</f>
        <v/>
      </c>
      <c r="I279" s="680">
        <f>SUM(F279:H279)</f>
        <v/>
      </c>
      <c r="J279" s="505" t="n"/>
      <c r="K279" s="681">
        <f>IF($E$37&gt;B279,0,$E$36 IF(B279&gt;$E$21,0,$E$36))</f>
        <v/>
      </c>
      <c r="L279" s="685">
        <f>IF($F$37&gt;B279,0,$F$36 IF(B279&gt;$E$21,0,$F$36))</f>
        <v/>
      </c>
      <c r="M279" s="505" t="n"/>
      <c r="N279" s="680">
        <f>SUM(L279,K279,I279,E279)</f>
        <v/>
      </c>
      <c r="O279" s="505" t="n"/>
      <c r="P279" s="673">
        <f>+N279/$E$8*12</f>
        <v/>
      </c>
    </row>
    <row r="280" ht="12.6" customFormat="1" customHeight="1" s="299">
      <c r="B280" s="315">
        <f>IF(B279+1&lt;=$E$21,B279+1,IF(B279&gt;=$E$21,"",IF(B279="","")))</f>
        <v/>
      </c>
      <c r="C280" s="316">
        <f>IF(B280&gt;$E$21,"", DATE(YEAR(C279),MONTH(C279)+1,DAY(C279)))</f>
        <v/>
      </c>
      <c r="D280" s="679">
        <f>VLOOKUP(B280,$G$9:$I$29,3)</f>
        <v/>
      </c>
      <c r="E280" s="680">
        <f>D280*$E$8/12</f>
        <v/>
      </c>
      <c r="F280" s="681">
        <f>IF($C$17="Gross Rent",$B$17*(H280+E280),IF($C$17="Base Rent",$B$17*E280))</f>
        <v/>
      </c>
      <c r="G280" s="681">
        <f>IF($C$16="Base Rent",$B$16*E280,IF($C$16="Gross Rent",$B$16*(H280+E280)))</f>
        <v/>
      </c>
      <c r="H280" s="680">
        <f>IF(MONTH(C280)=MONTH($E$19),((H279*(1+$E$18))),H279)</f>
        <v/>
      </c>
      <c r="I280" s="680">
        <f>SUM(F280:H280)</f>
        <v/>
      </c>
      <c r="J280" s="505" t="n"/>
      <c r="K280" s="681">
        <f>IF($E$37&gt;B280,0,$E$36 IF(B280&gt;$E$21,0,$E$36))</f>
        <v/>
      </c>
      <c r="L280" s="685">
        <f>IF($F$37&gt;B280,0,$F$36 IF(B280&gt;$E$21,0,$F$36))</f>
        <v/>
      </c>
      <c r="M280" s="505" t="n"/>
      <c r="N280" s="680">
        <f>SUM(L280,K280,I280,E280)</f>
        <v/>
      </c>
      <c r="O280" s="505" t="n"/>
      <c r="P280" s="673">
        <f>+N280/$E$8*12</f>
        <v/>
      </c>
    </row>
    <row r="281" ht="12.6" customFormat="1" customHeight="1" s="299">
      <c r="B281" s="315">
        <f>IF(B280+1&lt;=$E$21,B280+1,IF(B280&gt;=$E$21,"",IF(B280="","")))</f>
        <v/>
      </c>
      <c r="C281" s="316">
        <f>IF(B281&gt;$E$21,"", DATE(YEAR(C280),MONTH(C280)+1,DAY(C280)))</f>
        <v/>
      </c>
      <c r="D281" s="679">
        <f>VLOOKUP(B281,$G$9:$I$29,3)</f>
        <v/>
      </c>
      <c r="E281" s="680">
        <f>D281*$E$8/12</f>
        <v/>
      </c>
      <c r="F281" s="681">
        <f>IF($C$17="Gross Rent",$B$17*(H281+E281),IF($C$17="Base Rent",$B$17*E281))</f>
        <v/>
      </c>
      <c r="G281" s="681">
        <f>IF($C$16="Base Rent",$B$16*E281,IF($C$16="Gross Rent",$B$16*(H281+E281)))</f>
        <v/>
      </c>
      <c r="H281" s="680">
        <f>IF(MONTH(C281)=MONTH($E$19),((H280*(1+$E$18))),H280)</f>
        <v/>
      </c>
      <c r="I281" s="680">
        <f>SUM(F281:H281)</f>
        <v/>
      </c>
      <c r="J281" s="505" t="n"/>
      <c r="K281" s="681">
        <f>IF($E$37&gt;B281,0,$E$36 IF(B281&gt;$E$21,0,$E$36))</f>
        <v/>
      </c>
      <c r="L281" s="685">
        <f>IF($F$37&gt;B281,0,$F$36 IF(B281&gt;$E$21,0,$F$36))</f>
        <v/>
      </c>
      <c r="M281" s="505" t="n"/>
      <c r="N281" s="680">
        <f>SUM(L281,K281,I281,E281)</f>
        <v/>
      </c>
      <c r="O281" s="505" t="n"/>
      <c r="P281" s="673">
        <f>+N281/$E$8*12</f>
        <v/>
      </c>
    </row>
    <row r="282" ht="12.6" customFormat="1" customHeight="1" s="299">
      <c r="B282" s="315">
        <f>IF(B281+1&lt;=$E$21,B281+1,IF(B281&gt;=$E$21,"",IF(B281="","")))</f>
        <v/>
      </c>
      <c r="C282" s="316">
        <f>IF(B282&gt;$E$21,"", DATE(YEAR(C281),MONTH(C281)+1,DAY(C281)))</f>
        <v/>
      </c>
      <c r="D282" s="679">
        <f>VLOOKUP(B282,$G$9:$I$29,3)</f>
        <v/>
      </c>
      <c r="E282" s="680">
        <f>D282*$E$8/12</f>
        <v/>
      </c>
      <c r="F282" s="681">
        <f>IF($C$17="Gross Rent",$B$17*(H282+E282),IF($C$17="Base Rent",$B$17*E282))</f>
        <v/>
      </c>
      <c r="G282" s="681">
        <f>IF($C$16="Base Rent",$B$16*E282,IF($C$16="Gross Rent",$B$16*(H282+E282)))</f>
        <v/>
      </c>
      <c r="H282" s="680">
        <f>IF(MONTH(C282)=MONTH($E$19),((H281*(1+$E$18))),H281)</f>
        <v/>
      </c>
      <c r="I282" s="680">
        <f>SUM(F282:H282)</f>
        <v/>
      </c>
      <c r="J282" s="505" t="n"/>
      <c r="K282" s="681">
        <f>IF($E$37&gt;B282,0,$E$36 IF(B282&gt;$E$21,0,$E$36))</f>
        <v/>
      </c>
      <c r="L282" s="685">
        <f>IF($F$37&gt;B282,0,$F$36 IF(B282&gt;$E$21,0,$F$36))</f>
        <v/>
      </c>
      <c r="M282" s="505" t="n"/>
      <c r="N282" s="680">
        <f>SUM(L282,K282,I282,E282)</f>
        <v/>
      </c>
      <c r="O282" s="505" t="n"/>
      <c r="P282" s="673">
        <f>+N282/$E$8*12</f>
        <v/>
      </c>
    </row>
    <row r="283" ht="12.6" customFormat="1" customHeight="1" s="299">
      <c r="B283" s="315">
        <f>IF(B282+1&lt;=$E$21,B282+1,IF(B282&gt;=$E$21,"",IF(B282="","")))</f>
        <v/>
      </c>
      <c r="C283" s="316">
        <f>IF(B283&gt;$E$21,"", DATE(YEAR(C282),MONTH(C282)+1,DAY(C282)))</f>
        <v/>
      </c>
      <c r="D283" s="679">
        <f>VLOOKUP(B283,$G$9:$I$29,3)</f>
        <v/>
      </c>
      <c r="E283" s="680">
        <f>D283*$E$8/12</f>
        <v/>
      </c>
      <c r="F283" s="681">
        <f>IF($C$17="Gross Rent",$B$17*(H283+E283),IF($C$17="Base Rent",$B$17*E283))</f>
        <v/>
      </c>
      <c r="G283" s="681">
        <f>IF($C$16="Base Rent",$B$16*E283,IF($C$16="Gross Rent",$B$16*(H283+E283)))</f>
        <v/>
      </c>
      <c r="H283" s="680">
        <f>IF(MONTH(C283)=MONTH($E$19),((H282*(1+$E$18))),H282)</f>
        <v/>
      </c>
      <c r="I283" s="680">
        <f>SUM(F283:H283)</f>
        <v/>
      </c>
      <c r="J283" s="505" t="n"/>
      <c r="K283" s="681">
        <f>IF($E$37&gt;B283,0,$E$36 IF(B283&gt;$E$21,0,$E$36))</f>
        <v/>
      </c>
      <c r="L283" s="685">
        <f>IF($F$37&gt;B283,0,$F$36 IF(B283&gt;$E$21,0,$F$36))</f>
        <v/>
      </c>
      <c r="M283" s="505" t="n"/>
      <c r="N283" s="680">
        <f>SUM(L283,K283,I283,E283)</f>
        <v/>
      </c>
      <c r="O283" s="505" t="n"/>
      <c r="P283" s="673">
        <f>+N283/$E$8*12</f>
        <v/>
      </c>
    </row>
    <row r="284" ht="12.6" customFormat="1" customHeight="1" s="299">
      <c r="B284" s="315">
        <f>IF(B283+1&lt;=$E$21,B283+1,IF(B283&gt;=$E$21,"",IF(B283="","")))</f>
        <v/>
      </c>
      <c r="C284" s="316">
        <f>IF(B284&gt;$E$21,"", DATE(YEAR(C283),MONTH(C283)+1,DAY(C283)))</f>
        <v/>
      </c>
      <c r="D284" s="679">
        <f>VLOOKUP(B284,$G$9:$I$29,3)</f>
        <v/>
      </c>
      <c r="E284" s="680">
        <f>D284*$E$8/12</f>
        <v/>
      </c>
      <c r="F284" s="681">
        <f>IF($C$17="Gross Rent",$B$17*(H284+E284),IF($C$17="Base Rent",$B$17*E284))</f>
        <v/>
      </c>
      <c r="G284" s="681">
        <f>IF($C$16="Base Rent",$B$16*E284,IF($C$16="Gross Rent",$B$16*(H284+E284)))</f>
        <v/>
      </c>
      <c r="H284" s="680">
        <f>IF(MONTH(C284)=MONTH($E$19),((H283*(1+$E$18))),H283)</f>
        <v/>
      </c>
      <c r="I284" s="680">
        <f>SUM(F284:H284)</f>
        <v/>
      </c>
      <c r="J284" s="505" t="n"/>
      <c r="K284" s="681">
        <f>IF($E$37&gt;B284,0,$E$36 IF(B284&gt;$E$21,0,$E$36))</f>
        <v/>
      </c>
      <c r="L284" s="685">
        <f>IF($F$37&gt;B284,0,$F$36 IF(B284&gt;$E$21,0,$F$36))</f>
        <v/>
      </c>
      <c r="M284" s="505" t="n"/>
      <c r="N284" s="680">
        <f>SUM(L284,K284,I284,E284)</f>
        <v/>
      </c>
      <c r="O284" s="505" t="n"/>
      <c r="P284" s="673">
        <f>+N284/$E$8*12</f>
        <v/>
      </c>
    </row>
    <row r="285" ht="12.6" customFormat="1" customHeight="1" s="299">
      <c r="B285" s="315">
        <f>IF(B284+1&lt;=$E$21,B284+1,IF(B284&gt;=$E$21,"",IF(B284="","")))</f>
        <v/>
      </c>
      <c r="C285" s="316">
        <f>IF(B285&gt;$E$21,"", DATE(YEAR(C284),MONTH(C284)+1,DAY(C284)))</f>
        <v/>
      </c>
      <c r="D285" s="679">
        <f>VLOOKUP(B285,$G$9:$I$29,3)</f>
        <v/>
      </c>
      <c r="E285" s="680">
        <f>D285*$E$8/12</f>
        <v/>
      </c>
      <c r="F285" s="681">
        <f>IF($C$17="Gross Rent",$B$17*(H285+E285),IF($C$17="Base Rent",$B$17*E285))</f>
        <v/>
      </c>
      <c r="G285" s="681">
        <f>IF($C$16="Base Rent",$B$16*E285,IF($C$16="Gross Rent",$B$16*(H285+E285)))</f>
        <v/>
      </c>
      <c r="H285" s="680">
        <f>IF(MONTH(C285)=MONTH($E$19),((H284*(1+$E$18))),H284)</f>
        <v/>
      </c>
      <c r="I285" s="680">
        <f>SUM(F285:H285)</f>
        <v/>
      </c>
      <c r="J285" s="505" t="n"/>
      <c r="K285" s="681">
        <f>IF($E$37&gt;B285,0,$E$36 IF(B285&gt;$E$21,0,$E$36))</f>
        <v/>
      </c>
      <c r="L285" s="685">
        <f>IF($F$37&gt;B285,0,$F$36 IF(B285&gt;$E$21,0,$F$36))</f>
        <v/>
      </c>
      <c r="M285" s="505" t="n"/>
      <c r="N285" s="680">
        <f>SUM(L285,K285,I285,E285)</f>
        <v/>
      </c>
      <c r="O285" s="505" t="n"/>
      <c r="P285" s="673">
        <f>+N285/$E$8*12</f>
        <v/>
      </c>
    </row>
    <row r="286" ht="12.6" customFormat="1" customHeight="1" s="299">
      <c r="B286" s="315">
        <f>IF(B285+1&lt;=$E$21,B285+1,IF(B285&gt;=$E$21,"",IF(B285="","")))</f>
        <v/>
      </c>
      <c r="C286" s="316">
        <f>IF(B286&gt;$E$21,"", DATE(YEAR(C285),MONTH(C285)+1,DAY(C285)))</f>
        <v/>
      </c>
      <c r="D286" s="679">
        <f>VLOOKUP(B286,$G$9:$I$29,3)</f>
        <v/>
      </c>
      <c r="E286" s="680">
        <f>D286*$E$8/12</f>
        <v/>
      </c>
      <c r="F286" s="681">
        <f>IF($C$17="Gross Rent",$B$17*(H286+E286),IF($C$17="Base Rent",$B$17*E286))</f>
        <v/>
      </c>
      <c r="G286" s="681">
        <f>IF($C$16="Base Rent",$B$16*E286,IF($C$16="Gross Rent",$B$16*(H286+E286)))</f>
        <v/>
      </c>
      <c r="H286" s="680">
        <f>IF(MONTH(C286)=MONTH($E$19),((H285*(1+$E$18))),H285)</f>
        <v/>
      </c>
      <c r="I286" s="680">
        <f>SUM(F286:H286)</f>
        <v/>
      </c>
      <c r="J286" s="505" t="n"/>
      <c r="K286" s="681">
        <f>IF($E$37&gt;B286,0,$E$36 IF(B286&gt;$E$21,0,$E$36))</f>
        <v/>
      </c>
      <c r="L286" s="685">
        <f>IF($F$37&gt;B286,0,$F$36 IF(B286&gt;$E$21,0,$F$36))</f>
        <v/>
      </c>
      <c r="M286" s="505" t="n"/>
      <c r="N286" s="680">
        <f>SUM(L286,K286,I286,E286)</f>
        <v/>
      </c>
      <c r="O286" s="505" t="n"/>
      <c r="P286" s="673">
        <f>+N286/$E$8*12</f>
        <v/>
      </c>
    </row>
    <row r="287" ht="12.6" customFormat="1" customHeight="1" s="299">
      <c r="B287" s="315">
        <f>IF(B286+1&lt;=$E$21,B286+1,IF(B286&gt;=$E$21,"",IF(B286="","")))</f>
        <v/>
      </c>
      <c r="C287" s="316">
        <f>IF(B287&gt;$E$21,"", DATE(YEAR(C286),MONTH(C286)+1,DAY(C286)))</f>
        <v/>
      </c>
      <c r="D287" s="679">
        <f>VLOOKUP(B287,$G$9:$I$29,3)</f>
        <v/>
      </c>
      <c r="E287" s="680">
        <f>D287*$E$8/12</f>
        <v/>
      </c>
      <c r="F287" s="681">
        <f>IF($C$17="Gross Rent",$B$17*(H287+E287),IF($C$17="Base Rent",$B$17*E287))</f>
        <v/>
      </c>
      <c r="G287" s="681">
        <f>IF($C$16="Base Rent",$B$16*E287,IF($C$16="Gross Rent",$B$16*(H287+E287)))</f>
        <v/>
      </c>
      <c r="H287" s="680">
        <f>IF(MONTH(C287)=MONTH($E$19),((H286*(1+$E$18))),H286)</f>
        <v/>
      </c>
      <c r="I287" s="680">
        <f>SUM(F287:H287)</f>
        <v/>
      </c>
      <c r="J287" s="505" t="n"/>
      <c r="K287" s="681">
        <f>IF($E$37&gt;B287,0,$E$36 IF(B287&gt;$E$21,0,$E$36))</f>
        <v/>
      </c>
      <c r="L287" s="685">
        <f>IF($F$37&gt;B287,0,$F$36 IF(B287&gt;$E$21,0,$F$36))</f>
        <v/>
      </c>
      <c r="M287" s="505" t="n"/>
      <c r="N287" s="680">
        <f>SUM(L287,K287,I287,E287)</f>
        <v/>
      </c>
      <c r="O287" s="505" t="n"/>
      <c r="P287" s="673">
        <f>+N287/$E$8*12</f>
        <v/>
      </c>
    </row>
    <row r="288" ht="12.6" customFormat="1" customHeight="1" s="299">
      <c r="B288" s="315">
        <f>IF(B287+1&lt;=$E$21,B287+1,IF(B287&gt;=$E$21,"",IF(B287="","")))</f>
        <v/>
      </c>
      <c r="C288" s="316">
        <f>IF(B288&gt;$E$21,"", DATE(YEAR(C287),MONTH(C287)+1,DAY(C287)))</f>
        <v/>
      </c>
      <c r="D288" s="679">
        <f>VLOOKUP(B288,$G$9:$I$29,3)</f>
        <v/>
      </c>
      <c r="E288" s="680">
        <f>D288*$E$8/12</f>
        <v/>
      </c>
      <c r="F288" s="681">
        <f>IF($C$17="Gross Rent",$B$17*(H288+E288),IF($C$17="Base Rent",$B$17*E288))</f>
        <v/>
      </c>
      <c r="G288" s="681">
        <f>IF($C$16="Base Rent",$B$16*E288,IF($C$16="Gross Rent",$B$16*(H288+E288)))</f>
        <v/>
      </c>
      <c r="H288" s="680">
        <f>IF(MONTH(C288)=MONTH($E$19),((H287*(1+$E$18))),H287)</f>
        <v/>
      </c>
      <c r="I288" s="680">
        <f>SUM(F288:H288)</f>
        <v/>
      </c>
      <c r="J288" s="505" t="n"/>
      <c r="K288" s="681">
        <f>IF($E$37&gt;B288,0,$E$36 IF(B288&gt;$E$21,0,$E$36))</f>
        <v/>
      </c>
      <c r="L288" s="685">
        <f>IF($F$37&gt;B288,0,$F$36 IF(B288&gt;$E$21,0,$F$36))</f>
        <v/>
      </c>
      <c r="M288" s="505" t="n"/>
      <c r="N288" s="680">
        <f>SUM(L288,K288,I288,E288)</f>
        <v/>
      </c>
      <c r="O288" s="505" t="n"/>
      <c r="P288" s="673">
        <f>+N288/$E$8*12</f>
        <v/>
      </c>
    </row>
    <row r="289" ht="12.6" customFormat="1" customHeight="1" s="299">
      <c r="B289" s="315">
        <f>IF(B288+1&lt;=$E$21,B288+1,IF(B288&gt;=$E$21,"",IF(B288="","")))</f>
        <v/>
      </c>
      <c r="C289" s="316">
        <f>IF(B289&gt;$E$21,"", DATE(YEAR(C288),MONTH(C288)+1,DAY(C288)))</f>
        <v/>
      </c>
      <c r="D289" s="679">
        <f>VLOOKUP(B289,$G$9:$I$29,3)</f>
        <v/>
      </c>
      <c r="E289" s="680">
        <f>D289*$E$8/12</f>
        <v/>
      </c>
      <c r="F289" s="681">
        <f>IF($C$17="Gross Rent",$B$17*(H289+E289),IF($C$17="Base Rent",$B$17*E289))</f>
        <v/>
      </c>
      <c r="G289" s="681">
        <f>IF($C$16="Base Rent",$B$16*E289,IF($C$16="Gross Rent",$B$16*(H289+E289)))</f>
        <v/>
      </c>
      <c r="H289" s="680">
        <f>IF(MONTH(C289)=MONTH($E$19),((H288*(1+$E$18))),H288)</f>
        <v/>
      </c>
      <c r="I289" s="680">
        <f>SUM(F289:H289)</f>
        <v/>
      </c>
      <c r="J289" s="505" t="n"/>
      <c r="K289" s="681">
        <f>IF($E$37&gt;B289,0,$E$36 IF(B289&gt;$E$21,0,$E$36))</f>
        <v/>
      </c>
      <c r="L289" s="685">
        <f>IF($F$37&gt;B289,0,$F$36 IF(B289&gt;$E$21,0,$F$36))</f>
        <v/>
      </c>
      <c r="M289" s="505" t="n"/>
      <c r="N289" s="680">
        <f>SUM(L289,K289,I289,E289)</f>
        <v/>
      </c>
      <c r="O289" s="505" t="n"/>
      <c r="P289" s="673">
        <f>+N289/$E$8*12</f>
        <v/>
      </c>
    </row>
    <row r="290" ht="12.6" customFormat="1" customHeight="1" s="299">
      <c r="B290" s="315">
        <f>IF(B289+1&lt;=$E$21,B289+1,IF(B289&gt;=$E$21,"",IF(B289="","")))</f>
        <v/>
      </c>
      <c r="C290" s="316">
        <f>IF(B290&gt;$E$21,"", DATE(YEAR(C289),MONTH(C289)+1,DAY(C289)))</f>
        <v/>
      </c>
      <c r="D290" s="679">
        <f>VLOOKUP(B290,$G$9:$I$29,3)</f>
        <v/>
      </c>
      <c r="E290" s="680">
        <f>D290*$E$8/12</f>
        <v/>
      </c>
      <c r="F290" s="681">
        <f>IF($C$17="Gross Rent",$B$17*(H290+E290),IF($C$17="Base Rent",$B$17*E290))</f>
        <v/>
      </c>
      <c r="G290" s="681">
        <f>IF($C$16="Base Rent",$B$16*E290,IF($C$16="Gross Rent",$B$16*(H290+E290)))</f>
        <v/>
      </c>
      <c r="H290" s="680">
        <f>IF(MONTH(C290)=MONTH($E$19),((H289*(1+$E$18))),H289)</f>
        <v/>
      </c>
      <c r="I290" s="680">
        <f>SUM(F290:H290)</f>
        <v/>
      </c>
      <c r="J290" s="505" t="n"/>
      <c r="K290" s="681">
        <f>IF($E$37&gt;B290,0,$E$36 IF(B290&gt;$E$21,0,$E$36))</f>
        <v/>
      </c>
      <c r="L290" s="685">
        <f>IF($F$37&gt;B290,0,$F$36 IF(B290&gt;$E$21,0,$F$36))</f>
        <v/>
      </c>
      <c r="M290" s="505" t="n"/>
      <c r="N290" s="680">
        <f>SUM(L290,K290,I290,E290)</f>
        <v/>
      </c>
      <c r="O290" s="505" t="n"/>
      <c r="P290" s="673">
        <f>+N290/$E$8*12</f>
        <v/>
      </c>
    </row>
    <row r="291" ht="12.6" customFormat="1" customHeight="1" s="299">
      <c r="B291" s="315">
        <f>IF(B290+1&lt;=$E$21,B290+1,IF(B290&gt;=$E$21,"",IF(B290="","")))</f>
        <v/>
      </c>
      <c r="C291" s="316">
        <f>IF(B291&gt;$E$21,"", DATE(YEAR(C290),MONTH(C290)+1,DAY(C290)))</f>
        <v/>
      </c>
      <c r="D291" s="679">
        <f>VLOOKUP(B291,$G$9:$I$29,3)</f>
        <v/>
      </c>
      <c r="E291" s="680">
        <f>D291*$E$8/12</f>
        <v/>
      </c>
      <c r="F291" s="681">
        <f>IF($C$17="Gross Rent",$B$17*(H291+E291),IF($C$17="Base Rent",$B$17*E291))</f>
        <v/>
      </c>
      <c r="G291" s="681">
        <f>IF($C$16="Base Rent",$B$16*E291,IF($C$16="Gross Rent",$B$16*(H291+E291)))</f>
        <v/>
      </c>
      <c r="H291" s="680">
        <f>IF(MONTH(C291)=MONTH($E$19),((H290*(1+$E$18))),H290)</f>
        <v/>
      </c>
      <c r="I291" s="680">
        <f>SUM(F291:H291)</f>
        <v/>
      </c>
      <c r="J291" s="505" t="n"/>
      <c r="K291" s="681">
        <f>IF($E$37&gt;B291,0,$E$36 IF(B291&gt;$E$21,0,$E$36))</f>
        <v/>
      </c>
      <c r="L291" s="685">
        <f>IF($F$37&gt;B291,0,$F$36 IF(B291&gt;$E$21,0,$F$36))</f>
        <v/>
      </c>
      <c r="M291" s="505" t="n"/>
      <c r="N291" s="680">
        <f>SUM(L291,K291,I291,E291)</f>
        <v/>
      </c>
      <c r="O291" s="505" t="n"/>
      <c r="P291" s="673">
        <f>+N291/$E$8*12</f>
        <v/>
      </c>
    </row>
    <row r="292" ht="12.6" customFormat="1" customHeight="1" s="299">
      <c r="B292" s="315">
        <f>IF(B291+1&lt;=$E$21,B291+1,IF(B291&gt;=$E$21,"",IF(B291="","")))</f>
        <v/>
      </c>
      <c r="C292" s="316">
        <f>IF(B292&gt;$E$21,"", DATE(YEAR(C291),MONTH(C291)+1,DAY(C291)))</f>
        <v/>
      </c>
      <c r="D292" s="679">
        <f>VLOOKUP(B292,$G$9:$I$29,3)</f>
        <v/>
      </c>
      <c r="E292" s="680">
        <f>D292*$E$8/12</f>
        <v/>
      </c>
      <c r="F292" s="681">
        <f>IF($C$17="Gross Rent",$B$17*(H292+E292),IF($C$17="Base Rent",$B$17*E292))</f>
        <v/>
      </c>
      <c r="G292" s="681">
        <f>IF($C$16="Base Rent",$B$16*E292,IF($C$16="Gross Rent",$B$16*(H292+E292)))</f>
        <v/>
      </c>
      <c r="H292" s="680">
        <f>IF(MONTH(C292)=MONTH($E$19),((H291*(1+$E$18))),H291)</f>
        <v/>
      </c>
      <c r="I292" s="680">
        <f>SUM(F292:H292)</f>
        <v/>
      </c>
      <c r="J292" s="505" t="n"/>
      <c r="K292" s="681">
        <f>IF($E$37&gt;B292,0,$E$36 IF(B292&gt;$E$21,0,$E$36))</f>
        <v/>
      </c>
      <c r="L292" s="685">
        <f>IF($F$37&gt;B292,0,$F$36 IF(B292&gt;$E$21,0,$F$36))</f>
        <v/>
      </c>
      <c r="M292" s="505" t="n"/>
      <c r="N292" s="680">
        <f>SUM(L292,K292,I292,E292)</f>
        <v/>
      </c>
      <c r="O292" s="505" t="n"/>
      <c r="P292" s="673">
        <f>+N292/$E$8*12</f>
        <v/>
      </c>
    </row>
    <row r="293" ht="12.6" customFormat="1" customHeight="1" s="299">
      <c r="B293" s="315">
        <f>IF(B292+1&lt;=$E$21,B292+1,IF(B292&gt;=$E$21,"",IF(B292="","")))</f>
        <v/>
      </c>
      <c r="C293" s="316">
        <f>IF(B293&gt;$E$21,"", DATE(YEAR(C292),MONTH(C292)+1,DAY(C292)))</f>
        <v/>
      </c>
      <c r="D293" s="679">
        <f>VLOOKUP(B293,$G$9:$I$29,3)</f>
        <v/>
      </c>
      <c r="E293" s="680">
        <f>D293*$E$8/12</f>
        <v/>
      </c>
      <c r="F293" s="681">
        <f>IF($C$17="Gross Rent",$B$17*(H293+E293),IF($C$17="Base Rent",$B$17*E293))</f>
        <v/>
      </c>
      <c r="G293" s="681">
        <f>IF($C$16="Base Rent",$B$16*E293,IF($C$16="Gross Rent",$B$16*(H293+E293)))</f>
        <v/>
      </c>
      <c r="H293" s="680">
        <f>IF(MONTH(C293)=MONTH($E$19),((H292*(1+$E$18))),H292)</f>
        <v/>
      </c>
      <c r="I293" s="680">
        <f>SUM(F293:H293)</f>
        <v/>
      </c>
      <c r="J293" s="505" t="n"/>
      <c r="K293" s="681">
        <f>IF($E$37&gt;B293,0,$E$36 IF(B293&gt;$E$21,0,$E$36))</f>
        <v/>
      </c>
      <c r="L293" s="685">
        <f>IF($F$37&gt;B293,0,$F$36 IF(B293&gt;$E$21,0,$F$36))</f>
        <v/>
      </c>
      <c r="M293" s="505" t="n"/>
      <c r="N293" s="680">
        <f>SUM(L293,K293,I293,E293)</f>
        <v/>
      </c>
      <c r="O293" s="505" t="n"/>
      <c r="P293" s="673">
        <f>+N293/$E$8*12</f>
        <v/>
      </c>
    </row>
    <row r="294" ht="12.6" customFormat="1" customHeight="1" s="299">
      <c r="B294" s="315">
        <f>IF(B293+1&lt;=$E$21,B293+1,IF(B293&gt;=$E$21,"",IF(B293="","")))</f>
        <v/>
      </c>
      <c r="C294" s="316">
        <f>IF(B294&gt;$E$21,"", DATE(YEAR(C293),MONTH(C293)+1,DAY(C293)))</f>
        <v/>
      </c>
      <c r="D294" s="679">
        <f>VLOOKUP(B294,$G$9:$I$29,3)</f>
        <v/>
      </c>
      <c r="E294" s="680">
        <f>D294*$E$8/12</f>
        <v/>
      </c>
      <c r="F294" s="681">
        <f>IF($C$17="Gross Rent",$B$17*(H294+E294),IF($C$17="Base Rent",$B$17*E294))</f>
        <v/>
      </c>
      <c r="G294" s="681">
        <f>IF($C$16="Base Rent",$B$16*E294,IF($C$16="Gross Rent",$B$16*(H294+E294)))</f>
        <v/>
      </c>
      <c r="H294" s="680">
        <f>IF(MONTH(C294)=MONTH($E$19),((H293*(1+$E$18))),H293)</f>
        <v/>
      </c>
      <c r="I294" s="680">
        <f>SUM(F294:H294)</f>
        <v/>
      </c>
      <c r="J294" s="505" t="n"/>
      <c r="K294" s="681">
        <f>IF($E$37&gt;B294,0,$E$36 IF(B294&gt;$E$21,0,$E$36))</f>
        <v/>
      </c>
      <c r="L294" s="685">
        <f>IF($F$37&gt;B294,0,$F$36 IF(B294&gt;$E$21,0,$F$36))</f>
        <v/>
      </c>
      <c r="M294" s="505" t="n"/>
      <c r="N294" s="680">
        <f>SUM(L294,K294,I294,E294)</f>
        <v/>
      </c>
      <c r="O294" s="505" t="n"/>
      <c r="P294" s="673">
        <f>+N294/$E$8*12</f>
        <v/>
      </c>
    </row>
    <row r="295" ht="12.6" customFormat="1" customHeight="1" s="299">
      <c r="B295" s="315">
        <f>IF(B294+1&lt;=$E$21,B294+1,IF(B294&gt;=$E$21,"",IF(B294="","")))</f>
        <v/>
      </c>
      <c r="C295" s="316">
        <f>IF(B295&gt;$E$21,"", DATE(YEAR(C294),MONTH(C294)+1,DAY(C294)))</f>
        <v/>
      </c>
      <c r="D295" s="679">
        <f>VLOOKUP(B295,$G$9:$I$29,3)</f>
        <v/>
      </c>
      <c r="E295" s="680">
        <f>D295*$E$8/12</f>
        <v/>
      </c>
      <c r="F295" s="681">
        <f>IF($C$17="Gross Rent",$B$17*(H295+E295),IF($C$17="Base Rent",$B$17*E295))</f>
        <v/>
      </c>
      <c r="G295" s="681">
        <f>IF($C$16="Base Rent",$B$16*E295,IF($C$16="Gross Rent",$B$16*(H295+E295)))</f>
        <v/>
      </c>
      <c r="H295" s="680">
        <f>IF(MONTH(C295)=MONTH($E$19),((H294*(1+$E$18))),H294)</f>
        <v/>
      </c>
      <c r="I295" s="680">
        <f>SUM(F295:H295)</f>
        <v/>
      </c>
      <c r="J295" s="505" t="n"/>
      <c r="K295" s="681">
        <f>IF($E$37&gt;B295,0,$E$36 IF(B295&gt;$E$21,0,$E$36))</f>
        <v/>
      </c>
      <c r="L295" s="685">
        <f>IF($F$37&gt;B295,0,$F$36 IF(B295&gt;$E$21,0,$F$36))</f>
        <v/>
      </c>
      <c r="M295" s="505" t="n"/>
      <c r="N295" s="680">
        <f>SUM(L295,K295,I295,E295)</f>
        <v/>
      </c>
      <c r="O295" s="505" t="n"/>
      <c r="P295" s="673">
        <f>+N295/$E$8*12</f>
        <v/>
      </c>
    </row>
    <row r="296" ht="12.6" customFormat="1" customHeight="1" s="299">
      <c r="B296" s="315">
        <f>IF(B295+1&lt;=$E$21,B295+1,IF(B295&gt;=$E$21,"",IF(B295="","")))</f>
        <v/>
      </c>
      <c r="C296" s="316">
        <f>IF(B296&gt;$E$21,"", DATE(YEAR(C295),MONTH(C295)+1,DAY(C295)))</f>
        <v/>
      </c>
      <c r="D296" s="679">
        <f>VLOOKUP(B296,$G$9:$I$29,3)</f>
        <v/>
      </c>
      <c r="E296" s="680">
        <f>D296*$E$8/12</f>
        <v/>
      </c>
      <c r="F296" s="681">
        <f>IF($C$17="Gross Rent",$B$17*(H296+E296),IF($C$17="Base Rent",$B$17*E296))</f>
        <v/>
      </c>
      <c r="G296" s="681">
        <f>IF($C$16="Base Rent",$B$16*E296,IF($C$16="Gross Rent",$B$16*(H296+E296)))</f>
        <v/>
      </c>
      <c r="H296" s="680">
        <f>IF(MONTH(C296)=MONTH($E$19),((H295*(1+$E$18))),H295)</f>
        <v/>
      </c>
      <c r="I296" s="680">
        <f>SUM(F296:H296)</f>
        <v/>
      </c>
      <c r="J296" s="505" t="n"/>
      <c r="K296" s="681">
        <f>IF($E$37&gt;B296,0,$E$36 IF(B296&gt;$E$21,0,$E$36))</f>
        <v/>
      </c>
      <c r="L296" s="685">
        <f>IF($F$37&gt;B296,0,$F$36 IF(B296&gt;$E$21,0,$F$36))</f>
        <v/>
      </c>
      <c r="M296" s="505" t="n"/>
      <c r="N296" s="680">
        <f>SUM(L296,K296,I296,E296)</f>
        <v/>
      </c>
      <c r="O296" s="505" t="n"/>
      <c r="P296" s="673">
        <f>+N296/$E$8*12</f>
        <v/>
      </c>
    </row>
    <row r="297" ht="12.6" customFormat="1" customHeight="1" s="299">
      <c r="B297" s="315">
        <f>IF(B296+1&lt;=$E$21,B296+1,IF(B296&gt;=$E$21,"",IF(B296="","")))</f>
        <v/>
      </c>
      <c r="C297" s="316">
        <f>IF(B297&gt;$E$21,"", DATE(YEAR(C296),MONTH(C296)+1,DAY(C296)))</f>
        <v/>
      </c>
      <c r="D297" s="679">
        <f>VLOOKUP(B297,$G$9:$I$29,3)</f>
        <v/>
      </c>
      <c r="E297" s="680">
        <f>D297*$E$8/12</f>
        <v/>
      </c>
      <c r="F297" s="681">
        <f>IF($C$17="Gross Rent",$B$17*(H297+E297),IF($C$17="Base Rent",$B$17*E297))</f>
        <v/>
      </c>
      <c r="G297" s="681">
        <f>IF($C$16="Base Rent",$B$16*E297,IF($C$16="Gross Rent",$B$16*(H297+E297)))</f>
        <v/>
      </c>
      <c r="H297" s="680">
        <f>IF(MONTH(C297)=MONTH($E$19),((H296*(1+$E$18))),H296)</f>
        <v/>
      </c>
      <c r="I297" s="680">
        <f>SUM(F297:H297)</f>
        <v/>
      </c>
      <c r="J297" s="505" t="n"/>
      <c r="K297" s="681">
        <f>IF($E$37&gt;B297,0,$E$36 IF(B297&gt;$E$21,0,$E$36))</f>
        <v/>
      </c>
      <c r="L297" s="685">
        <f>IF($F$37&gt;B297,0,$F$36 IF(B297&gt;$E$21,0,$F$36))</f>
        <v/>
      </c>
      <c r="M297" s="505" t="n"/>
      <c r="N297" s="680">
        <f>SUM(L297,K297,I297,E297)</f>
        <v/>
      </c>
      <c r="O297" s="505" t="n"/>
      <c r="P297" s="673">
        <f>+N297/$E$8*12</f>
        <v/>
      </c>
    </row>
    <row r="298" ht="12.6" customFormat="1" customHeight="1" s="299">
      <c r="B298" s="315">
        <f>IF(B297+1&lt;=$E$21,B297+1,IF(B297&gt;=$E$21,"",IF(B297="","")))</f>
        <v/>
      </c>
      <c r="C298" s="316">
        <f>IF(B298&gt;$E$21,"", DATE(YEAR(C297),MONTH(C297)+1,DAY(C297)))</f>
        <v/>
      </c>
      <c r="D298" s="679">
        <f>VLOOKUP(B298,$G$9:$I$29,3)</f>
        <v/>
      </c>
      <c r="E298" s="680">
        <f>D298*$E$8/12</f>
        <v/>
      </c>
      <c r="F298" s="681">
        <f>IF($C$17="Gross Rent",$B$17*(H298+E298),IF($C$17="Base Rent",$B$17*E298))</f>
        <v/>
      </c>
      <c r="G298" s="681">
        <f>IF($C$16="Base Rent",$B$16*E298,IF($C$16="Gross Rent",$B$16*(H298+E298)))</f>
        <v/>
      </c>
      <c r="H298" s="680">
        <f>IF(MONTH(C298)=MONTH($E$19),((H297*(1+$E$18))),H297)</f>
        <v/>
      </c>
      <c r="I298" s="680">
        <f>SUM(F298:H298)</f>
        <v/>
      </c>
      <c r="J298" s="505" t="n"/>
      <c r="K298" s="681">
        <f>IF($E$37&gt;B298,0,$E$36 IF(B298&gt;$E$21,0,$E$36))</f>
        <v/>
      </c>
      <c r="L298" s="685">
        <f>IF($F$37&gt;B298,0,$F$36 IF(B298&gt;$E$21,0,$F$36))</f>
        <v/>
      </c>
      <c r="M298" s="505" t="n"/>
      <c r="N298" s="680">
        <f>SUM(L298,K298,I298,E298)</f>
        <v/>
      </c>
      <c r="O298" s="505" t="n"/>
      <c r="P298" s="673">
        <f>+N298/$E$8*12</f>
        <v/>
      </c>
    </row>
    <row r="299" ht="12.6" customFormat="1" customHeight="1" s="299">
      <c r="B299" s="315">
        <f>IF(B298+1&lt;=$E$21,B298+1,IF(B298&gt;=$E$21,"",IF(B298="","")))</f>
        <v/>
      </c>
      <c r="C299" s="316">
        <f>IF(B299&gt;$E$21,"", DATE(YEAR(C298),MONTH(C298)+1,DAY(C298)))</f>
        <v/>
      </c>
      <c r="D299" s="679">
        <f>VLOOKUP(B299,$G$9:$I$29,3)</f>
        <v/>
      </c>
      <c r="E299" s="680">
        <f>D299*$E$8/12</f>
        <v/>
      </c>
      <c r="F299" s="681">
        <f>IF($C$17="Gross Rent",$B$17*(H299+E299),IF($C$17="Base Rent",$B$17*E299))</f>
        <v/>
      </c>
      <c r="G299" s="681">
        <f>IF($C$16="Base Rent",$B$16*E299,IF($C$16="Gross Rent",$B$16*(H299+E299)))</f>
        <v/>
      </c>
      <c r="H299" s="680">
        <f>IF(MONTH(C299)=MONTH($E$19),((H298*(1+$E$18))),H298)</f>
        <v/>
      </c>
      <c r="I299" s="680">
        <f>SUM(F299:H299)</f>
        <v/>
      </c>
      <c r="J299" s="505" t="n"/>
      <c r="K299" s="681">
        <f>IF($E$37&gt;B299,0,$E$36 IF(B299&gt;$E$21,0,$E$36))</f>
        <v/>
      </c>
      <c r="L299" s="685">
        <f>IF($F$37&gt;B299,0,$F$36 IF(B299&gt;$E$21,0,$F$36))</f>
        <v/>
      </c>
      <c r="M299" s="505" t="n"/>
      <c r="N299" s="680">
        <f>SUM(L299,K299,I299,E299)</f>
        <v/>
      </c>
      <c r="O299" s="505" t="n"/>
      <c r="P299" s="673">
        <f>+N299/$E$8*12</f>
        <v/>
      </c>
    </row>
    <row r="300" ht="12.6" customFormat="1" customHeight="1" s="299">
      <c r="B300" s="315">
        <f>IF(B299+1&lt;=$E$21,B299+1,IF(B299&gt;=$E$21,"",IF(B299="","")))</f>
        <v/>
      </c>
      <c r="C300" s="316">
        <f>IF(B300&gt;$E$21,"", DATE(YEAR(C299),MONTH(C299)+1,DAY(C299)))</f>
        <v/>
      </c>
      <c r="D300" s="679">
        <f>VLOOKUP(B300,$G$9:$I$29,3)</f>
        <v/>
      </c>
      <c r="E300" s="680">
        <f>D300*$E$8/12</f>
        <v/>
      </c>
      <c r="F300" s="681">
        <f>IF($C$17="Gross Rent",$B$17*(H300+E300),IF($C$17="Base Rent",$B$17*E300))</f>
        <v/>
      </c>
      <c r="G300" s="681">
        <f>IF($C$16="Base Rent",$B$16*E300,IF($C$16="Gross Rent",$B$16*(H300+E300)))</f>
        <v/>
      </c>
      <c r="H300" s="680">
        <f>IF(MONTH(C300)=MONTH($E$19),((H299*(1+$E$18))),H299)</f>
        <v/>
      </c>
      <c r="I300" s="680">
        <f>SUM(F300:H300)</f>
        <v/>
      </c>
      <c r="J300" s="505" t="n"/>
      <c r="K300" s="681">
        <f>IF($E$37&gt;B300,0,$E$36 IF(B300&gt;$E$21,0,$E$36))</f>
        <v/>
      </c>
      <c r="L300" s="685">
        <f>IF($F$37&gt;B300,0,$F$36 IF(B300&gt;$E$21,0,$F$36))</f>
        <v/>
      </c>
      <c r="M300" s="505" t="n"/>
      <c r="N300" s="680">
        <f>SUM(L300,K300,I300,E300)</f>
        <v/>
      </c>
      <c r="O300" s="505" t="n"/>
      <c r="P300" s="673">
        <f>+N300/$E$8*12</f>
        <v/>
      </c>
    </row>
    <row r="301" ht="12.6" customFormat="1" customHeight="1" s="299">
      <c r="B301" s="315">
        <f>IF(B300+1&lt;=$E$21,B300+1,IF(B300&gt;=$E$21,"",IF(B300="","")))</f>
        <v/>
      </c>
      <c r="C301" s="316">
        <f>IF(B301&gt;$E$21,"", DATE(YEAR(C300),MONTH(C300)+1,DAY(C300)))</f>
        <v/>
      </c>
      <c r="D301" s="679">
        <f>VLOOKUP(B301,$G$9:$I$29,3)</f>
        <v/>
      </c>
      <c r="E301" s="680">
        <f>D301*$E$8/12</f>
        <v/>
      </c>
      <c r="F301" s="681">
        <f>IF($C$17="Gross Rent",$B$17*(H301+E301),IF($C$17="Base Rent",$B$17*E301))</f>
        <v/>
      </c>
      <c r="G301" s="681">
        <f>IF($C$16="Base Rent",$B$16*E301,IF($C$16="Gross Rent",$B$16*(H301+E301)))</f>
        <v/>
      </c>
      <c r="H301" s="680">
        <f>IF(MONTH(C301)=MONTH($E$19),((H300*(1+$E$18))),H300)</f>
        <v/>
      </c>
      <c r="I301" s="680">
        <f>SUM(F301:H301)</f>
        <v/>
      </c>
      <c r="J301" s="505" t="n"/>
      <c r="K301" s="681">
        <f>IF($E$37&gt;B301,0,$E$36 IF(B301&gt;$E$21,0,$E$36))</f>
        <v/>
      </c>
      <c r="L301" s="685">
        <f>IF($F$37&gt;B301,0,$F$36 IF(B301&gt;$E$21,0,$F$36))</f>
        <v/>
      </c>
      <c r="M301" s="505" t="n"/>
      <c r="N301" s="680">
        <f>SUM(L301,K301,I301,E301)</f>
        <v/>
      </c>
      <c r="O301" s="505" t="n"/>
      <c r="P301" s="673">
        <f>+N301/$E$8*12</f>
        <v/>
      </c>
    </row>
    <row r="302" ht="12.6" customFormat="1" customHeight="1" s="299">
      <c r="B302" s="315">
        <f>IF(B301+1&lt;=$E$21,B301+1,IF(B301&gt;=$E$21,"",IF(B301="","")))</f>
        <v/>
      </c>
      <c r="C302" s="316">
        <f>IF(B302&gt;$E$21,"", DATE(YEAR(C301),MONTH(C301)+1,DAY(C301)))</f>
        <v/>
      </c>
      <c r="D302" s="679">
        <f>VLOOKUP(B302,$G$9:$I$29,3)</f>
        <v/>
      </c>
      <c r="E302" s="680">
        <f>D302*$E$8/12</f>
        <v/>
      </c>
      <c r="F302" s="681">
        <f>IF($C$17="Gross Rent",$B$17*(H302+E302),IF($C$17="Base Rent",$B$17*E302))</f>
        <v/>
      </c>
      <c r="G302" s="681">
        <f>IF($C$16="Base Rent",$B$16*E302,IF($C$16="Gross Rent",$B$16*(H302+E302)))</f>
        <v/>
      </c>
      <c r="H302" s="680">
        <f>IF(MONTH(C302)=MONTH($E$19),((H301*(1+$E$18))),H301)</f>
        <v/>
      </c>
      <c r="I302" s="680">
        <f>SUM(F302:H302)</f>
        <v/>
      </c>
      <c r="J302" s="505" t="n"/>
      <c r="K302" s="681">
        <f>IF($E$37&gt;B302,0,$E$36 IF(B302&gt;$E$21,0,$E$36))</f>
        <v/>
      </c>
      <c r="L302" s="685">
        <f>IF($F$37&gt;B302,0,$F$36 IF(B302&gt;$E$21,0,$F$36))</f>
        <v/>
      </c>
      <c r="M302" s="505" t="n"/>
      <c r="N302" s="680">
        <f>SUM(L302,K302,I302,E302)</f>
        <v/>
      </c>
      <c r="O302" s="505" t="n"/>
      <c r="P302" s="673">
        <f>+N302/$E$8*12</f>
        <v/>
      </c>
    </row>
    <row r="303" ht="12.6" customFormat="1" customHeight="1" s="299">
      <c r="B303" s="315">
        <f>IF(B302+1&lt;=$E$21,B302+1,IF(B302&gt;=$E$21,"",IF(B302="","")))</f>
        <v/>
      </c>
      <c r="C303" s="316">
        <f>IF(B303&gt;$E$21,"", DATE(YEAR(C302),MONTH(C302)+1,DAY(C302)))</f>
        <v/>
      </c>
      <c r="D303" s="679">
        <f>VLOOKUP(B303,$G$9:$I$29,3)</f>
        <v/>
      </c>
      <c r="E303" s="680">
        <f>D303*$E$8/12</f>
        <v/>
      </c>
      <c r="F303" s="681">
        <f>IF($C$17="Gross Rent",$B$17*(H303+E303),IF($C$17="Base Rent",$B$17*E303))</f>
        <v/>
      </c>
      <c r="G303" s="681">
        <f>IF($C$16="Base Rent",$B$16*E303,IF($C$16="Gross Rent",$B$16*(H303+E303)))</f>
        <v/>
      </c>
      <c r="H303" s="680">
        <f>IF(MONTH(C303)=MONTH($E$19),((H302*(1+$E$18))),H302)</f>
        <v/>
      </c>
      <c r="I303" s="680">
        <f>SUM(F303:H303)</f>
        <v/>
      </c>
      <c r="J303" s="505" t="n"/>
      <c r="K303" s="681">
        <f>IF($E$37&gt;B303,0,$E$36 IF(B303&gt;$E$21,0,$E$36))</f>
        <v/>
      </c>
      <c r="L303" s="685">
        <f>IF($F$37&gt;B303,0,$F$36 IF(B303&gt;$E$21,0,$F$36))</f>
        <v/>
      </c>
      <c r="M303" s="505" t="n"/>
      <c r="N303" s="680">
        <f>SUM(L303,K303,I303,E303)</f>
        <v/>
      </c>
      <c r="O303" s="505" t="n"/>
      <c r="P303" s="673">
        <f>+N303/$E$8*12</f>
        <v/>
      </c>
    </row>
    <row r="304" ht="12.6" customFormat="1" customHeight="1" s="299">
      <c r="B304" s="315">
        <f>IF(B303+1&lt;=$E$21,B303+1,IF(B303&gt;=$E$21,"",IF(B303="","")))</f>
        <v/>
      </c>
      <c r="C304" s="316">
        <f>IF(B304&gt;$E$21,"", DATE(YEAR(C303),MONTH(C303)+1,DAY(C303)))</f>
        <v/>
      </c>
      <c r="D304" s="679">
        <f>VLOOKUP(B304,$G$9:$I$29,3)</f>
        <v/>
      </c>
      <c r="E304" s="680">
        <f>D304*$E$8/12</f>
        <v/>
      </c>
      <c r="F304" s="681">
        <f>IF($C$17="Gross Rent",$B$17*(H304+E304),IF($C$17="Base Rent",$B$17*E304))</f>
        <v/>
      </c>
      <c r="G304" s="681">
        <f>IF($C$16="Base Rent",$B$16*E304,IF($C$16="Gross Rent",$B$16*(H304+E304)))</f>
        <v/>
      </c>
      <c r="H304" s="680">
        <f>IF(MONTH(C304)=MONTH($E$19),((H303*(1+$E$18))),H303)</f>
        <v/>
      </c>
      <c r="I304" s="680">
        <f>SUM(F304:H304)</f>
        <v/>
      </c>
      <c r="J304" s="505" t="n"/>
      <c r="K304" s="681">
        <f>IF($E$37&gt;B304,0,$E$36 IF(B304&gt;$E$21,0,$E$36))</f>
        <v/>
      </c>
      <c r="L304" s="685">
        <f>IF($F$37&gt;B304,0,$F$36 IF(B304&gt;$E$21,0,$F$36))</f>
        <v/>
      </c>
      <c r="M304" s="505" t="n"/>
      <c r="N304" s="680">
        <f>SUM(L304,K304,I304,E304)</f>
        <v/>
      </c>
      <c r="O304" s="505" t="n"/>
      <c r="P304" s="673">
        <f>+N304/$E$8*12</f>
        <v/>
      </c>
    </row>
    <row r="305" ht="12.6" customFormat="1" customHeight="1" s="299">
      <c r="B305" s="315">
        <f>IF(B304+1&lt;=$E$21,B304+1,IF(B304&gt;=$E$21,"",IF(B304="","")))</f>
        <v/>
      </c>
      <c r="C305" s="316">
        <f>IF(B305&gt;$E$21,"", DATE(YEAR(C304),MONTH(C304)+1,DAY(C304)))</f>
        <v/>
      </c>
      <c r="D305" s="679">
        <f>VLOOKUP(B305,$G$9:$I$29,3)</f>
        <v/>
      </c>
      <c r="E305" s="680">
        <f>D305*$E$8/12</f>
        <v/>
      </c>
      <c r="F305" s="681">
        <f>IF($C$17="Gross Rent",$B$17*(H305+E305),IF($C$17="Base Rent",$B$17*E305))</f>
        <v/>
      </c>
      <c r="G305" s="681">
        <f>IF($C$16="Base Rent",$B$16*E305,IF($C$16="Gross Rent",$B$16*(H305+E305)))</f>
        <v/>
      </c>
      <c r="H305" s="680">
        <f>IF(MONTH(C305)=MONTH($E$19),((H304*(1+$E$18))),H304)</f>
        <v/>
      </c>
      <c r="I305" s="680">
        <f>SUM(F305:H305)</f>
        <v/>
      </c>
      <c r="J305" s="505" t="n"/>
      <c r="K305" s="681">
        <f>IF($E$37&gt;B305,0,$E$36 IF(B305&gt;$E$21,0,$E$36))</f>
        <v/>
      </c>
      <c r="L305" s="685">
        <f>IF($F$37&gt;B305,0,$F$36 IF(B305&gt;$E$21,0,$F$36))</f>
        <v/>
      </c>
      <c r="M305" s="505" t="n"/>
      <c r="N305" s="680">
        <f>SUM(L305,K305,I305,E305)</f>
        <v/>
      </c>
      <c r="O305" s="505" t="n"/>
      <c r="P305" s="673">
        <f>+N305/$E$8*12</f>
        <v/>
      </c>
    </row>
    <row r="306" ht="12.6" customFormat="1" customHeight="1" s="299">
      <c r="B306" s="315">
        <f>IF(B305+1&lt;=$E$21,B305+1,IF(B305&gt;=$E$21,"",IF(B305="","")))</f>
        <v/>
      </c>
      <c r="C306" s="316">
        <f>IF(B306&gt;$E$21,"", DATE(YEAR(C305),MONTH(C305)+1,DAY(C305)))</f>
        <v/>
      </c>
      <c r="D306" s="679">
        <f>VLOOKUP(B306,$G$9:$I$29,3)</f>
        <v/>
      </c>
      <c r="E306" s="680">
        <f>D306*$E$8/12</f>
        <v/>
      </c>
      <c r="F306" s="681">
        <f>IF($C$17="Gross Rent",$B$17*(H306+E306),IF($C$17="Base Rent",$B$17*E306))</f>
        <v/>
      </c>
      <c r="G306" s="681">
        <f>IF($C$16="Base Rent",$B$16*E306,IF($C$16="Gross Rent",$B$16*(H306+E306)))</f>
        <v/>
      </c>
      <c r="H306" s="680">
        <f>IF(MONTH(C306)=MONTH($E$19),((H305*(1+$E$18))),H305)</f>
        <v/>
      </c>
      <c r="I306" s="680">
        <f>SUM(F306:H306)</f>
        <v/>
      </c>
      <c r="J306" s="505" t="n"/>
      <c r="K306" s="681">
        <f>IF($E$37&gt;B306,0,$E$36 IF(B306&gt;$E$21,0,$E$36))</f>
        <v/>
      </c>
      <c r="L306" s="685">
        <f>IF($F$37&gt;B306,0,$F$36 IF(B306&gt;$E$21,0,$F$36))</f>
        <v/>
      </c>
      <c r="M306" s="505" t="n"/>
      <c r="N306" s="680">
        <f>SUM(L306,K306,I306,E306)</f>
        <v/>
      </c>
      <c r="O306" s="505" t="n"/>
      <c r="P306" s="673">
        <f>+N306/$E$8*12</f>
        <v/>
      </c>
    </row>
    <row r="307" ht="12.6" customFormat="1" customHeight="1" s="299">
      <c r="B307" s="315">
        <f>IF(B306+1&lt;=$E$21,B306+1,IF(B306&gt;=$E$21,"",IF(B306="","")))</f>
        <v/>
      </c>
      <c r="C307" s="316">
        <f>IF(B307&gt;$E$21,"", DATE(YEAR(C306),MONTH(C306)+1,DAY(C306)))</f>
        <v/>
      </c>
      <c r="D307" s="679">
        <f>VLOOKUP(B307,$G$9:$I$29,3)</f>
        <v/>
      </c>
      <c r="E307" s="680">
        <f>D307*$E$8/12</f>
        <v/>
      </c>
      <c r="F307" s="681">
        <f>IF($C$17="Gross Rent",$B$17*(H307+E307),IF($C$17="Base Rent",$B$17*E307))</f>
        <v/>
      </c>
      <c r="G307" s="681">
        <f>IF($C$16="Base Rent",$B$16*E307,IF($C$16="Gross Rent",$B$16*(H307+E307)))</f>
        <v/>
      </c>
      <c r="H307" s="680">
        <f>IF(MONTH(C307)=MONTH($E$19),((H306*(1+$E$18))),H306)</f>
        <v/>
      </c>
      <c r="I307" s="680">
        <f>SUM(F307:H307)</f>
        <v/>
      </c>
      <c r="J307" s="505" t="n"/>
      <c r="K307" s="681">
        <f>IF($E$37&gt;B307,0,$E$36 IF(B307&gt;$E$21,0,$E$36))</f>
        <v/>
      </c>
      <c r="L307" s="685">
        <f>IF($F$37&gt;B307,0,$F$36 IF(B307&gt;$E$21,0,$F$36))</f>
        <v/>
      </c>
      <c r="M307" s="505" t="n"/>
      <c r="N307" s="680">
        <f>SUM(L307,K307,I307,E307)</f>
        <v/>
      </c>
      <c r="O307" s="505" t="n"/>
      <c r="P307" s="673">
        <f>+N307/$E$8*12</f>
        <v/>
      </c>
    </row>
    <row r="308" ht="12.6" customFormat="1" customHeight="1" s="299">
      <c r="B308" s="315">
        <f>IF(B307+1&lt;=$E$21,B307+1,IF(B307&gt;=$E$21,"",IF(B307="","")))</f>
        <v/>
      </c>
      <c r="C308" s="316">
        <f>IF(B308&gt;$E$21,"", DATE(YEAR(C307),MONTH(C307)+1,DAY(C307)))</f>
        <v/>
      </c>
      <c r="D308" s="679">
        <f>VLOOKUP(B308,$G$9:$I$29,3)</f>
        <v/>
      </c>
      <c r="E308" s="680">
        <f>D308*$E$8/12</f>
        <v/>
      </c>
      <c r="F308" s="681">
        <f>IF($C$17="Gross Rent",$B$17*(H308+E308),IF($C$17="Base Rent",$B$17*E308))</f>
        <v/>
      </c>
      <c r="G308" s="681">
        <f>IF($C$16="Base Rent",$B$16*E308,IF($C$16="Gross Rent",$B$16*(H308+E308)))</f>
        <v/>
      </c>
      <c r="H308" s="680">
        <f>IF(MONTH(C308)=MONTH($E$19),((H307*(1+$E$18))),H307)</f>
        <v/>
      </c>
      <c r="I308" s="680">
        <f>SUM(F308:H308)</f>
        <v/>
      </c>
      <c r="J308" s="505" t="n"/>
      <c r="K308" s="681">
        <f>IF($E$37&gt;B308,0,$E$36 IF(B308&gt;$E$21,0,$E$36))</f>
        <v/>
      </c>
      <c r="L308" s="685">
        <f>IF($F$37&gt;B308,0,$F$36 IF(B308&gt;$E$21,0,$F$36))</f>
        <v/>
      </c>
      <c r="M308" s="505" t="n"/>
      <c r="N308" s="680">
        <f>SUM(L308,K308,I308,E308)</f>
        <v/>
      </c>
      <c r="O308" s="505" t="n"/>
      <c r="P308" s="673">
        <f>+N308/$E$8*12</f>
        <v/>
      </c>
    </row>
    <row r="309" ht="12.6" customFormat="1" customHeight="1" s="299">
      <c r="B309" s="315">
        <f>IF(B308+1&lt;=$E$21,B308+1,IF(B308&gt;=$E$21,"",IF(B308="","")))</f>
        <v/>
      </c>
      <c r="C309" s="316">
        <f>IF(B309&gt;$E$21,"", DATE(YEAR(C308),MONTH(C308)+1,DAY(C308)))</f>
        <v/>
      </c>
      <c r="D309" s="679">
        <f>VLOOKUP(B309,$G$9:$I$29,3)</f>
        <v/>
      </c>
      <c r="E309" s="680">
        <f>D309*$E$8/12</f>
        <v/>
      </c>
      <c r="F309" s="681">
        <f>IF($C$17="Gross Rent",$B$17*(H309+E309),IF($C$17="Base Rent",$B$17*E309))</f>
        <v/>
      </c>
      <c r="G309" s="681">
        <f>IF($C$16="Base Rent",$B$16*E309,IF($C$16="Gross Rent",$B$16*(H309+E309)))</f>
        <v/>
      </c>
      <c r="H309" s="680">
        <f>IF(MONTH(C309)=MONTH($E$19),((H308*(1+$E$18))),H308)</f>
        <v/>
      </c>
      <c r="I309" s="680">
        <f>SUM(F309:H309)</f>
        <v/>
      </c>
      <c r="J309" s="505" t="n"/>
      <c r="K309" s="681">
        <f>IF($E$37&gt;B309,0,$E$36 IF(B309&gt;$E$21,0,$E$36))</f>
        <v/>
      </c>
      <c r="L309" s="685">
        <f>IF($F$37&gt;B309,0,$F$36 IF(B309&gt;$E$21,0,$F$36))</f>
        <v/>
      </c>
      <c r="M309" s="505" t="n"/>
      <c r="N309" s="680">
        <f>SUM(L309,K309,I309,E309)</f>
        <v/>
      </c>
      <c r="O309" s="505" t="n"/>
      <c r="P309" s="673">
        <f>+N309/$E$8*12</f>
        <v/>
      </c>
    </row>
    <row r="310" ht="12.6" customFormat="1" customHeight="1" s="299">
      <c r="B310" s="323">
        <f>IF(B309+1&lt;=$E$21,B309+1,IF(B309&gt;=$E$21,"",IF(B309="","")))</f>
        <v/>
      </c>
      <c r="C310" s="324">
        <f>IF(B310&gt;$E$21,"", DATE(YEAR(C309),MONTH(C309)+1,DAY(C309)))</f>
        <v/>
      </c>
      <c r="D310" s="688">
        <f>VLOOKUP(B310,$G$9:$I$29,3)</f>
        <v/>
      </c>
      <c r="E310" s="689">
        <f>D310*$E$8/12</f>
        <v/>
      </c>
      <c r="F310" s="689">
        <f>IF($C$17="Gross Rent",$B$17*(H310+E310),IF($C$17="Base Rent",$B$17*E310))</f>
        <v/>
      </c>
      <c r="G310" s="689">
        <f>IF($C$16="Base Rent",$B$16*E310,IF($C$16="Gross Rent",$B$16*(H310+E310)))</f>
        <v/>
      </c>
      <c r="H310" s="689">
        <f>IF(MONTH(C310)=MONTH($E$19),((H309*(1+$E$18))),H309)</f>
        <v/>
      </c>
      <c r="I310" s="689">
        <f>SUM(F310:H310)</f>
        <v/>
      </c>
      <c r="J310" s="517" t="n"/>
      <c r="K310" s="690">
        <f>IF($E$37&gt;B310,0,$E$36 IF(B310&gt;$E$21,0,$E$36))</f>
        <v/>
      </c>
      <c r="L310" s="691">
        <f>IF($F$37&gt;B310,0,$F$36 IF(B310&gt;$E$21,0,$F$36))</f>
        <v/>
      </c>
      <c r="M310" s="517" t="n"/>
      <c r="N310" s="689">
        <f>SUM(L310,K310,I310,E310)</f>
        <v/>
      </c>
      <c r="O310" s="517" t="n"/>
      <c r="P310" s="676">
        <f>+N310/$E$8*12</f>
        <v/>
      </c>
    </row>
    <row r="311" ht="12.6" customFormat="1" customHeight="1" s="299"/>
    <row r="312" ht="12.6" customFormat="1" customHeight="1" s="299"/>
    <row r="313" ht="12.6" customFormat="1" customHeight="1" s="299"/>
    <row r="314" ht="12.6" customFormat="1" customHeight="1" s="299"/>
    <row r="315" ht="12.6" customFormat="1" customHeight="1" s="299"/>
    <row r="316" ht="12.6" customFormat="1" customHeight="1" s="299"/>
    <row r="317" ht="12.6" customFormat="1" customHeight="1" s="299"/>
    <row r="318" ht="12.6" customFormat="1" customHeight="1" s="299"/>
    <row r="319" ht="12.6" customFormat="1" customHeight="1" s="299"/>
    <row r="320" ht="12.6" customFormat="1" customHeight="1" s="299"/>
    <row r="321" ht="12.6" customFormat="1" customHeight="1" s="299"/>
    <row r="322" ht="12.6" customFormat="1" customHeight="1" s="299"/>
    <row r="323" ht="12.6" customFormat="1" customHeight="1" s="299"/>
    <row r="324" ht="12.6" customFormat="1" customHeight="1" s="299"/>
    <row r="325" ht="12.6" customFormat="1" customHeight="1" s="299"/>
    <row r="326" ht="12.6" customFormat="1" customHeight="1" s="299"/>
    <row r="327" ht="12.6" customFormat="1" customHeight="1" s="299"/>
    <row r="328" ht="12.6" customFormat="1" customHeight="1" s="299"/>
    <row r="329" ht="12.6" customFormat="1" customHeight="1" s="299"/>
    <row r="330" ht="12.6" customFormat="1" customHeight="1" s="299"/>
    <row r="331" ht="12.6" customFormat="1" customHeight="1" s="299"/>
    <row r="332" ht="12.6" customFormat="1" customHeight="1" s="299"/>
    <row r="333" ht="12.6" customFormat="1" customHeight="1" s="299"/>
    <row r="334" ht="12.6" customFormat="1" customHeight="1" s="299"/>
    <row r="335" ht="12.6" customFormat="1" customHeight="1" s="299"/>
    <row r="336" ht="12.6" customFormat="1" customHeight="1" s="299"/>
    <row r="337" ht="12.6" customFormat="1" customHeight="1" s="299"/>
    <row r="338" ht="12.6" customFormat="1" customHeight="1" s="299"/>
    <row r="339" ht="12.6" customFormat="1" customHeight="1" s="299"/>
    <row r="340" ht="12.6" customFormat="1" customHeight="1" s="299"/>
    <row r="341" ht="12.6" customFormat="1" customHeight="1" s="299"/>
    <row r="342" ht="12.6" customFormat="1" customHeight="1" s="299"/>
    <row r="343" ht="12.6" customFormat="1" customHeight="1" s="299"/>
    <row r="344" ht="12.6" customFormat="1" customHeight="1" s="299"/>
  </sheetData>
  <mergeCells count="843">
    <mergeCell ref="N101:O101"/>
    <mergeCell ref="I257:J257"/>
    <mergeCell ref="N138:O138"/>
    <mergeCell ref="N113:O113"/>
    <mergeCell ref="N76:O76"/>
    <mergeCell ref="N100:O100"/>
    <mergeCell ref="I104:J104"/>
    <mergeCell ref="I275:J275"/>
    <mergeCell ref="N94:O94"/>
    <mergeCell ref="N140:O140"/>
    <mergeCell ref="I302:J302"/>
    <mergeCell ref="I106:J106"/>
    <mergeCell ref="I277:J277"/>
    <mergeCell ref="N77:O77"/>
    <mergeCell ref="L288:M288"/>
    <mergeCell ref="N169:O169"/>
    <mergeCell ref="L136:M136"/>
    <mergeCell ref="L263:M263"/>
    <mergeCell ref="I66:J66"/>
    <mergeCell ref="N263:O263"/>
    <mergeCell ref="L102:M102"/>
    <mergeCell ref="L200:M200"/>
    <mergeCell ref="N229:O229"/>
    <mergeCell ref="I155:J155"/>
    <mergeCell ref="N200:O200"/>
    <mergeCell ref="L265:M265"/>
    <mergeCell ref="N265:O265"/>
    <mergeCell ref="I170:J170"/>
    <mergeCell ref="L202:M202"/>
    <mergeCell ref="I157:J157"/>
    <mergeCell ref="N87:O87"/>
    <mergeCell ref="N202:O202"/>
    <mergeCell ref="N258:O258"/>
    <mergeCell ref="I193:J193"/>
    <mergeCell ref="N245:O245"/>
    <mergeCell ref="N168:O168"/>
    <mergeCell ref="I172:J172"/>
    <mergeCell ref="N195:O195"/>
    <mergeCell ref="L266:M266"/>
    <mergeCell ref="I270:J270"/>
    <mergeCell ref="N89:O89"/>
    <mergeCell ref="N260:O260"/>
    <mergeCell ref="I288:J288"/>
    <mergeCell ref="N197:O197"/>
    <mergeCell ref="N153:O153"/>
    <mergeCell ref="L120:M120"/>
    <mergeCell ref="K44:M44"/>
    <mergeCell ref="B8:D8"/>
    <mergeCell ref="L107:M107"/>
    <mergeCell ref="L278:M278"/>
    <mergeCell ref="N234:O234"/>
    <mergeCell ref="L57:M57"/>
    <mergeCell ref="I183:J183"/>
    <mergeCell ref="L184:M184"/>
    <mergeCell ref="I61:J61"/>
    <mergeCell ref="N184:O184"/>
    <mergeCell ref="B10:D10"/>
    <mergeCell ref="N171:O171"/>
    <mergeCell ref="I175:J175"/>
    <mergeCell ref="L121:M121"/>
    <mergeCell ref="I54:J54"/>
    <mergeCell ref="I125:J125"/>
    <mergeCell ref="N121:O121"/>
    <mergeCell ref="I185:J185"/>
    <mergeCell ref="N115:O115"/>
    <mergeCell ref="I41:J41"/>
    <mergeCell ref="I212:J212"/>
    <mergeCell ref="I283:J283"/>
    <mergeCell ref="I112:J112"/>
    <mergeCell ref="L151:M151"/>
    <mergeCell ref="N102:O102"/>
    <mergeCell ref="F42:G42"/>
    <mergeCell ref="L213:M213"/>
    <mergeCell ref="I56:J56"/>
    <mergeCell ref="N52:O52"/>
    <mergeCell ref="I127:J127"/>
    <mergeCell ref="N179:O179"/>
    <mergeCell ref="I176:J176"/>
    <mergeCell ref="L215:M215"/>
    <mergeCell ref="I285:J285"/>
    <mergeCell ref="I114:J114"/>
    <mergeCell ref="N166:O166"/>
    <mergeCell ref="N215:O215"/>
    <mergeCell ref="N190:O190"/>
    <mergeCell ref="N116:O116"/>
    <mergeCell ref="I107:J107"/>
    <mergeCell ref="I201:J201"/>
    <mergeCell ref="N210:O210"/>
    <mergeCell ref="I138:J138"/>
    <mergeCell ref="L297:M297"/>
    <mergeCell ref="I59:J59"/>
    <mergeCell ref="L291:M291"/>
    <mergeCell ref="I295:J295"/>
    <mergeCell ref="L70:M70"/>
    <mergeCell ref="I140:J140"/>
    <mergeCell ref="I196:J196"/>
    <mergeCell ref="N266:O266"/>
    <mergeCell ref="I267:J267"/>
    <mergeCell ref="N70:O70"/>
    <mergeCell ref="I232:J232"/>
    <mergeCell ref="L293:M293"/>
    <mergeCell ref="L103:M103"/>
    <mergeCell ref="I207:J207"/>
    <mergeCell ref="L134:M134"/>
    <mergeCell ref="L268:M268"/>
    <mergeCell ref="I204:J204"/>
    <mergeCell ref="N134:O134"/>
    <mergeCell ref="N268:O268"/>
    <mergeCell ref="I198:J198"/>
    <mergeCell ref="I296:J296"/>
    <mergeCell ref="L47:M47"/>
    <mergeCell ref="N96:O96"/>
    <mergeCell ref="I271:J271"/>
    <mergeCell ref="N161:O161"/>
    <mergeCell ref="C65:D65"/>
    <mergeCell ref="I298:J298"/>
    <mergeCell ref="K39:M39"/>
    <mergeCell ref="N98:O98"/>
    <mergeCell ref="I273:J273"/>
    <mergeCell ref="L157:M157"/>
    <mergeCell ref="L284:M284"/>
    <mergeCell ref="I87:J87"/>
    <mergeCell ref="L58:M58"/>
    <mergeCell ref="L129:M129"/>
    <mergeCell ref="I62:J62"/>
    <mergeCell ref="B34:C34"/>
    <mergeCell ref="L123:M123"/>
    <mergeCell ref="N123:O123"/>
    <mergeCell ref="L221:M221"/>
    <mergeCell ref="L50:M50"/>
    <mergeCell ref="L286:M286"/>
    <mergeCell ref="L60:M60"/>
    <mergeCell ref="I64:J64"/>
    <mergeCell ref="N60:O60"/>
    <mergeCell ref="N187:O187"/>
    <mergeCell ref="L152:M152"/>
    <mergeCell ref="I191:J191"/>
    <mergeCell ref="L223:M223"/>
    <mergeCell ref="I51:J51"/>
    <mergeCell ref="L52:M52"/>
    <mergeCell ref="I153:J153"/>
    <mergeCell ref="N279:O279"/>
    <mergeCell ref="L124:M124"/>
    <mergeCell ref="N124:O124"/>
    <mergeCell ref="I128:J128"/>
    <mergeCell ref="N118:O118"/>
    <mergeCell ref="I255:J255"/>
    <mergeCell ref="L287:M287"/>
    <mergeCell ref="N216:O216"/>
    <mergeCell ref="L281:M281"/>
    <mergeCell ref="I291:J291"/>
    <mergeCell ref="N281:O281"/>
    <mergeCell ref="C49:D49"/>
    <mergeCell ref="I65:J65"/>
    <mergeCell ref="I192:J192"/>
    <mergeCell ref="N126:O126"/>
    <mergeCell ref="L218:M218"/>
    <mergeCell ref="N109:O109"/>
    <mergeCell ref="N280:O280"/>
    <mergeCell ref="N47:O47"/>
    <mergeCell ref="I222:J222"/>
    <mergeCell ref="N218:O218"/>
    <mergeCell ref="N193:O193"/>
    <mergeCell ref="I286:J286"/>
    <mergeCell ref="L78:M78"/>
    <mergeCell ref="L249:M249"/>
    <mergeCell ref="L205:M205"/>
    <mergeCell ref="C55:D55"/>
    <mergeCell ref="L71:M71"/>
    <mergeCell ref="L142:M142"/>
    <mergeCell ref="I75:J75"/>
    <mergeCell ref="N71:O71"/>
    <mergeCell ref="L307:M307"/>
    <mergeCell ref="I146:J146"/>
    <mergeCell ref="I206:J206"/>
    <mergeCell ref="N307:O307"/>
    <mergeCell ref="L234:M234"/>
    <mergeCell ref="L117:M117"/>
    <mergeCell ref="L172:M172"/>
    <mergeCell ref="L55:M55"/>
    <mergeCell ref="I181:J181"/>
    <mergeCell ref="L73:M73"/>
    <mergeCell ref="N73:O73"/>
    <mergeCell ref="L171:M171"/>
    <mergeCell ref="I248:J248"/>
    <mergeCell ref="I297:J297"/>
    <mergeCell ref="I235:J235"/>
    <mergeCell ref="L119:M119"/>
    <mergeCell ref="L236:M236"/>
    <mergeCell ref="N119:O119"/>
    <mergeCell ref="C52:D52"/>
    <mergeCell ref="N162:O162"/>
    <mergeCell ref="N137:O137"/>
    <mergeCell ref="I299:J299"/>
    <mergeCell ref="L148:M148"/>
    <mergeCell ref="N177:O177"/>
    <mergeCell ref="I78:J78"/>
    <mergeCell ref="L139:M139"/>
    <mergeCell ref="C37:D37"/>
    <mergeCell ref="B36:C36"/>
    <mergeCell ref="N114:O114"/>
    <mergeCell ref="N206:O206"/>
    <mergeCell ref="L300:M300"/>
    <mergeCell ref="L262:M262"/>
    <mergeCell ref="K40:M40"/>
    <mergeCell ref="I217:J217"/>
    <mergeCell ref="N287:O287"/>
    <mergeCell ref="L66:M66"/>
    <mergeCell ref="L308:M308"/>
    <mergeCell ref="N66:O66"/>
    <mergeCell ref="I136:J136"/>
    <mergeCell ref="N188:O188"/>
    <mergeCell ref="L53:M53"/>
    <mergeCell ref="N53:O53"/>
    <mergeCell ref="I228:J228"/>
    <mergeCell ref="L289:M289"/>
    <mergeCell ref="I225:J225"/>
    <mergeCell ref="I129:J129"/>
    <mergeCell ref="L130:M130"/>
    <mergeCell ref="I200:J200"/>
    <mergeCell ref="N130:O130"/>
    <mergeCell ref="L239:M239"/>
    <mergeCell ref="I194:J194"/>
    <mergeCell ref="L166:M166"/>
    <mergeCell ref="N295:O295"/>
    <mergeCell ref="C63:D63"/>
    <mergeCell ref="N117:O117"/>
    <mergeCell ref="I292:J292"/>
    <mergeCell ref="N282:O282"/>
    <mergeCell ref="C50:D50"/>
    <mergeCell ref="I71:J71"/>
    <mergeCell ref="I131:J131"/>
    <mergeCell ref="L132:M132"/>
    <mergeCell ref="L303:M303"/>
    <mergeCell ref="I307:J307"/>
    <mergeCell ref="I58:J58"/>
    <mergeCell ref="N61:O61"/>
    <mergeCell ref="L290:M290"/>
    <mergeCell ref="N48:O48"/>
    <mergeCell ref="N219:O219"/>
    <mergeCell ref="I223:J223"/>
    <mergeCell ref="I294:J294"/>
    <mergeCell ref="N290:O290"/>
    <mergeCell ref="L161:M161"/>
    <mergeCell ref="L79:M79"/>
    <mergeCell ref="I83:J83"/>
    <mergeCell ref="L255:M255"/>
    <mergeCell ref="L144:M144"/>
    <mergeCell ref="L242:M242"/>
    <mergeCell ref="N285:O285"/>
    <mergeCell ref="L192:M192"/>
    <mergeCell ref="L81:M81"/>
    <mergeCell ref="N208:O208"/>
    <mergeCell ref="L173:M173"/>
    <mergeCell ref="N300:O300"/>
    <mergeCell ref="I84:J84"/>
    <mergeCell ref="L145:M145"/>
    <mergeCell ref="L194:M194"/>
    <mergeCell ref="L250:M250"/>
    <mergeCell ref="N145:O145"/>
    <mergeCell ref="L110:M110"/>
    <mergeCell ref="I149:J149"/>
    <mergeCell ref="N139:O139"/>
    <mergeCell ref="N201:O201"/>
    <mergeCell ref="L237:M237"/>
    <mergeCell ref="N250:O250"/>
    <mergeCell ref="N237:O237"/>
    <mergeCell ref="L160:M160"/>
    <mergeCell ref="L187:M187"/>
    <mergeCell ref="I86:J86"/>
    <mergeCell ref="N212:O212"/>
    <mergeCell ref="I80:J80"/>
    <mergeCell ref="L174:M174"/>
    <mergeCell ref="I151:J151"/>
    <mergeCell ref="N203:O203"/>
    <mergeCell ref="N174:O174"/>
    <mergeCell ref="I213:J213"/>
    <mergeCell ref="N301:O301"/>
    <mergeCell ref="N51:O51"/>
    <mergeCell ref="N239:O239"/>
    <mergeCell ref="N122:O122"/>
    <mergeCell ref="L214:M214"/>
    <mergeCell ref="L189:M189"/>
    <mergeCell ref="N276:O276"/>
    <mergeCell ref="N214:O214"/>
    <mergeCell ref="I144:J144"/>
    <mergeCell ref="I242:J242"/>
    <mergeCell ref="N232:O232"/>
    <mergeCell ref="N278:O278"/>
    <mergeCell ref="L92:M92"/>
    <mergeCell ref="I162:J162"/>
    <mergeCell ref="N92:O92"/>
    <mergeCell ref="L163:M163"/>
    <mergeCell ref="N67:O67"/>
    <mergeCell ref="N303:O303"/>
    <mergeCell ref="I177:J177"/>
    <mergeCell ref="L94:M94"/>
    <mergeCell ref="I226:J226"/>
    <mergeCell ref="I269:J269"/>
    <mergeCell ref="L240:M240"/>
    <mergeCell ref="I244:J244"/>
    <mergeCell ref="L167:M167"/>
    <mergeCell ref="I241:J241"/>
    <mergeCell ref="I231:J231"/>
    <mergeCell ref="L158:M158"/>
    <mergeCell ref="N158:O158"/>
    <mergeCell ref="L182:M182"/>
    <mergeCell ref="I308:J308"/>
    <mergeCell ref="N133:O133"/>
    <mergeCell ref="L169:M169"/>
    <mergeCell ref="C66:D66"/>
    <mergeCell ref="I99:J99"/>
    <mergeCell ref="N225:O225"/>
    <mergeCell ref="C53:D53"/>
    <mergeCell ref="I74:J74"/>
    <mergeCell ref="N135:O135"/>
    <mergeCell ref="I310:J310"/>
    <mergeCell ref="N306:O306"/>
    <mergeCell ref="N227:O227"/>
    <mergeCell ref="N164:O164"/>
    <mergeCell ref="N291:O291"/>
    <mergeCell ref="L258:M258"/>
    <mergeCell ref="N209:O209"/>
    <mergeCell ref="L245:M245"/>
    <mergeCell ref="L195:M195"/>
    <mergeCell ref="N224:O224"/>
    <mergeCell ref="I150:J150"/>
    <mergeCell ref="N251:O251"/>
    <mergeCell ref="L89:M89"/>
    <mergeCell ref="N189:O189"/>
    <mergeCell ref="I221:J221"/>
    <mergeCell ref="I215:J215"/>
    <mergeCell ref="L309:M309"/>
    <mergeCell ref="L260:M260"/>
    <mergeCell ref="N238:O238"/>
    <mergeCell ref="N309:O309"/>
    <mergeCell ref="I165:J165"/>
    <mergeCell ref="C59:D59"/>
    <mergeCell ref="L88:M88"/>
    <mergeCell ref="L126:M126"/>
    <mergeCell ref="L197:M197"/>
    <mergeCell ref="L259:M259"/>
    <mergeCell ref="N148:O148"/>
    <mergeCell ref="N82:O82"/>
    <mergeCell ref="I152:J152"/>
    <mergeCell ref="L153:M153"/>
    <mergeCell ref="N253:O253"/>
    <mergeCell ref="I263:J263"/>
    <mergeCell ref="N240:O240"/>
    <mergeCell ref="I229:J229"/>
    <mergeCell ref="C61:D61"/>
    <mergeCell ref="I216:J216"/>
    <mergeCell ref="N146:O146"/>
    <mergeCell ref="C48:D48"/>
    <mergeCell ref="L113:M113"/>
    <mergeCell ref="N304:O304"/>
    <mergeCell ref="L100:M100"/>
    <mergeCell ref="L271:M271"/>
    <mergeCell ref="I245:J245"/>
    <mergeCell ref="L115:M115"/>
    <mergeCell ref="L77:M77"/>
    <mergeCell ref="L108:M108"/>
    <mergeCell ref="I178:J178"/>
    <mergeCell ref="N108:O108"/>
    <mergeCell ref="L179:M179"/>
    <mergeCell ref="I276:J276"/>
    <mergeCell ref="L95:M95"/>
    <mergeCell ref="B2:P2"/>
    <mergeCell ref="N95:O95"/>
    <mergeCell ref="I105:J105"/>
    <mergeCell ref="L131:M131"/>
    <mergeCell ref="N160:O160"/>
    <mergeCell ref="I49:J49"/>
    <mergeCell ref="N141:O141"/>
    <mergeCell ref="I120:J120"/>
    <mergeCell ref="L208:M208"/>
    <mergeCell ref="L97:M97"/>
    <mergeCell ref="F40:G40"/>
    <mergeCell ref="N159:O159"/>
    <mergeCell ref="N97:O97"/>
    <mergeCell ref="I101:J101"/>
    <mergeCell ref="I163:J163"/>
    <mergeCell ref="L183:M183"/>
    <mergeCell ref="I234:J234"/>
    <mergeCell ref="I278:J278"/>
    <mergeCell ref="I113:J113"/>
    <mergeCell ref="N72:O72"/>
    <mergeCell ref="N143:O143"/>
    <mergeCell ref="K42:M42"/>
    <mergeCell ref="I100:J100"/>
    <mergeCell ref="K33:L37"/>
    <mergeCell ref="L210:M210"/>
    <mergeCell ref="L235:M235"/>
    <mergeCell ref="N235:O235"/>
    <mergeCell ref="N297:O297"/>
    <mergeCell ref="L185:M185"/>
    <mergeCell ref="N136:O136"/>
    <mergeCell ref="I115:J115"/>
    <mergeCell ref="N185:O185"/>
    <mergeCell ref="F41:G41"/>
    <mergeCell ref="I102:J102"/>
    <mergeCell ref="N299:O299"/>
    <mergeCell ref="L63:M63"/>
    <mergeCell ref="N88:O88"/>
    <mergeCell ref="N259:O259"/>
    <mergeCell ref="I247:J247"/>
    <mergeCell ref="L96:M96"/>
    <mergeCell ref="L90:M90"/>
    <mergeCell ref="L261:M261"/>
    <mergeCell ref="N90:O90"/>
    <mergeCell ref="L188:M188"/>
    <mergeCell ref="N261:O261"/>
    <mergeCell ref="I262:J262"/>
    <mergeCell ref="I265:J265"/>
    <mergeCell ref="I252:J252"/>
    <mergeCell ref="G31:H31"/>
    <mergeCell ref="I31:J31"/>
    <mergeCell ref="N83:O83"/>
    <mergeCell ref="L154:M154"/>
    <mergeCell ref="N154:O154"/>
    <mergeCell ref="I202:J202"/>
    <mergeCell ref="N254:O254"/>
    <mergeCell ref="I168:J168"/>
    <mergeCell ref="L91:M91"/>
    <mergeCell ref="C62:D62"/>
    <mergeCell ref="N91:O91"/>
    <mergeCell ref="I95:J95"/>
    <mergeCell ref="I266:J266"/>
    <mergeCell ref="N85:O85"/>
    <mergeCell ref="I89:J89"/>
    <mergeCell ref="N156:O156"/>
    <mergeCell ref="N256:O256"/>
    <mergeCell ref="I260:J260"/>
    <mergeCell ref="C64:D64"/>
    <mergeCell ref="L198:M198"/>
    <mergeCell ref="I197:J197"/>
    <mergeCell ref="L116:M116"/>
    <mergeCell ref="L279:M279"/>
    <mergeCell ref="N151:O151"/>
    <mergeCell ref="L180:M180"/>
    <mergeCell ref="L118:M118"/>
    <mergeCell ref="N180:O180"/>
    <mergeCell ref="I184:J184"/>
    <mergeCell ref="L216:M216"/>
    <mergeCell ref="L272:M272"/>
    <mergeCell ref="N167:O167"/>
    <mergeCell ref="I171:J171"/>
    <mergeCell ref="N272:O272"/>
    <mergeCell ref="I121:J121"/>
    <mergeCell ref="N111:O111"/>
    <mergeCell ref="L209:M209"/>
    <mergeCell ref="N182:O182"/>
    <mergeCell ref="D5:I5"/>
    <mergeCell ref="L109:M109"/>
    <mergeCell ref="L147:M147"/>
    <mergeCell ref="L274:M274"/>
    <mergeCell ref="L280:M280"/>
    <mergeCell ref="I173:J173"/>
    <mergeCell ref="N274:O274"/>
    <mergeCell ref="I284:J284"/>
    <mergeCell ref="L122:M122"/>
    <mergeCell ref="L193:M193"/>
    <mergeCell ref="I52:J52"/>
    <mergeCell ref="I123:J123"/>
    <mergeCell ref="I250:J250"/>
    <mergeCell ref="L211:M211"/>
    <mergeCell ref="I110:J110"/>
    <mergeCell ref="F43:G43"/>
    <mergeCell ref="I44:J44"/>
    <mergeCell ref="I166:J166"/>
    <mergeCell ref="N211:O211"/>
    <mergeCell ref="I279:J279"/>
    <mergeCell ref="N269:O269"/>
    <mergeCell ref="N79:O79"/>
    <mergeCell ref="N302:O302"/>
    <mergeCell ref="L98:M98"/>
    <mergeCell ref="I199:J199"/>
    <mergeCell ref="L140:M140"/>
    <mergeCell ref="L137:M137"/>
    <mergeCell ref="I70:J70"/>
    <mergeCell ref="L229:M229"/>
    <mergeCell ref="I57:J57"/>
    <mergeCell ref="L106:M106"/>
    <mergeCell ref="I293:J293"/>
    <mergeCell ref="B11:C11"/>
    <mergeCell ref="I32:J32"/>
    <mergeCell ref="L204:M204"/>
    <mergeCell ref="L93:M93"/>
    <mergeCell ref="K32:L32"/>
    <mergeCell ref="I305:J305"/>
    <mergeCell ref="I134:J134"/>
    <mergeCell ref="N93:O93"/>
    <mergeCell ref="N155:O155"/>
    <mergeCell ref="I243:J243"/>
    <mergeCell ref="L264:M264"/>
    <mergeCell ref="N264:O264"/>
    <mergeCell ref="I268:J268"/>
    <mergeCell ref="L141:M141"/>
    <mergeCell ref="N170:O170"/>
    <mergeCell ref="I96:J96"/>
    <mergeCell ref="L206:M206"/>
    <mergeCell ref="N157:O157"/>
    <mergeCell ref="N262:O262"/>
    <mergeCell ref="L224:M224"/>
    <mergeCell ref="I111:J111"/>
    <mergeCell ref="N172:O172"/>
    <mergeCell ref="I98:J98"/>
    <mergeCell ref="N199:O199"/>
    <mergeCell ref="N186:O186"/>
    <mergeCell ref="L59:M59"/>
    <mergeCell ref="L295:M295"/>
    <mergeCell ref="L111:M111"/>
    <mergeCell ref="L282:M282"/>
    <mergeCell ref="I60:J60"/>
    <mergeCell ref="L61:M61"/>
    <mergeCell ref="N183:O183"/>
    <mergeCell ref="I187:J187"/>
    <mergeCell ref="L219:M219"/>
    <mergeCell ref="L48:M48"/>
    <mergeCell ref="I174:J174"/>
    <mergeCell ref="N104:O104"/>
    <mergeCell ref="N275:O275"/>
    <mergeCell ref="N175:O175"/>
    <mergeCell ref="B14:D14"/>
    <mergeCell ref="I124:J124"/>
    <mergeCell ref="N54:O54"/>
    <mergeCell ref="L125:M125"/>
    <mergeCell ref="I251:J251"/>
    <mergeCell ref="I189:J189"/>
    <mergeCell ref="L283:M283"/>
    <mergeCell ref="B13:D13"/>
    <mergeCell ref="L112:M112"/>
    <mergeCell ref="L217:M217"/>
    <mergeCell ref="I287:J287"/>
    <mergeCell ref="N112:O112"/>
    <mergeCell ref="I116:J116"/>
    <mergeCell ref="N106:O106"/>
    <mergeCell ref="L277:M277"/>
    <mergeCell ref="N277:O277"/>
    <mergeCell ref="I281:J281"/>
    <mergeCell ref="N283:O283"/>
    <mergeCell ref="I188:J188"/>
    <mergeCell ref="I126:J126"/>
    <mergeCell ref="N56:O56"/>
    <mergeCell ref="N252:O252"/>
    <mergeCell ref="N105:O105"/>
    <mergeCell ref="I47:J47"/>
    <mergeCell ref="I218:J218"/>
    <mergeCell ref="N163:O163"/>
    <mergeCell ref="N107:O107"/>
    <mergeCell ref="I282:J282"/>
    <mergeCell ref="L74:M74"/>
    <mergeCell ref="L310:M310"/>
    <mergeCell ref="I205:J205"/>
    <mergeCell ref="L114:M114"/>
    <mergeCell ref="C51:D51"/>
    <mergeCell ref="L138:M138"/>
    <mergeCell ref="L76:M76"/>
    <mergeCell ref="I142:J142"/>
    <mergeCell ref="N132:O132"/>
    <mergeCell ref="L230:M230"/>
    <mergeCell ref="L168:M168"/>
    <mergeCell ref="N59:O59"/>
    <mergeCell ref="N230:O230"/>
    <mergeCell ref="L301:M301"/>
    <mergeCell ref="N178:O178"/>
    <mergeCell ref="L143:M143"/>
    <mergeCell ref="I79:J79"/>
    <mergeCell ref="I73:J73"/>
    <mergeCell ref="N196:O196"/>
    <mergeCell ref="L232:M232"/>
    <mergeCell ref="N288:O288"/>
    <mergeCell ref="L207:M207"/>
    <mergeCell ref="N207:O207"/>
    <mergeCell ref="I137:J137"/>
    <mergeCell ref="N198:O198"/>
    <mergeCell ref="L296:M296"/>
    <mergeCell ref="N296:O296"/>
    <mergeCell ref="I300:J300"/>
    <mergeCell ref="N173:O173"/>
    <mergeCell ref="K41:M41"/>
    <mergeCell ref="N271:O271"/>
    <mergeCell ref="I164:J164"/>
    <mergeCell ref="I139:J139"/>
    <mergeCell ref="L67:M67"/>
    <mergeCell ref="N110:O110"/>
    <mergeCell ref="K43:M43"/>
    <mergeCell ref="I195:J195"/>
    <mergeCell ref="N125:O125"/>
    <mergeCell ref="L87:M87"/>
    <mergeCell ref="L62:M62"/>
    <mergeCell ref="L133:M133"/>
    <mergeCell ref="N62:O62"/>
    <mergeCell ref="L127:M127"/>
    <mergeCell ref="L298:M298"/>
    <mergeCell ref="N127:O127"/>
    <mergeCell ref="I53:J53"/>
    <mergeCell ref="L225:M225"/>
    <mergeCell ref="L285:M285"/>
    <mergeCell ref="N176:O176"/>
    <mergeCell ref="I289:J289"/>
    <mergeCell ref="L64:M64"/>
    <mergeCell ref="I130:J130"/>
    <mergeCell ref="N64:O64"/>
    <mergeCell ref="N120:O120"/>
    <mergeCell ref="L162:M162"/>
    <mergeCell ref="I190:J190"/>
    <mergeCell ref="I117:J117"/>
    <mergeCell ref="I92:J92"/>
    <mergeCell ref="L156:M156"/>
    <mergeCell ref="N191:O191"/>
    <mergeCell ref="L227:M227"/>
    <mergeCell ref="I55:J55"/>
    <mergeCell ref="L51:M51"/>
    <mergeCell ref="I67:J67"/>
    <mergeCell ref="L128:M128"/>
    <mergeCell ref="L299:M299"/>
    <mergeCell ref="N57:O57"/>
    <mergeCell ref="N128:O128"/>
    <mergeCell ref="I132:J132"/>
    <mergeCell ref="I303:J303"/>
    <mergeCell ref="N293:O293"/>
    <mergeCell ref="I48:J48"/>
    <mergeCell ref="I219:J219"/>
    <mergeCell ref="L220:M220"/>
    <mergeCell ref="N220:O220"/>
    <mergeCell ref="I290:J290"/>
    <mergeCell ref="L222:M222"/>
    <mergeCell ref="N284:O284"/>
    <mergeCell ref="N222:O222"/>
    <mergeCell ref="L251:M251"/>
    <mergeCell ref="L238:M238"/>
    <mergeCell ref="I81:J81"/>
    <mergeCell ref="L82:M82"/>
    <mergeCell ref="L253:M253"/>
    <mergeCell ref="N204:O204"/>
    <mergeCell ref="I208:J208"/>
    <mergeCell ref="L190:M190"/>
    <mergeCell ref="L75:M75"/>
    <mergeCell ref="L246:M246"/>
    <mergeCell ref="I145:J145"/>
    <mergeCell ref="N75:O75"/>
    <mergeCell ref="L146:M146"/>
    <mergeCell ref="N246:O246"/>
    <mergeCell ref="L233:M233"/>
    <mergeCell ref="I210:J210"/>
    <mergeCell ref="L304:M304"/>
    <mergeCell ref="I272:J272"/>
    <mergeCell ref="N233:O233"/>
    <mergeCell ref="I237:J237"/>
    <mergeCell ref="N298:O298"/>
    <mergeCell ref="C54:D54"/>
    <mergeCell ref="L273:M273"/>
    <mergeCell ref="I76:J76"/>
    <mergeCell ref="I209:J209"/>
    <mergeCell ref="I147:J147"/>
    <mergeCell ref="I203:J203"/>
    <mergeCell ref="L248:M248"/>
    <mergeCell ref="N248:O248"/>
    <mergeCell ref="N273:O273"/>
    <mergeCell ref="I301:J301"/>
    <mergeCell ref="I239:J239"/>
    <mergeCell ref="I122:J122"/>
    <mergeCell ref="C56:D56"/>
    <mergeCell ref="I214:J214"/>
    <mergeCell ref="I238:J238"/>
    <mergeCell ref="I186:J186"/>
    <mergeCell ref="N103:O103"/>
    <mergeCell ref="L306:M306"/>
    <mergeCell ref="I236:J236"/>
    <mergeCell ref="L159:M159"/>
    <mergeCell ref="L72:M72"/>
    <mergeCell ref="B33:C33"/>
    <mergeCell ref="G33:H37"/>
    <mergeCell ref="L226:M226"/>
    <mergeCell ref="L201:M201"/>
    <mergeCell ref="I33:J37"/>
    <mergeCell ref="L164:M164"/>
    <mergeCell ref="C67:D67"/>
    <mergeCell ref="N226:O226"/>
    <mergeCell ref="I94:J94"/>
    <mergeCell ref="N217:O217"/>
    <mergeCell ref="L65:M65"/>
    <mergeCell ref="L241:M241"/>
    <mergeCell ref="N65:O65"/>
    <mergeCell ref="N192:O192"/>
    <mergeCell ref="B35:C35"/>
    <mergeCell ref="L228:M228"/>
    <mergeCell ref="L203:M203"/>
    <mergeCell ref="N228:O228"/>
    <mergeCell ref="I158:J158"/>
    <mergeCell ref="I77:J77"/>
    <mergeCell ref="L305:M305"/>
    <mergeCell ref="I108:J108"/>
    <mergeCell ref="I133:J133"/>
    <mergeCell ref="N305:O305"/>
    <mergeCell ref="L243:M243"/>
    <mergeCell ref="I304:J304"/>
    <mergeCell ref="L292:M292"/>
    <mergeCell ref="N50:O50"/>
    <mergeCell ref="N129:O129"/>
    <mergeCell ref="N292:O292"/>
    <mergeCell ref="N63:O63"/>
    <mergeCell ref="N243:O243"/>
    <mergeCell ref="I160:J160"/>
    <mergeCell ref="N286:O286"/>
    <mergeCell ref="N221:O221"/>
    <mergeCell ref="N131:O131"/>
    <mergeCell ref="I135:J135"/>
    <mergeCell ref="N236:O236"/>
    <mergeCell ref="I306:J306"/>
    <mergeCell ref="I233:J233"/>
    <mergeCell ref="L294:M294"/>
    <mergeCell ref="N223:O223"/>
    <mergeCell ref="I227:J227"/>
    <mergeCell ref="D4:I4"/>
    <mergeCell ref="I72:J72"/>
    <mergeCell ref="B9:D9"/>
    <mergeCell ref="L83:M83"/>
    <mergeCell ref="L254:M254"/>
    <mergeCell ref="I258:J258"/>
    <mergeCell ref="C60:D60"/>
    <mergeCell ref="I224:J224"/>
    <mergeCell ref="L196:M196"/>
    <mergeCell ref="N247:O247"/>
    <mergeCell ref="L85:M85"/>
    <mergeCell ref="L256:M256"/>
    <mergeCell ref="I211:J211"/>
    <mergeCell ref="I309:J309"/>
    <mergeCell ref="L177:M177"/>
    <mergeCell ref="L84:M84"/>
    <mergeCell ref="I259:J259"/>
    <mergeCell ref="N84:O84"/>
    <mergeCell ref="L149:M149"/>
    <mergeCell ref="N249:O249"/>
    <mergeCell ref="L176:M176"/>
    <mergeCell ref="N149:O149"/>
    <mergeCell ref="N205:O205"/>
    <mergeCell ref="I82:J82"/>
    <mergeCell ref="I253:J253"/>
    <mergeCell ref="I88:J88"/>
    <mergeCell ref="I148:J148"/>
    <mergeCell ref="N78:O78"/>
    <mergeCell ref="N241:O241"/>
    <mergeCell ref="I240:J240"/>
    <mergeCell ref="C57:D57"/>
    <mergeCell ref="L191:M191"/>
    <mergeCell ref="L80:M80"/>
    <mergeCell ref="N142:O142"/>
    <mergeCell ref="N80:O80"/>
    <mergeCell ref="L178:M178"/>
    <mergeCell ref="N55:O55"/>
    <mergeCell ref="N144:O144"/>
    <mergeCell ref="C58:D58"/>
    <mergeCell ref="I256:J256"/>
    <mergeCell ref="L175:M175"/>
    <mergeCell ref="I179:J179"/>
    <mergeCell ref="L267:M267"/>
    <mergeCell ref="N267:O267"/>
    <mergeCell ref="I141:J141"/>
    <mergeCell ref="I103:J103"/>
    <mergeCell ref="I159:J159"/>
    <mergeCell ref="N58:O58"/>
    <mergeCell ref="I97:J97"/>
    <mergeCell ref="I230:J230"/>
    <mergeCell ref="L269:M269"/>
    <mergeCell ref="N294:O294"/>
    <mergeCell ref="L244:M244"/>
    <mergeCell ref="I143:J143"/>
    <mergeCell ref="N244:O244"/>
    <mergeCell ref="L231:M231"/>
    <mergeCell ref="L302:M302"/>
    <mergeCell ref="N231:O231"/>
    <mergeCell ref="I161:J161"/>
    <mergeCell ref="L181:M181"/>
    <mergeCell ref="N308:O308"/>
    <mergeCell ref="N289:O289"/>
    <mergeCell ref="I249:J249"/>
    <mergeCell ref="G32:H32"/>
    <mergeCell ref="L155:M155"/>
    <mergeCell ref="I63:J63"/>
    <mergeCell ref="L247:M247"/>
    <mergeCell ref="I50:J50"/>
    <mergeCell ref="B12:D12"/>
    <mergeCell ref="L170:M170"/>
    <mergeCell ref="L86:M86"/>
    <mergeCell ref="L135:M135"/>
    <mergeCell ref="L257:M257"/>
    <mergeCell ref="N86:O86"/>
    <mergeCell ref="I90:J90"/>
    <mergeCell ref="N257:O257"/>
    <mergeCell ref="N213:O213"/>
    <mergeCell ref="I261:J261"/>
    <mergeCell ref="L101:M101"/>
    <mergeCell ref="L150:M150"/>
    <mergeCell ref="L199:M199"/>
    <mergeCell ref="N150:O150"/>
    <mergeCell ref="I154:J154"/>
    <mergeCell ref="N255:O255"/>
    <mergeCell ref="L186:M186"/>
    <mergeCell ref="N242:O242"/>
    <mergeCell ref="L165:M165"/>
    <mergeCell ref="N165:O165"/>
    <mergeCell ref="I91:J91"/>
    <mergeCell ref="N81:O81"/>
    <mergeCell ref="I85:J85"/>
    <mergeCell ref="N152:O152"/>
    <mergeCell ref="I156:J156"/>
    <mergeCell ref="I254:J254"/>
    <mergeCell ref="I93:J93"/>
    <mergeCell ref="N194:O194"/>
    <mergeCell ref="I264:J264"/>
    <mergeCell ref="I220:J220"/>
    <mergeCell ref="N181:O181"/>
    <mergeCell ref="L104:M104"/>
    <mergeCell ref="L275:M275"/>
    <mergeCell ref="N147:O147"/>
    <mergeCell ref="L54:M54"/>
    <mergeCell ref="I180:J180"/>
    <mergeCell ref="I118:J118"/>
    <mergeCell ref="L212:M212"/>
    <mergeCell ref="I167:J167"/>
    <mergeCell ref="L252:M252"/>
    <mergeCell ref="L56:M56"/>
    <mergeCell ref="I182:J182"/>
    <mergeCell ref="L276:M276"/>
    <mergeCell ref="L105:M105"/>
    <mergeCell ref="L99:M99"/>
    <mergeCell ref="I109:J109"/>
    <mergeCell ref="I169:J169"/>
    <mergeCell ref="N99:O99"/>
    <mergeCell ref="L270:M270"/>
    <mergeCell ref="N270:O270"/>
    <mergeCell ref="I274:J274"/>
    <mergeCell ref="I280:J280"/>
    <mergeCell ref="L49:M49"/>
    <mergeCell ref="I119:J119"/>
    <mergeCell ref="N74:O74"/>
    <mergeCell ref="N49:O49"/>
    <mergeCell ref="I246:J246"/>
    <mergeCell ref="N310:O310"/>
    <mergeCell ref="I40:J40"/>
    <mergeCell ref="F44:G44"/>
  </mergeCells>
  <conditionalFormatting sqref="B63:B64">
    <cfRule type="containsErrors" priority="6" dxfId="0">
      <formula>ISERROR(B63)</formula>
    </cfRule>
  </conditionalFormatting>
  <conditionalFormatting sqref="B70:I310">
    <cfRule type="containsErrors" priority="2" dxfId="0">
      <formula>ISERROR(B70)</formula>
    </cfRule>
  </conditionalFormatting>
  <conditionalFormatting sqref="C63:C67">
    <cfRule type="containsErrors" priority="5" dxfId="0">
      <formula>ISERROR(C63)</formula>
    </cfRule>
  </conditionalFormatting>
  <conditionalFormatting sqref="D71:D310">
    <cfRule type="expression" priority="8" dxfId="5">
      <formula>D71:D218&lt;D71:D218</formula>
    </cfRule>
  </conditionalFormatting>
  <conditionalFormatting sqref="B40:C62 D40:F44 H41:H44">
    <cfRule type="containsErrors" priority="7" dxfId="0">
      <formula>ISERROR(B40)</formula>
    </cfRule>
  </conditionalFormatting>
  <conditionalFormatting sqref="D47:L47">
    <cfRule type="containsErrors" priority="1" dxfId="0">
      <formula>ISERROR(D47)</formula>
    </cfRule>
  </conditionalFormatting>
  <conditionalFormatting sqref="E48:O67">
    <cfRule type="containsErrors" priority="3" dxfId="0">
      <formula>ISERROR(E48)</formula>
    </cfRule>
  </conditionalFormatting>
  <conditionalFormatting sqref="B68:O69 D45:O46 K40:K43 K70:L310 N47 N70:N310">
    <cfRule type="containsErrors" priority="9" dxfId="0">
      <formula>ISERROR(B40)</formula>
    </cfRule>
  </conditionalFormatting>
  <conditionalFormatting sqref="P45:P310">
    <cfRule type="containsErrors" priority="4" dxfId="0">
      <formula>ISERROR(P45)</formula>
    </cfRule>
  </conditionalFormatting>
  <dataValidations count="3">
    <dataValidation sqref="E21" showDropDown="0" showInputMessage="1" showErrorMessage="1" allowBlank="1" type="whole" operator="lessThan">
      <formula1>241</formula1>
    </dataValidation>
    <dataValidation sqref="C17" showDropDown="0" showInputMessage="1" showErrorMessage="1" allowBlank="0" type="list">
      <formula1>"Base Rent,Gross Rent"</formula1>
    </dataValidation>
    <dataValidation sqref="C16" showDropDown="0" showInputMessage="1" showErrorMessage="1" allowBlank="1" type="list">
      <formula1>"Base Rent,Gross Rent"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tabColor theme="5" tint="0.7999816888943144"/>
    <outlinePr summaryBelow="1" summaryRight="1"/>
    <pageSetUpPr/>
  </sheetPr>
  <dimension ref="A1:AB9"/>
  <sheetViews>
    <sheetView showGridLines="0" tabSelected="1" workbookViewId="0">
      <selection activeCell="I8" sqref="I8"/>
    </sheetView>
  </sheetViews>
  <sheetFormatPr baseColWidth="8" defaultRowHeight="15"/>
  <cols>
    <col width="9.85546875" customWidth="1" style="577" min="1" max="1"/>
    <col width="24.85546875" customWidth="1" style="577" min="2" max="2"/>
    <col width="36.5703125" customWidth="1" style="577" min="3" max="3"/>
    <col width="22.5703125" customWidth="1" style="577" min="4" max="4"/>
    <col width="25.5703125" customWidth="1" style="577" min="5" max="17"/>
    <col width="38.42578125" customWidth="1" style="577" min="18" max="18"/>
    <col width="25.5703125" customWidth="1" style="577" min="19" max="25"/>
    <col width="27.140625" customWidth="1" style="577" min="26" max="26"/>
    <col width="25.5703125" customWidth="1" style="577" min="27" max="27"/>
    <col width="63.28515625" customWidth="1" style="577" min="28" max="28"/>
  </cols>
  <sheetData>
    <row r="1" ht="63" customHeight="1" s="577">
      <c r="A1" s="328" t="inlineStr">
        <is>
          <t>#</t>
        </is>
      </c>
      <c r="B1" s="329" t="inlineStr">
        <is>
          <t>Property Name</t>
        </is>
      </c>
      <c r="C1" s="329" t="inlineStr">
        <is>
          <t>Address</t>
        </is>
      </c>
      <c r="D1" s="329" t="inlineStr">
        <is>
          <t>City</t>
        </is>
      </c>
      <c r="E1" s="329" t="inlineStr">
        <is>
          <t>State</t>
        </is>
      </c>
      <c r="F1" s="329" t="inlineStr">
        <is>
          <t>Zip Code</t>
        </is>
      </c>
      <c r="G1" s="329" t="inlineStr">
        <is>
          <t>Market</t>
        </is>
      </c>
      <c r="H1" s="329" t="inlineStr">
        <is>
          <t>Zoning</t>
        </is>
      </c>
      <c r="I1" s="329" t="inlineStr">
        <is>
          <t>Latitude</t>
        </is>
      </c>
      <c r="J1" s="329" t="inlineStr">
        <is>
          <t>Longitude</t>
        </is>
      </c>
      <c r="K1" s="329" t="inlineStr">
        <is>
          <t>Year Built</t>
        </is>
      </c>
      <c r="L1" s="329" t="inlineStr">
        <is>
          <t>Building Class</t>
        </is>
      </c>
      <c r="M1" s="329" t="inlineStr">
        <is>
          <t>Total Building SF</t>
        </is>
      </c>
      <c r="N1" s="329" t="inlineStr">
        <is>
          <t>Building Status</t>
        </is>
      </c>
      <c r="O1" s="329" t="inlineStr">
        <is>
          <t>Occupancy Status</t>
        </is>
      </c>
      <c r="P1" s="329" t="inlineStr">
        <is>
          <t>Landlord</t>
        </is>
      </c>
      <c r="Q1" s="329" t="inlineStr">
        <is>
          <t>Current Tenant</t>
        </is>
      </c>
      <c r="R1" s="329" t="inlineStr">
        <is>
          <t>Lease Transaction Type
(New Lease/ Sublease/Renewal)</t>
        </is>
      </c>
      <c r="S1" s="692" t="inlineStr">
        <is>
          <t>Leased SF</t>
        </is>
      </c>
      <c r="T1" s="331" t="inlineStr">
        <is>
          <t>Annual Base Rent (PSF)</t>
        </is>
      </c>
      <c r="U1" s="693" t="inlineStr">
        <is>
          <t>Lease Structure</t>
        </is>
      </c>
      <c r="V1" s="333" t="inlineStr">
        <is>
          <t>Term (mo)</t>
        </is>
      </c>
      <c r="W1" s="333" t="inlineStr">
        <is>
          <t>Free Rent (mo)</t>
        </is>
      </c>
      <c r="X1" s="333" t="inlineStr">
        <is>
          <t>Lease Execution</t>
        </is>
      </c>
      <c r="Y1" s="334" t="inlineStr">
        <is>
          <t>Lease Commencement Date</t>
        </is>
      </c>
      <c r="Z1" s="693" t="inlineStr">
        <is>
          <t>Tenant Improvement (PSF)</t>
        </is>
      </c>
      <c r="AA1" s="335" t="inlineStr">
        <is>
          <t>Annual Escalations</t>
        </is>
      </c>
      <c r="AB1" s="336" t="inlineStr">
        <is>
          <t>Comments</t>
        </is>
      </c>
    </row>
    <row r="2" ht="15.95" customHeight="1" s="577">
      <c r="A2" s="337" t="inlineStr">
        <is>
          <t>Subject</t>
        </is>
      </c>
      <c r="B2" s="338" t="n"/>
      <c r="C2" s="338" t="n"/>
      <c r="D2" s="338" t="n"/>
      <c r="E2" s="338" t="n"/>
      <c r="F2" s="338" t="n"/>
      <c r="G2" s="338" t="n"/>
      <c r="H2" s="338" t="n"/>
      <c r="I2" s="338" t="n"/>
      <c r="J2" s="338" t="n"/>
      <c r="K2" s="338" t="n"/>
      <c r="L2" s="338" t="n"/>
      <c r="M2" s="338" t="n"/>
      <c r="N2" s="338" t="n"/>
      <c r="O2" s="338" t="n"/>
      <c r="P2" s="338" t="n"/>
      <c r="Q2" s="339" t="n"/>
      <c r="R2" s="339" t="n"/>
      <c r="S2" s="694" t="n"/>
      <c r="T2" s="695" t="n"/>
      <c r="U2" s="696" t="n"/>
      <c r="V2" s="343" t="n"/>
      <c r="W2" s="343" t="n"/>
      <c r="X2" s="343" t="n"/>
      <c r="Y2" s="344" t="n"/>
      <c r="Z2" s="345" t="n"/>
      <c r="AA2" s="346" t="n"/>
      <c r="AB2" s="347" t="n"/>
    </row>
    <row r="3" ht="15.95" customHeight="1" s="577">
      <c r="A3" s="348" t="n">
        <v>1</v>
      </c>
      <c r="B3" s="349" t="inlineStr">
        <is>
          <t>Baxter Health</t>
        </is>
      </c>
      <c r="C3" s="349" t="inlineStr">
        <is>
          <t>5-9 Sunnen Dr., Suite 110</t>
        </is>
      </c>
      <c r="D3" s="349" t="inlineStr">
        <is>
          <t>Maplewood</t>
        </is>
      </c>
      <c r="E3" s="349" t="inlineStr">
        <is>
          <t>MO</t>
        </is>
      </c>
      <c r="F3" s="349" t="n">
        <v>63143</v>
      </c>
      <c r="G3" s="349" t="inlineStr">
        <is>
          <t>Hanley Industrial</t>
        </is>
      </c>
      <c r="H3" s="349" t="inlineStr">
        <is>
          <t>LM (Light Manufacturing)*</t>
        </is>
      </c>
      <c r="I3" s="349" t="n">
        <v>38.607307</v>
      </c>
      <c r="J3" s="349" t="n">
        <v>-90.33074000000001</v>
      </c>
      <c r="K3" s="349" t="n">
        <v>1995</v>
      </c>
      <c r="L3" s="349" t="n"/>
      <c r="M3" s="350" t="n">
        <v>64006</v>
      </c>
      <c r="N3" s="350" t="inlineStr">
        <is>
          <t>Existing</t>
        </is>
      </c>
      <c r="O3" s="349" t="inlineStr">
        <is>
          <t>Occupied</t>
        </is>
      </c>
      <c r="P3" s="349" t="n"/>
      <c r="Q3" s="351" t="inlineStr">
        <is>
          <t>Undisclosed</t>
        </is>
      </c>
      <c r="R3" s="351" t="inlineStr">
        <is>
          <t>New Lease</t>
        </is>
      </c>
      <c r="S3" s="697" t="n">
        <v>13949</v>
      </c>
      <c r="T3" s="353" t="n">
        <v>17.15</v>
      </c>
      <c r="U3" s="698" t="inlineStr">
        <is>
          <t>NNN</t>
        </is>
      </c>
      <c r="V3" s="355" t="n"/>
      <c r="W3" s="355" t="n"/>
      <c r="X3" s="356" t="n">
        <v>46090</v>
      </c>
      <c r="Y3" s="356" t="n">
        <v>46204</v>
      </c>
      <c r="Z3" s="353" t="n"/>
      <c r="AA3" s="357" t="n">
        <v>0.03</v>
      </c>
      <c r="AB3" s="351" t="inlineStr">
        <is>
          <t>Flex; Clear Ht: 22'; Dock/Grade Doors: 6; Sprinkler: Wet; Source: CoStar 122108439</t>
        </is>
      </c>
    </row>
    <row r="4" ht="15.95" customHeight="1" s="577">
      <c r="A4" s="348" t="n">
        <v>2</v>
      </c>
      <c r="B4" s="349" t="inlineStr">
        <is>
          <t>Hanley Complex</t>
        </is>
      </c>
      <c r="C4" s="349" t="inlineStr">
        <is>
          <t>2600-2700 S. Hanley Rd., Suite 300</t>
        </is>
      </c>
      <c r="D4" s="349" t="inlineStr">
        <is>
          <t>Maplewood</t>
        </is>
      </c>
      <c r="E4" s="349" t="inlineStr">
        <is>
          <t>MO</t>
        </is>
      </c>
      <c r="F4" s="349" t="n">
        <v>63144</v>
      </c>
      <c r="G4" s="349" t="inlineStr">
        <is>
          <t>Hanley Industrial</t>
        </is>
      </c>
      <c r="H4" s="349" t="inlineStr">
        <is>
          <t>LI (Light Industrial)*</t>
        </is>
      </c>
      <c r="I4" s="349" t="n">
        <v>38.616657</v>
      </c>
      <c r="J4" s="349" t="n">
        <v>-90.33434200000001</v>
      </c>
      <c r="K4" s="349" t="n">
        <v>1957</v>
      </c>
      <c r="L4" s="349" t="n"/>
      <c r="M4" s="350" t="n">
        <v>416325</v>
      </c>
      <c r="N4" s="350" t="inlineStr">
        <is>
          <t>Existing</t>
        </is>
      </c>
      <c r="O4" s="349" t="inlineStr">
        <is>
          <t>Occupied</t>
        </is>
      </c>
      <c r="P4" s="349" t="n"/>
      <c r="Q4" s="351" t="inlineStr">
        <is>
          <t>Post Holdings</t>
        </is>
      </c>
      <c r="R4" s="351" t="inlineStr">
        <is>
          <t>Sublease</t>
        </is>
      </c>
      <c r="S4" s="697" t="n">
        <v>4390</v>
      </c>
      <c r="T4" s="353" t="n">
        <v>16.95</v>
      </c>
      <c r="U4" s="698" t="inlineStr">
        <is>
          <t>NNN</t>
        </is>
      </c>
      <c r="V4" s="355" t="n">
        <v>4</v>
      </c>
      <c r="W4" s="355" t="n"/>
      <c r="X4" s="356" t="n">
        <v>46061</v>
      </c>
      <c r="Y4" s="356" t="n">
        <v>46091</v>
      </c>
      <c r="Z4" s="353" t="n"/>
      <c r="AA4" s="357" t="n">
        <v>0.03</v>
      </c>
      <c r="AB4" s="351" t="inlineStr">
        <is>
          <t>Manufacturing; Site: 14.4 ac; Clear Ht: 48'; Parking: 6/1,000; Dock/Grade Doors: 13; Sprinkler: No; Exp Date: 07/31/2026; Source: CoStar 122089743</t>
        </is>
      </c>
    </row>
    <row r="5" ht="15.95" customHeight="1" s="577">
      <c r="A5" s="348" t="n">
        <v>3</v>
      </c>
      <c r="B5" s="349" t="inlineStr">
        <is>
          <t>Hanley Service</t>
        </is>
      </c>
      <c r="C5" s="349" t="inlineStr">
        <is>
          <t>1234-1256 Hanley Industrial Ct., Suite 1250</t>
        </is>
      </c>
      <c r="D5" s="349" t="inlineStr">
        <is>
          <t>Brentwood</t>
        </is>
      </c>
      <c r="E5" s="349" t="inlineStr">
        <is>
          <t>MO</t>
        </is>
      </c>
      <c r="F5" s="349" t="n">
        <v>63144</v>
      </c>
      <c r="G5" s="349" t="inlineStr">
        <is>
          <t>Hanley Industrial</t>
        </is>
      </c>
      <c r="H5" s="349" t="inlineStr">
        <is>
          <t>LI (Light Industrial)</t>
        </is>
      </c>
      <c r="I5" s="349" t="n">
        <v>38.624589</v>
      </c>
      <c r="J5" s="349" t="n">
        <v>-90.339596</v>
      </c>
      <c r="K5" s="349" t="n">
        <v>1986</v>
      </c>
      <c r="L5" s="349" t="n"/>
      <c r="M5" s="350" t="n">
        <v>35300</v>
      </c>
      <c r="N5" s="350" t="inlineStr">
        <is>
          <t>Existing</t>
        </is>
      </c>
      <c r="O5" s="349" t="inlineStr">
        <is>
          <t>Occupied</t>
        </is>
      </c>
      <c r="P5" s="349" t="n"/>
      <c r="Q5" s="351" t="inlineStr">
        <is>
          <t>US Med-Equip (USME)</t>
        </is>
      </c>
      <c r="R5" s="351" t="inlineStr">
        <is>
          <t>New Lease</t>
        </is>
      </c>
      <c r="S5" s="697" t="n">
        <v>6289</v>
      </c>
      <c r="T5" s="353" t="n">
        <v>12</v>
      </c>
      <c r="U5" s="698" t="inlineStr">
        <is>
          <t>NNN</t>
        </is>
      </c>
      <c r="V5" s="355" t="n">
        <v>60</v>
      </c>
      <c r="W5" s="355" t="n"/>
      <c r="X5" s="356" t="n">
        <v>45992</v>
      </c>
      <c r="Y5" s="356" t="n">
        <v>46023</v>
      </c>
      <c r="Z5" s="353" t="n">
        <v>0</v>
      </c>
      <c r="AA5" s="357" t="n">
        <v>0.03</v>
      </c>
      <c r="AB5" s="351" t="inlineStr">
        <is>
          <t>Flex; Site: 3.1 ac; Clear Ht: 18'; Dock/Grade Doors: 6; Sprinkler: Yes; Eff Rent: $12.74 NNN; NNN Expenses: $1.75 PSF; Exp Date: 12/31/2030; Source: Engage Deal 122112486</t>
        </is>
      </c>
    </row>
    <row r="8">
      <c r="S8" t="inlineStr">
        <is>
          <t>Median</t>
        </is>
      </c>
      <c r="T8" s="358">
        <f>MEDIAN(T3:T5)</f>
        <v/>
      </c>
    </row>
    <row r="9">
      <c r="S9" t="inlineStr">
        <is>
          <t>Average</t>
        </is>
      </c>
      <c r="T9" s="358">
        <f>AVERAGE(T3:T5)</f>
        <v/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tabColor theme="3" tint="0.8999908444471572"/>
    <outlinePr summaryBelow="1" summaryRight="1"/>
    <pageSetUpPr/>
  </sheetPr>
  <dimension ref="A2:S101"/>
  <sheetViews>
    <sheetView showGridLines="0" topLeftCell="D1" zoomScale="70" zoomScaleNormal="70" workbookViewId="0">
      <selection activeCell="O4" sqref="O4"/>
    </sheetView>
  </sheetViews>
  <sheetFormatPr baseColWidth="8" defaultRowHeight="15" customHeight="1"/>
  <cols>
    <col width="15.42578125" customWidth="1" style="577" min="1" max="1"/>
    <col width="24" customWidth="1" style="577" min="2" max="2"/>
    <col width="37.42578125" customWidth="1" style="577" min="3" max="3"/>
    <col width="11.85546875" customWidth="1" style="577" min="4" max="4"/>
    <col width="15.85546875" customWidth="1" style="577" min="5" max="5"/>
    <col width="19.140625" customWidth="1" style="577" min="6" max="6"/>
    <col width="17.140625" customWidth="1" style="577" min="7" max="7"/>
    <col width="13.42578125" customWidth="1" style="577" min="8" max="8"/>
    <col width="15.85546875" customWidth="1" style="577" min="9" max="10"/>
    <col width="17.7109375" customWidth="1" style="577" min="11" max="11"/>
    <col width="31.42578125" customWidth="1" style="577" min="12" max="12"/>
    <col width="61.85546875" customWidth="1" style="577" min="15" max="15"/>
    <col width="15.42578125" customWidth="1" style="577" min="16" max="16"/>
    <col width="17.7109375" customWidth="1" style="577" min="17" max="17"/>
    <col width="15.28515625" customWidth="1" style="577" min="18" max="18"/>
    <col width="20.85546875" customWidth="1" style="577" min="19" max="19"/>
    <col width="11.28515625" customWidth="1" style="577" min="20" max="20"/>
    <col width="9.140625" bestFit="1" customWidth="1" style="577" min="21" max="21"/>
  </cols>
  <sheetData>
    <row r="1" ht="15.75" customHeight="1" s="577" thickBot="1"/>
    <row r="2" ht="12.95" customHeight="1" s="577" thickBot="1">
      <c r="B2" s="59" t="inlineStr">
        <is>
          <t>Table 1</t>
        </is>
      </c>
      <c r="C2" s="580" t="n"/>
      <c r="H2" s="580" t="n"/>
      <c r="I2" s="578" t="n"/>
      <c r="O2" s="60" t="inlineStr">
        <is>
          <t>Table 2</t>
        </is>
      </c>
      <c r="P2" s="82" t="inlineStr">
        <is>
          <t>*Please do not edit table formulas</t>
        </is>
      </c>
      <c r="Q2" s="56" t="n"/>
      <c r="R2" s="56" t="n"/>
    </row>
    <row r="3" ht="75.59999999999999" customHeight="1" s="577">
      <c r="B3" s="55" t="inlineStr">
        <is>
          <t>Spending Category (If GMP, Enter GMP as the category</t>
        </is>
      </c>
      <c r="C3" s="55" t="inlineStr">
        <is>
          <t>Spending Type (Description in GMP Template)</t>
        </is>
      </c>
      <c r="D3" s="55" t="inlineStr">
        <is>
          <t>Taxable? (If GMP, Select "No")</t>
        </is>
      </c>
      <c r="E3" s="55" t="inlineStr">
        <is>
          <t>Request Team (If GMP, select Construction)</t>
        </is>
      </c>
      <c r="F3" s="55" t="inlineStr">
        <is>
          <t>CAPEX/OPEX (Selecting OPEX is very rare)</t>
        </is>
      </c>
      <c r="G3" s="55" t="inlineStr">
        <is>
          <t>Previously Approved?</t>
        </is>
      </c>
      <c r="H3" s="55" t="inlineStr">
        <is>
          <t>Previous ROM Cost (If using GMP)</t>
        </is>
      </c>
      <c r="I3" s="55" t="inlineStr">
        <is>
          <t>GMP/ROM (Enter most up to date cost Estimate)</t>
        </is>
      </c>
      <c r="J3" s="55" t="inlineStr">
        <is>
          <t>Delta (If using ROM, leave column empty)</t>
        </is>
      </c>
      <c r="K3" s="55" t="inlineStr">
        <is>
          <t>Contingency</t>
        </is>
      </c>
      <c r="L3" s="55" t="inlineStr">
        <is>
          <t>Cost Bridge (Please be as detailed as possible)</t>
        </is>
      </c>
      <c r="O3" s="46" t="inlineStr">
        <is>
          <t>Summary Table</t>
        </is>
      </c>
      <c r="P3" s="46" t="inlineStr">
        <is>
          <t>ROM</t>
        </is>
      </c>
      <c r="Q3" s="46" t="inlineStr">
        <is>
          <t>Contingency</t>
        </is>
      </c>
      <c r="R3" s="76" t="inlineStr">
        <is>
          <t>Total</t>
        </is>
      </c>
      <c r="S3" s="55" t="inlineStr">
        <is>
          <t>Cost Bridge (If total request exceeds 200k)</t>
        </is>
      </c>
    </row>
    <row r="4" ht="14.25" customHeight="1" s="577">
      <c r="B4" s="417" t="n"/>
      <c r="C4" s="417" t="n"/>
      <c r="D4" s="417" t="n"/>
      <c r="E4" s="67" t="n"/>
      <c r="F4" s="417" t="n"/>
      <c r="G4" s="417" t="n"/>
      <c r="H4" s="417" t="n"/>
      <c r="I4" s="417" t="n"/>
      <c r="J4" s="417" t="n"/>
      <c r="K4" s="417" t="n"/>
      <c r="L4" s="417" t="n"/>
      <c r="O4" s="67" t="inlineStr">
        <is>
          <t>DD &amp; Design</t>
        </is>
      </c>
      <c r="P4" s="52">
        <f>SUMIFS(I$4:I$52,$E$4:$E$52,"DD &amp; Design",$G$4:$G$52,"Yes")</f>
        <v/>
      </c>
      <c r="Q4" s="52">
        <f>SUMIFS(K$4:K$52,$E$4:$E$52,"DD &amp; Design",$G$4:$G$52,"No")</f>
        <v/>
      </c>
      <c r="R4" s="73">
        <f>SUM(P4:Q4)</f>
        <v/>
      </c>
      <c r="S4" s="581" t="inlineStr">
        <is>
          <t>&lt;Enter Bridge here&gt;</t>
        </is>
      </c>
    </row>
    <row r="5" ht="14.45" customHeight="1" s="577">
      <c r="A5" s="57" t="n"/>
      <c r="B5" s="67" t="n"/>
      <c r="C5" s="363" t="n"/>
      <c r="D5" s="67" t="n"/>
      <c r="E5" s="67" t="n"/>
      <c r="F5" s="67" t="n"/>
      <c r="G5" s="67" t="n"/>
      <c r="H5" s="699" t="n"/>
      <c r="I5" s="700" t="n"/>
      <c r="J5" s="701" t="n"/>
      <c r="K5" s="68" t="n"/>
      <c r="L5" s="69" t="n"/>
      <c r="O5" s="53" t="inlineStr">
        <is>
          <t>Previously Approved Funding*</t>
        </is>
      </c>
      <c r="P5" s="52">
        <f>SUMIFS($I$4:$I$52,$G$4:$G$52,"Yes")</f>
        <v/>
      </c>
      <c r="Q5" s="52">
        <f>SUMIFS($K$4:$K$52,$G$4:$G$52,"Yes")</f>
        <v/>
      </c>
      <c r="R5" s="73">
        <f>SUM(P5:Q5)</f>
        <v/>
      </c>
      <c r="S5" s="496" t="n"/>
    </row>
    <row r="6" ht="14.45" customHeight="1" s="577">
      <c r="A6" s="57" t="n"/>
      <c r="B6" s="67" t="n"/>
      <c r="C6" s="363" t="n"/>
      <c r="D6" s="67" t="n"/>
      <c r="E6" s="67" t="n"/>
      <c r="F6" s="67" t="n"/>
      <c r="G6" s="67" t="n"/>
      <c r="H6" s="699" t="n"/>
      <c r="I6" s="699" t="n"/>
      <c r="J6" s="701" t="n"/>
      <c r="K6" s="68" t="n"/>
      <c r="L6" s="69" t="n"/>
      <c r="O6" s="53" t="inlineStr">
        <is>
          <t>ROM Construction</t>
        </is>
      </c>
      <c r="P6" s="52">
        <f>SUMIFS(I$4:I$52,$E$4:$E$52,"Construction",$G$4:$G$52,"No")</f>
        <v/>
      </c>
      <c r="Q6" s="52">
        <f>SUMIFS(K$4:K$52,$E$4:$E$52,"Construction",$G$4:$G$52,"No")</f>
        <v/>
      </c>
      <c r="R6" s="73">
        <f>SUM(P6:Q6)</f>
        <v/>
      </c>
      <c r="S6" s="496" t="n"/>
    </row>
    <row r="7" ht="14.45" customHeight="1" s="577">
      <c r="A7" s="57" t="n"/>
      <c r="B7" s="67" t="n"/>
      <c r="C7" s="363" t="n"/>
      <c r="D7" s="67" t="n"/>
      <c r="E7" s="67" t="n"/>
      <c r="F7" s="67" t="n"/>
      <c r="G7" s="67" t="n"/>
      <c r="H7" s="699" t="n"/>
      <c r="I7" s="373" t="n"/>
      <c r="J7" s="701" t="n"/>
      <c r="K7" s="68" t="n"/>
      <c r="L7" s="69" t="n"/>
      <c r="O7" s="53" t="inlineStr">
        <is>
          <t>Startup Costs</t>
        </is>
      </c>
      <c r="P7" s="52">
        <f>SUMIFS(I$4:I$52,$E$4:$E$52,"Startup",$G$4:$G$52,"No")</f>
        <v/>
      </c>
      <c r="Q7" s="52">
        <f>SUMIFS(K$4:K$52,$E$4:$E$52,"Startup",$G$4:$G$52,"No")</f>
        <v/>
      </c>
      <c r="R7" s="73">
        <f>SUM(P7:Q7)</f>
        <v/>
      </c>
      <c r="S7" s="496" t="n"/>
    </row>
    <row r="8" ht="14.45" customHeight="1" s="577">
      <c r="A8" s="57" t="n"/>
      <c r="B8" s="67" t="n"/>
      <c r="C8" s="363" t="n"/>
      <c r="D8" s="67" t="n"/>
      <c r="E8" s="67" t="n"/>
      <c r="F8" s="67" t="n"/>
      <c r="G8" s="67" t="n"/>
      <c r="H8" s="701" t="n"/>
      <c r="I8" s="699" t="n"/>
      <c r="J8" s="701" t="n"/>
      <c r="K8" s="68" t="n"/>
      <c r="L8" s="69" t="n"/>
      <c r="O8" s="53" t="inlineStr">
        <is>
          <t>Sales Tax On Construction</t>
        </is>
      </c>
      <c r="P8" s="52">
        <f>(SUMIFS(I$4:I$52,$E$4:$E$52,"Construction",$G$4:$G$52,"No",$D$4:$D$52,"Yes"))*$P$20</f>
        <v/>
      </c>
      <c r="Q8" s="52">
        <f>(SUMIFS(K$4:K$52,$E$4:$E$52,"Construction",$G$4:$G$52,"No",$D$4:$D$52,"Yes"))*$P$20</f>
        <v/>
      </c>
      <c r="R8" s="73">
        <f>SUM(P8:Q8)</f>
        <v/>
      </c>
      <c r="S8" s="496" t="n"/>
    </row>
    <row r="9" ht="14.45" customHeight="1" s="577">
      <c r="A9" s="57" t="n"/>
      <c r="B9" s="67" t="n"/>
      <c r="C9" s="363" t="n"/>
      <c r="D9" s="67" t="n"/>
      <c r="E9" s="67" t="n"/>
      <c r="F9" s="67" t="n"/>
      <c r="G9" s="67" t="n"/>
      <c r="H9" s="701" t="n"/>
      <c r="I9" s="699" t="n"/>
      <c r="J9" s="701" t="n"/>
      <c r="K9" s="68" t="n"/>
      <c r="L9" s="69" t="n"/>
      <c r="O9" s="53" t="inlineStr">
        <is>
          <t>Sales Tax On Startup</t>
        </is>
      </c>
      <c r="P9" s="52">
        <f>SUMIFS(I$4:I$52,$E$4:$E$52,"Startup",$G$4:$G$52,"No",$D$4:$D$52,"Yes")*$P$20</f>
        <v/>
      </c>
      <c r="Q9" s="52">
        <f>SUMIFS(K$4:K$52,$E$4:$E$52,"Startup",$G$4:$G$52,"No",$D$4:$D$52,"Yes")*$P$20</f>
        <v/>
      </c>
      <c r="R9" s="73">
        <f>SUM(P9:Q9)</f>
        <v/>
      </c>
      <c r="S9" s="496" t="n"/>
    </row>
    <row r="10" ht="14.45" customHeight="1" s="577">
      <c r="A10" s="57" t="n"/>
      <c r="B10" s="67" t="n"/>
      <c r="C10" s="363" t="n"/>
      <c r="D10" s="67" t="n"/>
      <c r="E10" s="67" t="n"/>
      <c r="F10" s="67" t="n"/>
      <c r="G10" s="67" t="n"/>
      <c r="H10" s="699" t="n"/>
      <c r="I10" s="702" t="n"/>
      <c r="J10" s="701" t="n"/>
      <c r="K10" s="68" t="n"/>
      <c r="L10" s="69" t="n"/>
      <c r="O10" s="53" t="inlineStr">
        <is>
          <t>Current Total Construction Request (excl. Previously approved Funding)</t>
        </is>
      </c>
      <c r="P10" s="54">
        <f>P6+P8</f>
        <v/>
      </c>
      <c r="Q10" s="54">
        <f>Q6+Q8</f>
        <v/>
      </c>
      <c r="R10" s="74">
        <f>SUM(P10:Q10)</f>
        <v/>
      </c>
      <c r="S10" s="496" t="n"/>
    </row>
    <row r="11" ht="14.45" customHeight="1" s="577">
      <c r="A11" s="57" t="n"/>
      <c r="B11" s="67" t="n"/>
      <c r="C11" s="363" t="n"/>
      <c r="D11" s="67" t="n"/>
      <c r="E11" s="67" t="n"/>
      <c r="F11" s="67" t="n"/>
      <c r="G11" s="67" t="n"/>
      <c r="H11" s="699" t="n"/>
      <c r="I11" s="703" t="n"/>
      <c r="J11" s="701" t="n"/>
      <c r="K11" s="68" t="n"/>
      <c r="L11" s="69" t="n"/>
      <c r="O11" s="53" t="inlineStr">
        <is>
          <t>Total Contruction Cost (Including Previously approved Funding)</t>
        </is>
      </c>
      <c r="P11" s="54">
        <f>P4+P10</f>
        <v/>
      </c>
      <c r="Q11" s="54">
        <f>Q10+Q5</f>
        <v/>
      </c>
      <c r="R11" s="74">
        <f>SUM(P11:Q11)</f>
        <v/>
      </c>
      <c r="S11" s="496" t="n"/>
    </row>
    <row r="12" ht="14.45" customHeight="1" s="577">
      <c r="A12" s="57" t="n"/>
      <c r="B12" s="67" t="n"/>
      <c r="C12" s="363" t="n"/>
      <c r="D12" s="67" t="n"/>
      <c r="E12" s="67" t="n"/>
      <c r="F12" s="67" t="n"/>
      <c r="G12" s="67" t="n"/>
      <c r="H12" s="701" t="n"/>
      <c r="I12" s="703" t="n"/>
      <c r="J12" s="701" t="n"/>
      <c r="K12" s="68" t="n"/>
      <c r="L12" s="69" t="n"/>
      <c r="O12" s="53" t="inlineStr">
        <is>
          <t>Current Total Startup Request</t>
        </is>
      </c>
      <c r="P12" s="54">
        <f>P7+P9</f>
        <v/>
      </c>
      <c r="Q12" s="54">
        <f>Q7+Q9</f>
        <v/>
      </c>
      <c r="R12" s="74">
        <f>SUM(P12:Q12)</f>
        <v/>
      </c>
      <c r="S12" s="496" t="n"/>
    </row>
    <row r="13" ht="14.45" customHeight="1" s="577">
      <c r="A13" s="57" t="n"/>
      <c r="B13" s="67" t="n"/>
      <c r="C13" s="363" t="n"/>
      <c r="D13" s="67" t="n"/>
      <c r="E13" s="67" t="n"/>
      <c r="F13" s="67" t="n"/>
      <c r="G13" s="67" t="n"/>
      <c r="H13" s="701" t="n"/>
      <c r="I13" s="703" t="n"/>
      <c r="J13" s="701" t="n"/>
      <c r="K13" s="68" t="n"/>
      <c r="L13" s="69" t="n"/>
      <c r="O13" s="53" t="inlineStr">
        <is>
          <t>Construction &amp; Startup Cost Total</t>
        </is>
      </c>
      <c r="P13" s="54">
        <f>SUM(P5:P9)</f>
        <v/>
      </c>
      <c r="Q13" s="54">
        <f>SUM(Q5:Q9)</f>
        <v/>
      </c>
      <c r="R13" s="74">
        <f>SUM(P13:Q13)</f>
        <v/>
      </c>
      <c r="S13" s="496" t="n"/>
    </row>
    <row r="14" ht="14.45" customHeight="1" s="577">
      <c r="A14" s="57" t="n"/>
      <c r="B14" s="67" t="n"/>
      <c r="C14" s="363" t="n"/>
      <c r="D14" s="67" t="n"/>
      <c r="E14" s="67" t="n"/>
      <c r="F14" s="67" t="n"/>
      <c r="G14" s="67" t="n"/>
      <c r="H14" s="699" t="n"/>
      <c r="I14" s="702" t="n"/>
      <c r="J14" s="701" t="n"/>
      <c r="K14" s="68" t="n"/>
      <c r="L14" s="69" t="n"/>
      <c r="O14" s="53" t="inlineStr">
        <is>
          <t>Total OPEX (Construction &amp; Startup)</t>
        </is>
      </c>
      <c r="P14" s="52">
        <f>SUMIFS(I$4:I$52,$F$4:$F$52,"Opex")</f>
        <v/>
      </c>
      <c r="Q14" s="54">
        <f>SUMIFS(K$4:K$52,$F$4:$F$52,"Opex")</f>
        <v/>
      </c>
      <c r="R14" s="74">
        <f>SUM(P14:Q14)</f>
        <v/>
      </c>
      <c r="S14" s="496" t="n"/>
    </row>
    <row r="15" ht="14.45" customHeight="1" s="577">
      <c r="A15" s="57" t="n"/>
      <c r="B15" s="67" t="n"/>
      <c r="C15" s="363" t="n"/>
      <c r="D15" s="67" t="n"/>
      <c r="E15" s="67" t="n"/>
      <c r="F15" s="67" t="n"/>
      <c r="G15" s="67" t="n"/>
      <c r="H15" s="699" t="n"/>
      <c r="I15" s="702" t="n"/>
      <c r="J15" s="701" t="n"/>
      <c r="K15" s="68" t="n"/>
      <c r="L15" s="69" t="n"/>
      <c r="O15" s="53" t="inlineStr">
        <is>
          <t>Total CAPEX (Due Diligence, Construction, Startup)</t>
        </is>
      </c>
      <c r="P15" s="54">
        <f>P13-P14</f>
        <v/>
      </c>
      <c r="Q15" s="54">
        <f>Q13-Q14</f>
        <v/>
      </c>
      <c r="R15" s="74">
        <f>SUM(P15:Q15)</f>
        <v/>
      </c>
      <c r="S15" s="496" t="n"/>
    </row>
    <row r="16" ht="14.45" customHeight="1" s="577">
      <c r="A16" s="57" t="n"/>
      <c r="B16" s="67" t="n"/>
      <c r="C16" s="363" t="n"/>
      <c r="D16" s="67" t="n"/>
      <c r="E16" s="67" t="n"/>
      <c r="F16" s="67" t="n"/>
      <c r="G16" s="67" t="n"/>
      <c r="H16" s="699" t="n"/>
      <c r="I16" s="702" t="n"/>
      <c r="J16" s="701" t="n"/>
      <c r="K16" s="68" t="n"/>
      <c r="L16" s="69" t="n"/>
      <c r="O16" s="53" t="inlineStr">
        <is>
          <t xml:space="preserve">Tenant Improvement </t>
        </is>
      </c>
      <c r="P16" s="61" t="n"/>
      <c r="Q16" s="61" t="n"/>
      <c r="R16" s="89">
        <f>'CAR Approval Page 0'!F8</f>
        <v/>
      </c>
      <c r="S16" s="496" t="n"/>
    </row>
    <row r="17" ht="14.45" customHeight="1" s="577">
      <c r="A17" s="57" t="n"/>
      <c r="B17" s="67" t="n"/>
      <c r="C17" s="363" t="n"/>
      <c r="D17" s="67" t="n"/>
      <c r="E17" s="67" t="n"/>
      <c r="F17" s="67" t="n"/>
      <c r="G17" s="67" t="n"/>
      <c r="H17" s="699" t="n"/>
      <c r="I17" s="702" t="n"/>
      <c r="J17" s="701" t="n"/>
      <c r="K17" s="68" t="n"/>
      <c r="L17" s="69" t="n"/>
      <c r="O17" s="53" t="inlineStr">
        <is>
          <t>Total CAPEX Minus TI (Construction &amp; Startup No Contingency)</t>
        </is>
      </c>
      <c r="P17" s="54">
        <f>IFERROR(P15-R16,"")</f>
        <v/>
      </c>
      <c r="Q17" s="61" t="n"/>
      <c r="R17" s="75" t="n"/>
      <c r="S17" s="475" t="n"/>
    </row>
    <row r="18">
      <c r="A18" s="57" t="n"/>
      <c r="B18" s="67" t="n"/>
      <c r="C18" s="363" t="n"/>
      <c r="D18" s="67" t="n"/>
      <c r="E18" s="67" t="n"/>
      <c r="F18" s="67" t="n"/>
      <c r="G18" s="67" t="n"/>
      <c r="H18" s="699" t="n"/>
      <c r="I18" s="702" t="n"/>
      <c r="J18" s="701" t="n"/>
      <c r="K18" s="68" t="n"/>
      <c r="L18" s="69" t="n"/>
      <c r="O18" s="83" t="inlineStr">
        <is>
          <t xml:space="preserve">*Formula assumes previously approved funding is contruction only. </t>
        </is>
      </c>
    </row>
    <row r="19" ht="14.45" customHeight="1" s="577">
      <c r="A19" s="57" t="n"/>
      <c r="B19" s="67" t="n"/>
      <c r="C19" s="363" t="n"/>
      <c r="D19" s="67" t="n"/>
      <c r="E19" s="67" t="n"/>
      <c r="F19" s="67" t="n"/>
      <c r="G19" s="67" t="n"/>
      <c r="H19" s="701" t="n"/>
      <c r="I19" s="703" t="n"/>
      <c r="J19" s="701" t="n"/>
      <c r="K19" s="68" t="n"/>
      <c r="L19" s="69" t="n"/>
    </row>
    <row r="20" ht="14.45" customHeight="1" s="577">
      <c r="A20" s="57" t="n"/>
      <c r="B20" s="67" t="n"/>
      <c r="C20" s="363" t="n"/>
      <c r="D20" s="67" t="n"/>
      <c r="E20" s="67" t="n"/>
      <c r="F20" s="67" t="n"/>
      <c r="G20" s="67" t="n"/>
      <c r="H20" s="701" t="n"/>
      <c r="I20" s="703" t="n"/>
      <c r="J20" s="701" t="n"/>
      <c r="K20" s="68" t="n"/>
      <c r="L20" s="69" t="n"/>
    </row>
    <row r="21" ht="14.45" customHeight="1" s="577">
      <c r="A21" s="57" t="n"/>
      <c r="B21" s="67" t="n"/>
      <c r="C21" s="363" t="n"/>
      <c r="D21" s="67" t="n"/>
      <c r="E21" s="67" t="n"/>
      <c r="F21" s="67" t="n"/>
      <c r="G21" s="67" t="n"/>
      <c r="H21" s="701" t="n"/>
      <c r="I21" s="703" t="n"/>
      <c r="J21" s="701" t="n"/>
      <c r="K21" s="68" t="n"/>
      <c r="L21" s="69" t="n"/>
      <c r="O21" s="46" t="inlineStr">
        <is>
          <t>Variables</t>
        </is>
      </c>
      <c r="P21" s="46" t="n"/>
      <c r="Q21" s="579" t="inlineStr">
        <is>
          <t>Additional Notes</t>
        </is>
      </c>
      <c r="R21" s="421" t="n"/>
    </row>
    <row r="22" ht="14.45" customHeight="1" s="577">
      <c r="A22" s="57" t="n"/>
      <c r="B22" s="67" t="n"/>
      <c r="C22" s="363" t="n"/>
      <c r="D22" s="67" t="n"/>
      <c r="E22" s="67" t="n"/>
      <c r="F22" s="67" t="n"/>
      <c r="G22" s="67" t="n"/>
      <c r="H22" s="701" t="n"/>
      <c r="I22" s="703" t="n"/>
      <c r="J22" s="701" t="n"/>
      <c r="K22" s="68" t="n"/>
      <c r="L22" s="69" t="n"/>
      <c r="O22" s="22" t="inlineStr">
        <is>
          <t>Tax Rate</t>
        </is>
      </c>
      <c r="P22" s="84" t="n">
        <v>0.15</v>
      </c>
      <c r="Q22" s="80" t="inlineStr">
        <is>
          <t>Adjust tax rate if required</t>
        </is>
      </c>
      <c r="R22" s="80" t="n"/>
    </row>
    <row r="23" ht="14.45" customHeight="1" s="577">
      <c r="A23" s="57" t="n"/>
      <c r="B23" s="67" t="n"/>
      <c r="C23" s="363" t="n"/>
      <c r="D23" s="67" t="n"/>
      <c r="E23" s="67" t="n"/>
      <c r="F23" s="67" t="n"/>
      <c r="G23" s="67" t="n"/>
      <c r="H23" s="701" t="n"/>
      <c r="I23" s="703" t="n"/>
      <c r="J23" s="701" t="n"/>
      <c r="K23" s="68" t="n"/>
      <c r="L23" s="69" t="n"/>
    </row>
    <row r="24" ht="13.5" customHeight="1" s="577">
      <c r="A24" s="57" t="n"/>
      <c r="B24" s="67" t="n"/>
      <c r="C24" s="363" t="n"/>
      <c r="D24" s="67" t="n"/>
      <c r="E24" s="67" t="n"/>
      <c r="F24" s="67" t="n"/>
      <c r="G24" s="67" t="n"/>
      <c r="H24" s="699" t="n"/>
      <c r="I24" s="702" t="n"/>
      <c r="J24" s="701" t="n"/>
      <c r="K24" s="70" t="n"/>
      <c r="L24" s="69" t="n"/>
    </row>
    <row r="25" ht="14.45" customHeight="1" s="577">
      <c r="A25" s="57" t="n"/>
      <c r="B25" s="67" t="n"/>
      <c r="C25" s="363" t="n"/>
      <c r="D25" s="67" t="n"/>
      <c r="E25" s="67" t="n"/>
      <c r="F25" s="67" t="n"/>
      <c r="G25" s="67" t="n"/>
      <c r="H25" s="699" t="n"/>
      <c r="I25" s="702" t="n"/>
      <c r="J25" s="701" t="n"/>
      <c r="K25" s="70" t="n"/>
      <c r="L25" s="69" t="n"/>
    </row>
    <row r="26" ht="14.45" customHeight="1" s="577">
      <c r="A26" s="57" t="n"/>
      <c r="B26" s="67" t="n"/>
      <c r="C26" s="363" t="n"/>
      <c r="D26" s="67" t="n"/>
      <c r="E26" s="67" t="n"/>
      <c r="F26" s="67" t="n"/>
      <c r="G26" s="67" t="n"/>
      <c r="H26" s="699" t="n"/>
      <c r="I26" s="702" t="n"/>
      <c r="J26" s="701" t="n"/>
      <c r="K26" s="70" t="n"/>
      <c r="L26" s="69" t="n"/>
      <c r="O26" s="576" t="inlineStr">
        <is>
          <t xml:space="preserve">General ROM Notes: </t>
        </is>
      </c>
      <c r="P26" s="503" t="inlineStr">
        <is>
          <t>Template Info</t>
        </is>
      </c>
      <c r="Q26" s="421" t="n"/>
    </row>
    <row r="27" ht="14.45" customHeight="1" s="577">
      <c r="A27" s="57" t="n"/>
      <c r="B27" s="67" t="n"/>
      <c r="C27" s="363" t="n"/>
      <c r="D27" s="67" t="n"/>
      <c r="E27" s="67" t="n"/>
      <c r="F27" s="67" t="n"/>
      <c r="G27" s="67" t="n"/>
      <c r="H27" s="701" t="n"/>
      <c r="I27" s="703" t="n"/>
      <c r="J27" s="701" t="n"/>
      <c r="K27" s="71" t="n"/>
      <c r="L27" s="69" t="n"/>
      <c r="O27" s="496" t="n"/>
      <c r="P27" s="22" t="inlineStr">
        <is>
          <t>PreCon POC</t>
        </is>
      </c>
      <c r="Q27" s="22" t="inlineStr">
        <is>
          <t>&lt;Enter user ID&gt;</t>
        </is>
      </c>
    </row>
    <row r="28" ht="14.45" customHeight="1" s="577">
      <c r="A28" s="57" t="n"/>
      <c r="B28" s="67" t="n"/>
      <c r="C28" s="363" t="n"/>
      <c r="D28" s="67" t="n"/>
      <c r="E28" s="67" t="n"/>
      <c r="F28" s="67" t="n"/>
      <c r="G28" s="67" t="n"/>
      <c r="H28" s="376" t="n"/>
      <c r="I28" s="703" t="n"/>
      <c r="J28" s="701" t="n"/>
      <c r="K28" s="70" t="n"/>
      <c r="L28" s="69" t="n"/>
      <c r="O28" s="496" t="n"/>
      <c r="P28" s="22" t="inlineStr">
        <is>
          <t>Startup POC</t>
        </is>
      </c>
      <c r="Q28" s="22" t="inlineStr">
        <is>
          <t>&lt;Enter user ID&gt;</t>
        </is>
      </c>
    </row>
    <row r="29" ht="14.45" customHeight="1" s="577">
      <c r="A29" s="57" t="n"/>
      <c r="B29" s="67" t="n"/>
      <c r="C29" s="363" t="n"/>
      <c r="D29" s="67" t="n"/>
      <c r="E29" s="67" t="n"/>
      <c r="F29" s="67" t="n"/>
      <c r="G29" s="67" t="n"/>
      <c r="H29" s="704" t="n"/>
      <c r="I29" s="703" t="n"/>
      <c r="J29" s="701" t="n"/>
      <c r="K29" s="70" t="n"/>
      <c r="L29" s="69" t="n"/>
      <c r="O29" s="496" t="n"/>
      <c r="P29" s="22" t="inlineStr">
        <is>
          <t>PreCon ROM Date</t>
        </is>
      </c>
      <c r="Q29" s="22" t="inlineStr">
        <is>
          <t>&lt;Enter Date&gt;</t>
        </is>
      </c>
    </row>
    <row r="30" ht="14.45" customHeight="1" s="577">
      <c r="A30" s="57" t="n"/>
      <c r="B30" s="67" t="n"/>
      <c r="C30" s="363" t="n"/>
      <c r="D30" s="67" t="n"/>
      <c r="E30" s="67" t="n"/>
      <c r="F30" s="67" t="n"/>
      <c r="G30" s="67" t="n"/>
      <c r="H30" s="704" t="n"/>
      <c r="I30" s="699" t="n"/>
      <c r="J30" s="701" t="n"/>
      <c r="K30" s="70" t="n"/>
      <c r="L30" s="69" t="n"/>
      <c r="O30" s="475" t="n"/>
      <c r="P30" s="99" t="inlineStr">
        <is>
          <t>LOI Draft Date</t>
        </is>
      </c>
      <c r="Q30" s="99" t="inlineStr">
        <is>
          <t>&lt;Enter Date&gt;</t>
        </is>
      </c>
    </row>
    <row r="31" ht="14.45" customHeight="1" s="577">
      <c r="A31" s="57" t="n"/>
      <c r="B31" s="67" t="n"/>
      <c r="C31" s="363" t="n"/>
      <c r="D31" s="67" t="n"/>
      <c r="E31" s="67" t="n"/>
      <c r="F31" s="67" t="n"/>
      <c r="G31" s="67" t="n"/>
      <c r="H31" s="699" t="n"/>
      <c r="I31" s="702" t="n"/>
      <c r="J31" s="701" t="n"/>
      <c r="K31" s="68" t="n"/>
      <c r="L31" s="67" t="n"/>
      <c r="O31" s="576" t="inlineStr">
        <is>
          <t>Enter Additional Notes/Pictures here</t>
        </is>
      </c>
      <c r="P31" s="443" t="n"/>
      <c r="Q31" s="444" t="n"/>
    </row>
    <row r="32">
      <c r="A32" s="57" t="n"/>
      <c r="B32" s="365" t="n"/>
      <c r="C32" s="378" t="n"/>
      <c r="D32" s="378" t="n"/>
      <c r="E32" s="67" t="n"/>
      <c r="F32" s="378" t="n"/>
      <c r="G32" s="378" t="n"/>
      <c r="H32" s="67" t="n"/>
      <c r="I32" s="68" t="n"/>
      <c r="J32" s="68" t="n"/>
      <c r="K32" s="68" t="n"/>
      <c r="L32" s="67" t="n"/>
      <c r="O32" s="449" t="n"/>
      <c r="Q32" s="479" t="n"/>
    </row>
    <row r="33">
      <c r="A33" s="57" t="n"/>
      <c r="B33" s="367" t="n"/>
      <c r="C33" s="368" t="n"/>
      <c r="D33" s="368" t="n"/>
      <c r="E33" s="67" t="n"/>
      <c r="F33" s="368" t="n"/>
      <c r="G33" s="368" t="n"/>
      <c r="H33" s="67" t="n"/>
      <c r="I33" s="68" t="n"/>
      <c r="J33" s="68" t="n"/>
      <c r="K33" s="68" t="n"/>
      <c r="L33" s="67" t="n"/>
      <c r="O33" s="449" t="n"/>
      <c r="Q33" s="479" t="n"/>
    </row>
    <row r="34">
      <c r="A34" s="57" t="n"/>
      <c r="B34" s="367" t="n"/>
      <c r="C34" s="368" t="n"/>
      <c r="D34" s="368" t="n"/>
      <c r="E34" s="67" t="n"/>
      <c r="F34" s="368" t="n"/>
      <c r="G34" s="368" t="n"/>
      <c r="H34" s="67" t="n"/>
      <c r="I34" s="68" t="n"/>
      <c r="J34" s="68" t="n"/>
      <c r="K34" s="68" t="n"/>
      <c r="L34" s="67" t="n"/>
      <c r="O34" s="449" t="n"/>
      <c r="Q34" s="479" t="n"/>
    </row>
    <row r="35">
      <c r="A35" s="57" t="n"/>
      <c r="B35" s="367" t="n"/>
      <c r="C35" s="368" t="n"/>
      <c r="D35" s="368" t="n"/>
      <c r="E35" s="67" t="n"/>
      <c r="F35" s="368" t="n"/>
      <c r="G35" s="368" t="n"/>
      <c r="H35" s="67" t="n"/>
      <c r="I35" s="68" t="n"/>
      <c r="J35" s="68" t="n"/>
      <c r="K35" s="68" t="n"/>
      <c r="L35" s="67" t="n"/>
      <c r="O35" s="449" t="n"/>
      <c r="Q35" s="479" t="n"/>
    </row>
    <row r="36">
      <c r="A36" s="57" t="n"/>
      <c r="B36" s="367" t="n"/>
      <c r="C36" s="368" t="n"/>
      <c r="D36" s="368" t="n"/>
      <c r="E36" s="67" t="n"/>
      <c r="F36" s="368" t="n"/>
      <c r="G36" s="368" t="n"/>
      <c r="H36" s="67" t="n"/>
      <c r="I36" s="68" t="n"/>
      <c r="J36" s="68" t="n"/>
      <c r="K36" s="68" t="n"/>
      <c r="L36" s="67" t="n"/>
      <c r="O36" s="449" t="n"/>
      <c r="Q36" s="479" t="n"/>
    </row>
    <row r="37">
      <c r="A37" s="57" t="n"/>
      <c r="B37" s="367" t="n"/>
      <c r="C37" s="368" t="n"/>
      <c r="D37" s="368" t="n"/>
      <c r="E37" s="67" t="n"/>
      <c r="F37" s="368" t="n"/>
      <c r="G37" s="368" t="n"/>
      <c r="H37" s="67" t="n"/>
      <c r="I37" s="68" t="n"/>
      <c r="J37" s="68" t="n"/>
      <c r="K37" s="68" t="n"/>
      <c r="L37" s="67" t="n"/>
      <c r="O37" s="449" t="n"/>
      <c r="Q37" s="479" t="n"/>
    </row>
    <row r="38">
      <c r="A38" s="57" t="n"/>
      <c r="B38" s="367" t="n"/>
      <c r="C38" s="368" t="n"/>
      <c r="D38" s="368" t="n"/>
      <c r="E38" s="67" t="n"/>
      <c r="F38" s="368" t="n"/>
      <c r="G38" s="368" t="n"/>
      <c r="H38" s="67" t="n"/>
      <c r="I38" s="68" t="n"/>
      <c r="J38" s="68" t="n"/>
      <c r="K38" s="68" t="n"/>
      <c r="L38" s="67" t="n"/>
      <c r="O38" s="449" t="n"/>
      <c r="Q38" s="479" t="n"/>
    </row>
    <row r="39">
      <c r="A39" s="57" t="n"/>
      <c r="B39" s="367" t="n"/>
      <c r="C39" s="368" t="n"/>
      <c r="D39" s="368" t="n"/>
      <c r="E39" s="67" t="n"/>
      <c r="F39" s="368" t="n"/>
      <c r="G39" s="368" t="n"/>
      <c r="H39" s="67" t="n"/>
      <c r="I39" s="68" t="n"/>
      <c r="J39" s="68" t="n"/>
      <c r="K39" s="68" t="n"/>
      <c r="L39" s="67" t="n"/>
      <c r="O39" s="449" t="n"/>
      <c r="Q39" s="479" t="n"/>
    </row>
    <row r="40">
      <c r="A40" s="57" t="n"/>
      <c r="B40" s="367" t="n"/>
      <c r="C40" s="368" t="n"/>
      <c r="D40" s="368" t="n"/>
      <c r="E40" s="67" t="n"/>
      <c r="F40" s="368" t="n"/>
      <c r="G40" s="368" t="n"/>
      <c r="H40" s="67" t="n"/>
      <c r="I40" s="68" t="n"/>
      <c r="J40" s="68" t="n"/>
      <c r="K40" s="68" t="n"/>
      <c r="L40" s="67" t="n"/>
      <c r="O40" s="449" t="n"/>
      <c r="Q40" s="479" t="n"/>
    </row>
    <row r="41" ht="14.45" customHeight="1" s="577">
      <c r="A41" s="57" t="n"/>
      <c r="B41" s="67" t="n"/>
      <c r="C41" s="67" t="n"/>
      <c r="D41" s="67" t="n"/>
      <c r="E41" s="67" t="n"/>
      <c r="F41" s="67" t="n"/>
      <c r="G41" s="67" t="n"/>
      <c r="H41" s="67" t="n"/>
      <c r="I41" s="68" t="n"/>
      <c r="J41" s="68" t="n"/>
      <c r="K41" s="68" t="n"/>
      <c r="L41" s="67" t="n"/>
      <c r="O41" s="449" t="n"/>
      <c r="Q41" s="479" t="n"/>
    </row>
    <row r="42" ht="14.45" customHeight="1" s="577">
      <c r="A42" s="57" t="n"/>
      <c r="B42" s="67" t="n"/>
      <c r="C42" s="67" t="n"/>
      <c r="D42" s="67" t="n"/>
      <c r="E42" s="67" t="n"/>
      <c r="F42" s="67" t="n"/>
      <c r="G42" s="67" t="n"/>
      <c r="H42" s="67" t="n"/>
      <c r="I42" s="68" t="n"/>
      <c r="J42" s="68" t="n"/>
      <c r="K42" s="68" t="n"/>
      <c r="L42" s="67" t="n"/>
      <c r="O42" s="449" t="n"/>
      <c r="Q42" s="479" t="n"/>
    </row>
    <row r="43" ht="14.45" customHeight="1" s="577">
      <c r="A43" s="57" t="n"/>
      <c r="B43" s="67" t="n"/>
      <c r="C43" s="67" t="n"/>
      <c r="D43" s="67" t="n"/>
      <c r="E43" s="67" t="n"/>
      <c r="F43" s="67" t="n"/>
      <c r="G43" s="67" t="n"/>
      <c r="H43" s="67" t="n"/>
      <c r="I43" s="68" t="n"/>
      <c r="J43" s="68" t="n"/>
      <c r="K43" s="68" t="n"/>
      <c r="L43" s="67" t="n"/>
      <c r="O43" s="449" t="n"/>
      <c r="Q43" s="479" t="n"/>
    </row>
    <row r="44" ht="14.45" customHeight="1" s="577">
      <c r="A44" s="57" t="n"/>
      <c r="B44" s="67" t="n"/>
      <c r="C44" s="67" t="n"/>
      <c r="D44" s="67" t="n"/>
      <c r="E44" s="67" t="n"/>
      <c r="F44" s="67" t="n"/>
      <c r="G44" s="67" t="n"/>
      <c r="H44" s="67" t="n"/>
      <c r="I44" s="68" t="n"/>
      <c r="J44" s="68" t="n"/>
      <c r="K44" s="68" t="n"/>
      <c r="L44" s="67" t="n"/>
      <c r="O44" s="449" t="n"/>
      <c r="Q44" s="479" t="n"/>
    </row>
    <row r="45" ht="14.45" customHeight="1" s="577">
      <c r="A45" s="57" t="n"/>
      <c r="B45" s="67" t="n"/>
      <c r="C45" s="67" t="n"/>
      <c r="D45" s="67" t="n"/>
      <c r="E45" s="67" t="n"/>
      <c r="F45" s="67" t="n"/>
      <c r="G45" s="67" t="n"/>
      <c r="H45" s="67" t="n"/>
      <c r="I45" s="68" t="n"/>
      <c r="J45" s="68" t="n"/>
      <c r="K45" s="68" t="n"/>
      <c r="L45" s="67" t="n"/>
      <c r="O45" s="449" t="n"/>
      <c r="Q45" s="479" t="n"/>
    </row>
    <row r="46" ht="14.45" customHeight="1" s="577">
      <c r="A46" s="57" t="n"/>
      <c r="B46" s="67" t="n"/>
      <c r="C46" s="67" t="n"/>
      <c r="D46" s="67" t="n"/>
      <c r="E46" s="67" t="n"/>
      <c r="F46" s="67" t="n"/>
      <c r="G46" s="67" t="n"/>
      <c r="H46" s="67" t="n"/>
      <c r="I46" s="68" t="n"/>
      <c r="J46" s="68" t="n"/>
      <c r="K46" s="68" t="n"/>
      <c r="L46" s="67" t="n"/>
      <c r="O46" s="449" t="n"/>
      <c r="Q46" s="479" t="n"/>
    </row>
    <row r="47" ht="14.45" customHeight="1" s="577">
      <c r="A47" s="57" t="n"/>
      <c r="B47" s="67" t="n"/>
      <c r="C47" s="67" t="n"/>
      <c r="D47" s="67" t="n"/>
      <c r="E47" s="67" t="n"/>
      <c r="F47" s="67" t="n"/>
      <c r="G47" s="67" t="n"/>
      <c r="H47" s="67" t="n"/>
      <c r="I47" s="68" t="n"/>
      <c r="J47" s="68" t="n"/>
      <c r="K47" s="68" t="n"/>
      <c r="L47" s="67" t="n"/>
      <c r="O47" s="449" t="n"/>
      <c r="Q47" s="479" t="n"/>
    </row>
    <row r="48" ht="14.45" customHeight="1" s="577">
      <c r="A48" s="57" t="n"/>
      <c r="B48" s="67" t="n"/>
      <c r="C48" s="67" t="n"/>
      <c r="D48" s="67" t="n"/>
      <c r="E48" s="67" t="n"/>
      <c r="F48" s="67" t="n"/>
      <c r="G48" s="67" t="n"/>
      <c r="H48" s="67" t="n"/>
      <c r="I48" s="68" t="n"/>
      <c r="J48" s="68" t="n"/>
      <c r="K48" s="68" t="n"/>
      <c r="L48" s="67" t="n"/>
      <c r="O48" s="449" t="n"/>
      <c r="Q48" s="479" t="n"/>
    </row>
    <row r="49" ht="14.45" customHeight="1" s="577">
      <c r="A49" s="57" t="n"/>
      <c r="B49" s="67" t="n"/>
      <c r="C49" s="67" t="n"/>
      <c r="D49" s="67" t="n"/>
      <c r="E49" s="67" t="n"/>
      <c r="F49" s="67" t="n"/>
      <c r="G49" s="67" t="n"/>
      <c r="H49" s="67" t="n"/>
      <c r="I49" s="68" t="n"/>
      <c r="J49" s="68" t="n"/>
      <c r="K49" s="68" t="n"/>
      <c r="L49" s="67" t="n"/>
      <c r="O49" s="449" t="n"/>
      <c r="Q49" s="479" t="n"/>
    </row>
    <row r="50" ht="14.45" customHeight="1" s="577">
      <c r="A50" s="57" t="n"/>
      <c r="B50" s="67" t="n"/>
      <c r="C50" s="67" t="n"/>
      <c r="D50" s="67" t="n"/>
      <c r="E50" s="67" t="n"/>
      <c r="F50" s="67" t="n"/>
      <c r="G50" s="67" t="n"/>
      <c r="H50" s="67" t="n"/>
      <c r="I50" s="68" t="n"/>
      <c r="J50" s="68" t="n"/>
      <c r="K50" s="68" t="n"/>
      <c r="L50" s="67" t="n"/>
      <c r="O50" s="449" t="n"/>
      <c r="Q50" s="479" t="n"/>
    </row>
    <row r="51" ht="14.45" customHeight="1" s="577">
      <c r="A51" s="57" t="n"/>
      <c r="B51" s="67" t="n"/>
      <c r="C51" s="67" t="n"/>
      <c r="D51" s="67" t="n"/>
      <c r="E51" s="67" t="n"/>
      <c r="F51" s="67" t="n"/>
      <c r="G51" s="67" t="n"/>
      <c r="H51" s="67" t="n"/>
      <c r="I51" s="68" t="n"/>
      <c r="J51" s="68" t="n"/>
      <c r="K51" s="68" t="n"/>
      <c r="L51" s="67" t="n"/>
      <c r="O51" s="449" t="n"/>
      <c r="Q51" s="479" t="n"/>
    </row>
    <row r="52" ht="14.45" customHeight="1" s="577">
      <c r="A52" s="57" t="n"/>
      <c r="B52" s="67" t="n"/>
      <c r="C52" s="67" t="n"/>
      <c r="D52" s="67" t="n"/>
      <c r="E52" s="67" t="n"/>
      <c r="F52" s="67" t="n"/>
      <c r="G52" s="67" t="n"/>
      <c r="H52" s="67" t="n"/>
      <c r="I52" s="68" t="n"/>
      <c r="J52" s="68" t="n"/>
      <c r="K52" s="68" t="n"/>
      <c r="L52" s="67" t="n"/>
      <c r="O52" s="449" t="n"/>
      <c r="Q52" s="479" t="n"/>
    </row>
    <row r="53" ht="14.45" customHeight="1" s="577">
      <c r="A53" s="57" t="n"/>
      <c r="B53" s="67" t="n"/>
      <c r="C53" s="67" t="n"/>
      <c r="D53" s="67" t="n"/>
      <c r="E53" s="67" t="n"/>
      <c r="F53" s="67" t="n"/>
      <c r="G53" s="67" t="n"/>
      <c r="H53" s="67" t="n"/>
      <c r="I53" s="68" t="n"/>
      <c r="J53" s="68" t="n"/>
      <c r="K53" s="68" t="n"/>
      <c r="L53" s="67" t="n"/>
      <c r="O53" s="449" t="n"/>
      <c r="Q53" s="479" t="n"/>
    </row>
    <row r="54" ht="14.45" customHeight="1" s="577">
      <c r="B54" s="67" t="n"/>
      <c r="C54" s="67" t="n"/>
      <c r="D54" s="67" t="n"/>
      <c r="E54" s="67" t="n"/>
      <c r="F54" s="67" t="n"/>
      <c r="G54" s="67" t="n"/>
      <c r="H54" s="67" t="n"/>
      <c r="I54" s="68" t="n"/>
      <c r="J54" s="68" t="n"/>
      <c r="K54" s="68" t="n"/>
      <c r="L54" s="67" t="n"/>
      <c r="O54" s="449" t="n"/>
      <c r="Q54" s="479" t="n"/>
    </row>
    <row r="55" ht="14.45" customHeight="1" s="577">
      <c r="B55" s="67" t="n"/>
      <c r="C55" s="67" t="n"/>
      <c r="D55" s="67" t="n"/>
      <c r="E55" s="67" t="n"/>
      <c r="F55" s="67" t="n"/>
      <c r="G55" s="67" t="n"/>
      <c r="H55" s="67" t="n"/>
      <c r="I55" s="68" t="n"/>
      <c r="J55" s="68" t="n"/>
      <c r="K55" s="68" t="n"/>
      <c r="L55" s="67" t="n"/>
      <c r="O55" s="449" t="n"/>
      <c r="Q55" s="479" t="n"/>
    </row>
    <row r="56" ht="14.45" customHeight="1" s="577">
      <c r="B56" s="67" t="n"/>
      <c r="C56" s="67" t="n"/>
      <c r="D56" s="67" t="n"/>
      <c r="E56" s="67" t="n"/>
      <c r="F56" s="67" t="n"/>
      <c r="G56" s="67" t="n"/>
      <c r="H56" s="67" t="n"/>
      <c r="I56" s="68" t="n"/>
      <c r="J56" s="68" t="n"/>
      <c r="K56" s="68" t="n"/>
      <c r="L56" s="67" t="n"/>
      <c r="O56" s="449" t="n"/>
      <c r="Q56" s="479" t="n"/>
    </row>
    <row r="57" ht="14.45" customHeight="1" s="577">
      <c r="B57" s="67" t="n"/>
      <c r="C57" s="67" t="n"/>
      <c r="D57" s="67" t="n"/>
      <c r="E57" s="67" t="n"/>
      <c r="F57" s="67" t="n"/>
      <c r="G57" s="67" t="n"/>
      <c r="H57" s="67" t="n"/>
      <c r="I57" s="68" t="n"/>
      <c r="J57" s="68" t="n"/>
      <c r="K57" s="68" t="n"/>
      <c r="L57" s="67" t="n"/>
      <c r="O57" s="449" t="n"/>
      <c r="Q57" s="479" t="n"/>
    </row>
    <row r="58" ht="14.45" customHeight="1" s="577">
      <c r="B58" s="67" t="n"/>
      <c r="C58" s="67" t="n"/>
      <c r="D58" s="67" t="n"/>
      <c r="E58" s="67" t="n"/>
      <c r="F58" s="67" t="n"/>
      <c r="G58" s="67" t="n"/>
      <c r="H58" s="67" t="n"/>
      <c r="I58" s="68" t="n"/>
      <c r="J58" s="68" t="n"/>
      <c r="K58" s="68" t="n"/>
      <c r="L58" s="67" t="n"/>
      <c r="O58" s="449" t="n"/>
      <c r="Q58" s="479" t="n"/>
    </row>
    <row r="59" ht="14.45" customHeight="1" s="577">
      <c r="B59" s="67" t="n"/>
      <c r="C59" s="67" t="n"/>
      <c r="D59" s="67" t="n"/>
      <c r="E59" s="67" t="n"/>
      <c r="F59" s="67" t="n"/>
      <c r="G59" s="67" t="n"/>
      <c r="H59" s="67" t="n"/>
      <c r="I59" s="68" t="n"/>
      <c r="J59" s="68" t="n"/>
      <c r="K59" s="68" t="n"/>
      <c r="L59" s="67" t="n"/>
      <c r="O59" s="449" t="n"/>
      <c r="Q59" s="479" t="n"/>
    </row>
    <row r="60" ht="14.45" customHeight="1" s="577">
      <c r="B60" s="67" t="n"/>
      <c r="C60" s="67" t="n"/>
      <c r="D60" s="67" t="n"/>
      <c r="E60" s="67" t="n"/>
      <c r="F60" s="67" t="n"/>
      <c r="G60" s="67" t="n"/>
      <c r="H60" s="67" t="n"/>
      <c r="I60" s="68" t="n"/>
      <c r="J60" s="68" t="n"/>
      <c r="K60" s="68" t="n"/>
      <c r="L60" s="67" t="n"/>
      <c r="O60" s="449" t="n"/>
      <c r="Q60" s="479" t="n"/>
    </row>
    <row r="61" ht="14.45" customHeight="1" s="577">
      <c r="B61" s="67" t="n"/>
      <c r="C61" s="67" t="n"/>
      <c r="D61" s="67" t="n"/>
      <c r="E61" s="67" t="n"/>
      <c r="F61" s="67" t="n"/>
      <c r="G61" s="67" t="n"/>
      <c r="H61" s="67" t="n"/>
      <c r="I61" s="68" t="n"/>
      <c r="J61" s="68" t="n"/>
      <c r="K61" s="68" t="n"/>
      <c r="L61" s="67" t="n"/>
      <c r="O61" s="449" t="n"/>
      <c r="Q61" s="479" t="n"/>
    </row>
    <row r="62" ht="14.45" customHeight="1" s="577">
      <c r="B62" s="67" t="n"/>
      <c r="C62" s="67" t="n"/>
      <c r="D62" s="67" t="n"/>
      <c r="E62" s="67" t="n"/>
      <c r="F62" s="67" t="n"/>
      <c r="G62" s="67" t="n"/>
      <c r="H62" s="67" t="n"/>
      <c r="I62" s="68" t="n"/>
      <c r="J62" s="68" t="n"/>
      <c r="K62" s="68" t="n"/>
      <c r="L62" s="67" t="n"/>
      <c r="O62" s="449" t="n"/>
      <c r="Q62" s="479" t="n"/>
    </row>
    <row r="63" ht="14.45" customHeight="1" s="577">
      <c r="B63" s="67" t="n"/>
      <c r="C63" s="67" t="n"/>
      <c r="D63" s="67" t="n"/>
      <c r="E63" s="67" t="n"/>
      <c r="F63" s="67" t="n"/>
      <c r="G63" s="67" t="n"/>
      <c r="H63" s="67" t="n"/>
      <c r="I63" s="68" t="n"/>
      <c r="J63" s="68" t="n"/>
      <c r="K63" s="68" t="n"/>
      <c r="L63" s="67" t="n"/>
      <c r="O63" s="451" t="n"/>
      <c r="P63" s="471" t="n"/>
      <c r="Q63" s="472" t="n"/>
    </row>
    <row r="64" ht="14.45" customHeight="1" s="577">
      <c r="B64" s="67" t="n"/>
      <c r="C64" s="67" t="n"/>
      <c r="D64" s="67" t="n"/>
      <c r="E64" s="67" t="n"/>
      <c r="F64" s="67" t="n"/>
      <c r="G64" s="67" t="n"/>
      <c r="H64" s="67" t="n"/>
      <c r="I64" s="68" t="n"/>
      <c r="J64" s="68" t="n"/>
      <c r="K64" s="68" t="n"/>
      <c r="L64" s="67" t="n"/>
    </row>
    <row r="65" ht="14.45" customHeight="1" s="577">
      <c r="B65" s="67" t="n"/>
      <c r="C65" s="67" t="n"/>
      <c r="D65" s="67" t="n"/>
      <c r="E65" s="67" t="n"/>
      <c r="F65" s="67" t="n"/>
      <c r="G65" s="67" t="n"/>
      <c r="H65" s="67" t="n"/>
      <c r="I65" s="68" t="n"/>
      <c r="J65" s="68" t="n"/>
      <c r="K65" s="68" t="n"/>
      <c r="L65" s="67" t="n"/>
    </row>
    <row r="66" ht="14.45" customHeight="1" s="577">
      <c r="B66" s="67" t="n"/>
      <c r="C66" s="67" t="n"/>
      <c r="D66" s="67" t="n"/>
      <c r="E66" s="67" t="n"/>
      <c r="F66" s="67" t="n"/>
      <c r="G66" s="67" t="n"/>
      <c r="H66" s="67" t="n"/>
      <c r="I66" s="68" t="n"/>
      <c r="J66" s="68" t="n"/>
      <c r="K66" s="68" t="n"/>
      <c r="L66" s="67" t="n"/>
    </row>
    <row r="67" ht="14.45" customHeight="1" s="577">
      <c r="B67" s="67" t="n"/>
      <c r="C67" s="67" t="n"/>
      <c r="D67" s="67" t="n"/>
      <c r="E67" s="67" t="n"/>
      <c r="F67" s="67" t="n"/>
      <c r="G67" s="67" t="n"/>
      <c r="H67" s="67" t="n"/>
      <c r="I67" s="68" t="n"/>
      <c r="J67" s="68" t="n"/>
      <c r="K67" s="68" t="n"/>
      <c r="L67" s="67" t="n"/>
    </row>
    <row r="68" ht="14.45" customHeight="1" s="577">
      <c r="B68" s="67" t="n"/>
      <c r="C68" s="67" t="n"/>
      <c r="D68" s="67" t="n"/>
      <c r="E68" s="67" t="n"/>
      <c r="F68" s="67" t="n"/>
      <c r="G68" s="67" t="n"/>
      <c r="H68" s="67" t="n"/>
      <c r="I68" s="68" t="n"/>
      <c r="J68" s="68" t="n"/>
      <c r="K68" s="68" t="n"/>
      <c r="L68" s="67" t="n"/>
    </row>
    <row r="69" ht="14.45" customHeight="1" s="577">
      <c r="B69" s="67" t="n"/>
      <c r="C69" s="67" t="n"/>
      <c r="D69" s="67" t="n"/>
      <c r="E69" s="67" t="n"/>
      <c r="F69" s="67" t="n"/>
      <c r="G69" s="67" t="n"/>
      <c r="H69" s="67" t="n"/>
      <c r="I69" s="68" t="n"/>
      <c r="J69" s="68" t="n"/>
      <c r="K69" s="68" t="n"/>
      <c r="L69" s="67" t="n"/>
    </row>
    <row r="70" ht="14.45" customHeight="1" s="577">
      <c r="B70" s="67" t="n"/>
      <c r="C70" s="67" t="n"/>
      <c r="D70" s="67" t="n"/>
      <c r="E70" s="67" t="n"/>
      <c r="F70" s="67" t="n"/>
      <c r="G70" s="67" t="n"/>
      <c r="H70" s="67" t="n"/>
      <c r="I70" s="68" t="n"/>
      <c r="J70" s="68" t="n"/>
      <c r="K70" s="68" t="n"/>
      <c r="L70" s="67" t="n"/>
    </row>
    <row r="71" ht="14.45" customHeight="1" s="577">
      <c r="B71" s="67" t="n"/>
      <c r="C71" s="67" t="n"/>
      <c r="D71" s="67" t="n"/>
      <c r="E71" s="67" t="n"/>
      <c r="F71" s="67" t="n"/>
      <c r="G71" s="67" t="n"/>
      <c r="H71" s="67" t="n"/>
      <c r="I71" s="68" t="n"/>
      <c r="J71" s="68" t="n"/>
      <c r="K71" s="68" t="n"/>
      <c r="L71" s="67" t="n"/>
    </row>
    <row r="72" ht="14.45" customHeight="1" s="577">
      <c r="B72" s="67" t="n"/>
      <c r="C72" s="67" t="n"/>
      <c r="D72" s="67" t="n"/>
      <c r="E72" s="67" t="n"/>
      <c r="F72" s="67" t="n"/>
      <c r="G72" s="67" t="n"/>
      <c r="H72" s="67" t="n"/>
      <c r="I72" s="68" t="n"/>
      <c r="J72" s="68" t="n"/>
      <c r="K72" s="68" t="n"/>
      <c r="L72" s="67" t="n"/>
    </row>
    <row r="73" ht="14.45" customHeight="1" s="577">
      <c r="B73" s="67" t="n"/>
      <c r="C73" s="67" t="n"/>
      <c r="D73" s="67" t="n"/>
      <c r="E73" s="67" t="n"/>
      <c r="F73" s="67" t="n"/>
      <c r="G73" s="67" t="n"/>
      <c r="H73" s="67" t="n"/>
      <c r="I73" s="68" t="n"/>
      <c r="J73" s="68" t="n"/>
      <c r="K73" s="68" t="n"/>
      <c r="L73" s="67" t="n"/>
    </row>
    <row r="74" ht="14.45" customHeight="1" s="577">
      <c r="B74" s="67" t="n"/>
      <c r="C74" s="67" t="n"/>
      <c r="D74" s="67" t="n"/>
      <c r="E74" s="67" t="n"/>
      <c r="F74" s="67" t="n"/>
      <c r="G74" s="67" t="n"/>
      <c r="H74" s="67" t="n"/>
      <c r="I74" s="68" t="n"/>
      <c r="J74" s="68" t="n"/>
      <c r="K74" s="68" t="n"/>
      <c r="L74" s="67" t="n"/>
    </row>
    <row r="75" ht="14.45" customHeight="1" s="577">
      <c r="B75" s="67" t="n"/>
      <c r="C75" s="67" t="n"/>
      <c r="D75" s="67" t="n"/>
      <c r="E75" s="67" t="n"/>
      <c r="F75" s="67" t="n"/>
      <c r="G75" s="67" t="n"/>
      <c r="H75" s="67" t="n"/>
      <c r="I75" s="68" t="n"/>
      <c r="J75" s="68" t="n"/>
      <c r="K75" s="68" t="n"/>
      <c r="L75" s="67" t="n"/>
    </row>
    <row r="76" ht="14.45" customHeight="1" s="577">
      <c r="B76" s="67" t="n"/>
      <c r="C76" s="67" t="n"/>
      <c r="D76" s="67" t="n"/>
      <c r="E76" s="67" t="n"/>
      <c r="F76" s="67" t="n"/>
      <c r="G76" s="67" t="n"/>
      <c r="H76" s="67" t="n"/>
      <c r="I76" s="68" t="n"/>
      <c r="J76" s="68" t="n"/>
      <c r="K76" s="68" t="n"/>
      <c r="L76" s="67" t="n"/>
    </row>
    <row r="77" ht="14.45" customHeight="1" s="577">
      <c r="B77" s="67" t="n"/>
      <c r="C77" s="67" t="n"/>
      <c r="D77" s="67" t="n"/>
      <c r="E77" s="67" t="n"/>
      <c r="F77" s="67" t="n"/>
      <c r="G77" s="67" t="n"/>
      <c r="H77" s="67" t="n"/>
      <c r="I77" s="68" t="n"/>
      <c r="J77" s="68" t="n"/>
      <c r="K77" s="68" t="n"/>
      <c r="L77" s="67" t="n"/>
    </row>
    <row r="78" ht="14.45" customHeight="1" s="577">
      <c r="B78" s="67" t="n"/>
      <c r="C78" s="67" t="n"/>
      <c r="D78" s="67" t="n"/>
      <c r="E78" s="67" t="n"/>
      <c r="F78" s="67" t="n"/>
      <c r="G78" s="67" t="n"/>
      <c r="H78" s="67" t="n"/>
      <c r="I78" s="68" t="n"/>
      <c r="J78" s="68" t="n"/>
      <c r="K78" s="68" t="n"/>
      <c r="L78" s="67" t="n"/>
    </row>
    <row r="79" ht="14.45" customHeight="1" s="577">
      <c r="B79" s="67" t="n"/>
      <c r="C79" s="67" t="n"/>
      <c r="D79" s="67" t="n"/>
      <c r="E79" s="67" t="n"/>
      <c r="F79" s="67" t="n"/>
      <c r="G79" s="67" t="n"/>
      <c r="H79" s="67" t="n"/>
      <c r="I79" s="68" t="n"/>
      <c r="J79" s="68" t="n"/>
      <c r="K79" s="68" t="n"/>
      <c r="L79" s="67" t="n"/>
    </row>
    <row r="80" ht="14.45" customHeight="1" s="577">
      <c r="B80" s="67" t="n"/>
      <c r="C80" s="67" t="n"/>
      <c r="D80" s="67" t="n"/>
      <c r="E80" s="67" t="n"/>
      <c r="F80" s="67" t="n"/>
      <c r="G80" s="67" t="n"/>
      <c r="H80" s="67" t="n"/>
      <c r="I80" s="68" t="n"/>
      <c r="J80" s="68" t="n"/>
      <c r="K80" s="68" t="n"/>
      <c r="L80" s="67" t="n"/>
    </row>
    <row r="81" ht="14.45" customHeight="1" s="577">
      <c r="B81" s="67" t="n"/>
      <c r="C81" s="67" t="n"/>
      <c r="D81" s="67" t="n"/>
      <c r="E81" s="67" t="n"/>
      <c r="F81" s="67" t="n"/>
      <c r="G81" s="67" t="n"/>
      <c r="H81" s="67" t="n"/>
      <c r="I81" s="68" t="n"/>
      <c r="J81" s="68" t="n"/>
      <c r="K81" s="68" t="n"/>
      <c r="L81" s="67" t="n"/>
    </row>
    <row r="82" ht="14.45" customHeight="1" s="577">
      <c r="B82" s="67" t="n"/>
      <c r="C82" s="67" t="n"/>
      <c r="D82" s="67" t="n"/>
      <c r="E82" s="67" t="n"/>
      <c r="F82" s="67" t="n"/>
      <c r="G82" s="67" t="n"/>
      <c r="H82" s="67" t="n"/>
      <c r="I82" s="68" t="n"/>
      <c r="J82" s="68" t="n"/>
      <c r="K82" s="68" t="n"/>
      <c r="L82" s="67" t="n"/>
    </row>
    <row r="83" ht="14.45" customHeight="1" s="577">
      <c r="B83" s="67" t="n"/>
      <c r="C83" s="67" t="n"/>
      <c r="D83" s="67" t="n"/>
      <c r="E83" s="67" t="n"/>
      <c r="F83" s="67" t="n"/>
      <c r="G83" s="67" t="n"/>
      <c r="H83" s="67" t="n"/>
      <c r="I83" s="68" t="n"/>
      <c r="J83" s="68" t="n"/>
      <c r="K83" s="68" t="n"/>
      <c r="L83" s="67" t="n"/>
    </row>
    <row r="84" ht="14.45" customHeight="1" s="577">
      <c r="B84" s="67" t="n"/>
      <c r="C84" s="67" t="n"/>
      <c r="D84" s="67" t="n"/>
      <c r="E84" s="67" t="n"/>
      <c r="F84" s="67" t="n"/>
      <c r="G84" s="67" t="n"/>
      <c r="H84" s="67" t="n"/>
      <c r="I84" s="68" t="n"/>
      <c r="J84" s="68" t="n"/>
      <c r="K84" s="68" t="n"/>
      <c r="L84" s="67" t="n"/>
    </row>
    <row r="85" ht="14.45" customHeight="1" s="577">
      <c r="B85" s="67" t="n"/>
      <c r="C85" s="67" t="n"/>
      <c r="D85" s="67" t="n"/>
      <c r="E85" s="67" t="n"/>
      <c r="F85" s="67" t="n"/>
      <c r="G85" s="67" t="n"/>
      <c r="H85" s="67" t="n"/>
      <c r="I85" s="68" t="n"/>
      <c r="J85" s="68" t="n"/>
      <c r="K85" s="68" t="n"/>
      <c r="L85" s="67" t="n"/>
    </row>
    <row r="86" ht="14.45" customHeight="1" s="577">
      <c r="B86" s="67" t="n"/>
      <c r="C86" s="67" t="n"/>
      <c r="D86" s="67" t="n"/>
      <c r="E86" s="67" t="n"/>
      <c r="F86" s="67" t="n"/>
      <c r="G86" s="67" t="n"/>
      <c r="H86" s="67" t="n"/>
      <c r="I86" s="68" t="n"/>
      <c r="J86" s="68" t="n"/>
      <c r="K86" s="68" t="n"/>
      <c r="L86" s="67" t="n"/>
    </row>
    <row r="87" ht="14.45" customHeight="1" s="577">
      <c r="B87" s="67" t="n"/>
      <c r="C87" s="67" t="n"/>
      <c r="D87" s="67" t="n"/>
      <c r="E87" s="67" t="n"/>
      <c r="F87" s="67" t="n"/>
      <c r="G87" s="67" t="n"/>
      <c r="H87" s="67" t="n"/>
      <c r="I87" s="68" t="n"/>
      <c r="J87" s="68" t="n"/>
      <c r="K87" s="68" t="n"/>
      <c r="L87" s="67" t="n"/>
    </row>
    <row r="88" ht="14.45" customHeight="1" s="577">
      <c r="B88" s="67" t="n"/>
      <c r="C88" s="67" t="n"/>
      <c r="D88" s="67" t="n"/>
      <c r="E88" s="67" t="n"/>
      <c r="F88" s="67" t="n"/>
      <c r="G88" s="67" t="n"/>
      <c r="H88" s="67" t="n"/>
      <c r="I88" s="68" t="n"/>
      <c r="J88" s="68" t="n"/>
      <c r="K88" s="68" t="n"/>
      <c r="L88" s="67" t="n"/>
    </row>
    <row r="89" ht="14.45" customHeight="1" s="577">
      <c r="B89" s="67" t="n"/>
      <c r="C89" s="67" t="n"/>
      <c r="D89" s="67" t="n"/>
      <c r="E89" s="67" t="n"/>
      <c r="F89" s="67" t="n"/>
      <c r="G89" s="67" t="n"/>
      <c r="H89" s="67" t="n"/>
      <c r="I89" s="68" t="n"/>
      <c r="J89" s="68" t="n"/>
      <c r="K89" s="68" t="n"/>
      <c r="L89" s="67" t="n"/>
    </row>
    <row r="90" ht="14.45" customHeight="1" s="577">
      <c r="B90" s="67" t="n"/>
      <c r="C90" s="67" t="n"/>
      <c r="D90" s="67" t="n"/>
      <c r="E90" s="67" t="n"/>
      <c r="F90" s="67" t="n"/>
      <c r="G90" s="67" t="n"/>
      <c r="H90" s="67" t="n"/>
      <c r="I90" s="68" t="n"/>
      <c r="J90" s="68" t="n"/>
      <c r="K90" s="68" t="n"/>
      <c r="L90" s="67" t="n"/>
    </row>
    <row r="91" ht="14.45" customHeight="1" s="577">
      <c r="B91" s="67" t="n"/>
      <c r="C91" s="67" t="n"/>
      <c r="D91" s="67" t="n"/>
      <c r="E91" s="67" t="n"/>
      <c r="F91" s="67" t="n"/>
      <c r="G91" s="67" t="n"/>
      <c r="H91" s="67" t="n"/>
      <c r="I91" s="68" t="n"/>
      <c r="J91" s="68" t="n"/>
      <c r="K91" s="68" t="n"/>
      <c r="L91" s="67" t="n"/>
    </row>
    <row r="92" ht="14.45" customHeight="1" s="577">
      <c r="B92" s="67" t="n"/>
      <c r="C92" s="67" t="n"/>
      <c r="D92" s="67" t="n"/>
      <c r="E92" s="67" t="n"/>
      <c r="F92" s="67" t="n"/>
      <c r="G92" s="67" t="n"/>
      <c r="H92" s="67" t="n"/>
      <c r="I92" s="68" t="n"/>
      <c r="J92" s="68" t="n"/>
      <c r="K92" s="68" t="n"/>
      <c r="L92" s="67" t="n"/>
    </row>
    <row r="93" ht="14.45" customHeight="1" s="577">
      <c r="B93" s="67" t="n"/>
      <c r="C93" s="67" t="n"/>
      <c r="D93" s="67" t="n"/>
      <c r="E93" s="67" t="n"/>
      <c r="F93" s="67" t="n"/>
      <c r="G93" s="67" t="n"/>
      <c r="H93" s="67" t="n"/>
      <c r="I93" s="68" t="n"/>
      <c r="J93" s="68" t="n"/>
      <c r="K93" s="68" t="n"/>
      <c r="L93" s="67" t="n"/>
    </row>
    <row r="94" ht="14.45" customHeight="1" s="577">
      <c r="B94" s="67" t="n"/>
      <c r="C94" s="67" t="n"/>
      <c r="D94" s="67" t="n"/>
      <c r="E94" s="67" t="n"/>
      <c r="F94" s="67" t="n"/>
      <c r="G94" s="67" t="n"/>
      <c r="H94" s="67" t="n"/>
      <c r="I94" s="68" t="n"/>
      <c r="J94" s="68" t="n"/>
      <c r="K94" s="68" t="n"/>
      <c r="L94" s="67" t="n"/>
    </row>
    <row r="95" ht="14.45" customHeight="1" s="577">
      <c r="B95" s="67" t="n"/>
      <c r="C95" s="67" t="n"/>
      <c r="D95" s="67" t="n"/>
      <c r="E95" s="67" t="n"/>
      <c r="F95" s="67" t="n"/>
      <c r="G95" s="67" t="n"/>
      <c r="H95" s="67" t="n"/>
      <c r="I95" s="68" t="n"/>
      <c r="J95" s="68" t="n"/>
      <c r="K95" s="68" t="n"/>
      <c r="L95" s="67" t="n"/>
    </row>
    <row r="96" ht="14.45" customHeight="1" s="577">
      <c r="B96" s="67" t="n"/>
      <c r="C96" s="67" t="n"/>
      <c r="D96" s="67" t="n"/>
      <c r="E96" s="67" t="n"/>
      <c r="F96" s="67" t="n"/>
      <c r="G96" s="67" t="n"/>
      <c r="H96" s="67" t="n"/>
      <c r="I96" s="68" t="n"/>
      <c r="J96" s="68" t="n"/>
      <c r="K96" s="68" t="n"/>
      <c r="L96" s="67" t="n"/>
    </row>
    <row r="97" ht="14.45" customHeight="1" s="577">
      <c r="B97" s="67" t="n"/>
      <c r="C97" s="67" t="n"/>
      <c r="D97" s="67" t="n"/>
      <c r="E97" s="67" t="n"/>
      <c r="F97" s="67" t="n"/>
      <c r="G97" s="67" t="n"/>
      <c r="H97" s="67" t="n"/>
      <c r="I97" s="68" t="n"/>
      <c r="J97" s="68" t="n"/>
      <c r="K97" s="68" t="n"/>
      <c r="L97" s="67" t="n"/>
    </row>
    <row r="98" ht="14.45" customHeight="1" s="577">
      <c r="B98" s="67" t="n"/>
      <c r="C98" s="67" t="n"/>
      <c r="D98" s="67" t="n"/>
      <c r="E98" s="67" t="n"/>
      <c r="F98" s="67" t="n"/>
      <c r="G98" s="67" t="n"/>
      <c r="H98" s="67" t="n"/>
      <c r="I98" s="68" t="n"/>
      <c r="J98" s="68" t="n"/>
      <c r="K98" s="68" t="n"/>
      <c r="L98" s="67" t="n"/>
    </row>
    <row r="99" ht="14.45" customHeight="1" s="577">
      <c r="B99" s="67" t="n"/>
      <c r="C99" s="67" t="n"/>
      <c r="D99" s="67" t="n"/>
      <c r="E99" s="67" t="n"/>
      <c r="F99" s="67" t="n"/>
      <c r="G99" s="67" t="n"/>
      <c r="H99" s="67" t="n"/>
      <c r="I99" s="68" t="n"/>
      <c r="J99" s="68" t="n"/>
      <c r="K99" s="68" t="n"/>
      <c r="L99" s="67" t="n"/>
    </row>
    <row r="100" ht="14.45" customHeight="1" s="577">
      <c r="B100" s="67" t="n"/>
      <c r="C100" s="67" t="n"/>
      <c r="D100" s="67" t="n"/>
      <c r="E100" s="67" t="n"/>
      <c r="F100" s="67" t="n"/>
      <c r="G100" s="67" t="n"/>
      <c r="H100" s="67" t="n"/>
      <c r="I100" s="68" t="n"/>
      <c r="J100" s="68" t="n"/>
      <c r="K100" s="68" t="n"/>
      <c r="L100" s="67" t="n"/>
    </row>
    <row r="101" ht="14.45" customHeight="1" s="577">
      <c r="B101" s="67" t="n"/>
      <c r="C101" s="67" t="n"/>
      <c r="D101" s="67" t="n"/>
      <c r="E101" s="67" t="n"/>
      <c r="F101" s="67" t="n"/>
      <c r="G101" s="67" t="n"/>
      <c r="H101" s="67" t="n"/>
      <c r="I101" s="68" t="n"/>
      <c r="J101" s="68" t="n"/>
      <c r="K101" s="68" t="n"/>
      <c r="L101" s="67" t="n"/>
    </row>
  </sheetData>
  <mergeCells count="8">
    <mergeCell ref="P26:Q26"/>
    <mergeCell ref="O31:Q63"/>
    <mergeCell ref="I2:K2"/>
    <mergeCell ref="Q21:R21"/>
    <mergeCell ref="C2:G2"/>
    <mergeCell ref="Q23:R23"/>
    <mergeCell ref="S4:S17"/>
    <mergeCell ref="O26:O30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tabColor theme="3" tint="0.8999908444471572"/>
    <outlinePr summaryBelow="1" summaryRight="1"/>
    <pageSetUpPr/>
  </sheetPr>
  <dimension ref="B2:M26"/>
  <sheetViews>
    <sheetView workbookViewId="0">
      <selection activeCell="A37" sqref="A37"/>
    </sheetView>
  </sheetViews>
  <sheetFormatPr baseColWidth="8" defaultRowHeight="15"/>
  <cols>
    <col width="25.42578125" customWidth="1" style="577" min="3" max="3"/>
    <col width="35.85546875" customWidth="1" style="577" min="4" max="4"/>
    <col width="15.85546875" customWidth="1" style="577" min="5" max="5"/>
    <col width="12.140625" customWidth="1" style="577" min="6" max="6"/>
    <col width="14.85546875" customWidth="1" style="577" min="7" max="7"/>
    <col width="12.140625" customWidth="1" style="577" min="8" max="8"/>
    <col width="15.85546875" customWidth="1" style="577" min="9" max="12"/>
    <col width="38.7109375" customWidth="1" style="577" min="13" max="13"/>
  </cols>
  <sheetData>
    <row r="1" ht="15" customHeight="1" s="577" thickBot="1"/>
    <row r="2" ht="57.75" customHeight="1" s="577">
      <c r="B2" s="394" t="inlineStr">
        <is>
          <t>Orders Per day</t>
        </is>
      </c>
      <c r="C2" s="395" t="inlineStr">
        <is>
          <t>Spending Category (If GMP, Enter GMP as the category</t>
        </is>
      </c>
      <c r="D2" s="395" t="inlineStr">
        <is>
          <t>Spending Type</t>
        </is>
      </c>
      <c r="E2" s="395" t="inlineStr">
        <is>
          <t>Taxable? (If GMP, Select "No")</t>
        </is>
      </c>
      <c r="F2" s="395" t="inlineStr">
        <is>
          <t>Request Team</t>
        </is>
      </c>
      <c r="G2" s="395" t="inlineStr">
        <is>
          <t>CAPEX/OPEX (Selecting OPEX is very rare)</t>
        </is>
      </c>
      <c r="H2" s="395" t="inlineStr">
        <is>
          <t>Previously Approved?</t>
        </is>
      </c>
      <c r="I2" s="395" t="inlineStr">
        <is>
          <t>Previous ROM Cost (If using GMP)</t>
        </is>
      </c>
      <c r="J2" s="395" t="inlineStr">
        <is>
          <t>GMP/ROM (Enter most up to date cost Estimate)</t>
        </is>
      </c>
      <c r="K2" s="395" t="inlineStr">
        <is>
          <t>Delta (If using ROM, leave column empty)</t>
        </is>
      </c>
      <c r="L2" s="395" t="inlineStr">
        <is>
          <t>Contingency</t>
        </is>
      </c>
      <c r="M2" s="396" t="inlineStr">
        <is>
          <t>Cost Bridge (Please be as detailed as possible)</t>
        </is>
      </c>
    </row>
    <row r="3" ht="22.5" customHeight="1" s="577">
      <c r="B3" s="582" t="inlineStr">
        <is>
          <t>1500 Orders Per Day</t>
        </is>
      </c>
      <c r="C3" s="384" t="n"/>
      <c r="D3" s="384" t="n"/>
      <c r="E3" s="384" t="n"/>
      <c r="F3" s="384" t="n"/>
      <c r="G3" s="384" t="n"/>
      <c r="H3" s="384" t="n"/>
      <c r="I3" s="385" t="n"/>
      <c r="J3" s="386" t="n"/>
      <c r="K3" s="385" t="n"/>
      <c r="L3" s="386" t="n"/>
      <c r="M3" s="387" t="n"/>
    </row>
    <row r="4" ht="15" customHeight="1" s="577">
      <c r="B4" s="499" t="n"/>
      <c r="C4" s="369" t="inlineStr">
        <is>
          <t>Previously Approved Funds</t>
        </is>
      </c>
      <c r="D4" s="369" t="inlineStr">
        <is>
          <t xml:space="preserve">Shelving </t>
        </is>
      </c>
      <c r="E4" s="369" t="inlineStr">
        <is>
          <t>Yes</t>
        </is>
      </c>
      <c r="F4" s="378" t="inlineStr">
        <is>
          <t>Startup</t>
        </is>
      </c>
      <c r="G4" s="369" t="inlineStr">
        <is>
          <t>CAPEX</t>
        </is>
      </c>
      <c r="H4" s="369" t="inlineStr">
        <is>
          <t>Yes</t>
        </is>
      </c>
      <c r="I4" s="22" t="n"/>
      <c r="J4" s="380" t="n">
        <v>31278</v>
      </c>
      <c r="K4" s="22" t="n"/>
      <c r="L4" s="380" t="n">
        <v>0</v>
      </c>
      <c r="M4" s="388" t="n"/>
    </row>
    <row r="5" ht="15" customHeight="1" s="577">
      <c r="B5" s="499" t="n"/>
      <c r="C5" s="369" t="inlineStr">
        <is>
          <t>Startup Costs</t>
        </is>
      </c>
      <c r="D5" s="369" t="inlineStr">
        <is>
          <t>Startup Costs 3P support</t>
        </is>
      </c>
      <c r="E5" s="369" t="inlineStr">
        <is>
          <t>No</t>
        </is>
      </c>
      <c r="F5" s="378" t="inlineStr">
        <is>
          <t>Startup</t>
        </is>
      </c>
      <c r="G5" s="369" t="inlineStr">
        <is>
          <t>CAPEX</t>
        </is>
      </c>
      <c r="H5" s="369" t="inlineStr">
        <is>
          <t>No</t>
        </is>
      </c>
      <c r="I5" s="22" t="n"/>
      <c r="J5" s="380" t="n">
        <v>20000</v>
      </c>
      <c r="K5" s="22" t="n"/>
      <c r="L5" s="380" t="n">
        <v>0</v>
      </c>
      <c r="M5" s="388" t="n"/>
    </row>
    <row r="6" ht="15" customHeight="1" s="577">
      <c r="B6" s="499" t="n"/>
      <c r="C6" s="369" t="inlineStr">
        <is>
          <t>Startup Costs</t>
        </is>
      </c>
      <c r="D6" s="369" t="inlineStr">
        <is>
          <t>Phys Sec</t>
        </is>
      </c>
      <c r="E6" s="369" t="inlineStr">
        <is>
          <t>Yes</t>
        </is>
      </c>
      <c r="F6" s="378" t="inlineStr">
        <is>
          <t>Startup</t>
        </is>
      </c>
      <c r="G6" s="369" t="inlineStr">
        <is>
          <t>CAPEX</t>
        </is>
      </c>
      <c r="H6" s="369" t="inlineStr">
        <is>
          <t>No</t>
        </is>
      </c>
      <c r="I6" s="22" t="n"/>
      <c r="J6" s="379" t="n">
        <v>5000</v>
      </c>
      <c r="K6" s="22" t="n"/>
      <c r="L6" s="379" t="n">
        <v>0</v>
      </c>
      <c r="M6" s="388" t="n"/>
    </row>
    <row r="7" ht="15" customHeight="1" s="577">
      <c r="B7" s="499" t="n"/>
      <c r="C7" s="369" t="inlineStr">
        <is>
          <t>Previously Approved Funds</t>
        </is>
      </c>
      <c r="D7" s="369" t="inlineStr">
        <is>
          <t>IT Devices</t>
        </is>
      </c>
      <c r="E7" s="369" t="inlineStr">
        <is>
          <t>Yes</t>
        </is>
      </c>
      <c r="F7" s="378" t="inlineStr">
        <is>
          <t>Startup</t>
        </is>
      </c>
      <c r="G7" s="369" t="inlineStr">
        <is>
          <t>CAPEX</t>
        </is>
      </c>
      <c r="H7" s="369" t="inlineStr">
        <is>
          <t>Yes</t>
        </is>
      </c>
      <c r="I7" s="22" t="n"/>
      <c r="J7" s="379" t="n">
        <v>11486.09</v>
      </c>
      <c r="K7" s="22" t="n"/>
      <c r="L7" s="379" t="n">
        <v>0</v>
      </c>
      <c r="M7" s="388" t="n"/>
    </row>
    <row r="8" ht="15" customHeight="1" s="577">
      <c r="B8" s="499" t="n"/>
      <c r="C8" s="369" t="inlineStr">
        <is>
          <t>Startup Costs</t>
        </is>
      </c>
      <c r="D8" s="369" t="inlineStr">
        <is>
          <t>Arc Flash Test</t>
        </is>
      </c>
      <c r="E8" s="369" t="inlineStr">
        <is>
          <t>Yes</t>
        </is>
      </c>
      <c r="F8" s="378" t="inlineStr">
        <is>
          <t>Startup</t>
        </is>
      </c>
      <c r="G8" s="369" t="inlineStr">
        <is>
          <t>CAPEX</t>
        </is>
      </c>
      <c r="H8" s="369" t="inlineStr">
        <is>
          <t>No</t>
        </is>
      </c>
      <c r="I8" s="22" t="n"/>
      <c r="J8" s="379" t="n">
        <v>8590</v>
      </c>
      <c r="K8" s="22" t="n"/>
      <c r="L8" s="379" t="n">
        <v>0</v>
      </c>
      <c r="M8" s="388" t="n"/>
    </row>
    <row r="9" ht="15" customHeight="1" s="577">
      <c r="B9" s="499" t="n"/>
      <c r="C9" s="369" t="inlineStr">
        <is>
          <t>Startup Costs</t>
        </is>
      </c>
      <c r="D9" s="369" t="inlineStr">
        <is>
          <t>Module UINs</t>
        </is>
      </c>
      <c r="E9" s="369" t="inlineStr">
        <is>
          <t>Yes</t>
        </is>
      </c>
      <c r="F9" s="378" t="inlineStr">
        <is>
          <t>Startup</t>
        </is>
      </c>
      <c r="G9" s="369" t="inlineStr">
        <is>
          <t>CAPEX</t>
        </is>
      </c>
      <c r="H9" s="369" t="inlineStr">
        <is>
          <t>No</t>
        </is>
      </c>
      <c r="I9" s="22" t="n"/>
      <c r="J9" s="379" t="n">
        <v>13531.55</v>
      </c>
      <c r="K9" s="22" t="n"/>
      <c r="L9" s="379" t="n">
        <v>0</v>
      </c>
      <c r="M9" s="388" t="n"/>
    </row>
    <row r="10" ht="15" customHeight="1" s="577">
      <c r="B10" s="499" t="n"/>
      <c r="C10" s="369" t="inlineStr">
        <is>
          <t>Previously Approved Funds</t>
        </is>
      </c>
      <c r="D10" s="369" t="inlineStr">
        <is>
          <t>Cooling Fixture Package</t>
        </is>
      </c>
      <c r="E10" s="369" t="inlineStr">
        <is>
          <t>Yes</t>
        </is>
      </c>
      <c r="F10" s="378" t="inlineStr">
        <is>
          <t>Startup</t>
        </is>
      </c>
      <c r="G10" s="369" t="inlineStr">
        <is>
          <t>CAPEX</t>
        </is>
      </c>
      <c r="H10" s="369" t="inlineStr">
        <is>
          <t>Yes</t>
        </is>
      </c>
      <c r="I10" s="22" t="n"/>
      <c r="J10" s="379" t="n">
        <v>57300</v>
      </c>
      <c r="K10" s="22" t="n"/>
      <c r="L10" s="379" t="n">
        <v>0</v>
      </c>
      <c r="M10" s="388" t="n"/>
    </row>
    <row r="11" ht="15" customHeight="1" s="577" thickBot="1">
      <c r="B11" s="583" t="n"/>
      <c r="C11" s="389" t="inlineStr">
        <is>
          <t>Previously Approved Funds</t>
        </is>
      </c>
      <c r="D11" s="389" t="inlineStr">
        <is>
          <t>Cooling Fixture Temp Monitoring Package</t>
        </is>
      </c>
      <c r="E11" s="389" t="inlineStr">
        <is>
          <t>Yes</t>
        </is>
      </c>
      <c r="F11" s="390" t="inlineStr">
        <is>
          <t>Startup</t>
        </is>
      </c>
      <c r="G11" s="389" t="inlineStr">
        <is>
          <t>CAPEX</t>
        </is>
      </c>
      <c r="H11" s="389" t="inlineStr">
        <is>
          <t>Yes</t>
        </is>
      </c>
      <c r="I11" s="391" t="n"/>
      <c r="J11" s="392" t="n">
        <v>3065</v>
      </c>
      <c r="K11" s="391" t="n"/>
      <c r="L11" s="392" t="n">
        <v>0</v>
      </c>
      <c r="M11" s="393" t="n"/>
    </row>
    <row r="12">
      <c r="B12" s="584" t="inlineStr">
        <is>
          <t>1250 Orders Per Day</t>
        </is>
      </c>
      <c r="C12" s="397" t="inlineStr">
        <is>
          <t>Previously Approved Funds</t>
        </is>
      </c>
      <c r="D12" s="398" t="inlineStr">
        <is>
          <t xml:space="preserve">Shelving </t>
        </is>
      </c>
      <c r="E12" s="398" t="inlineStr">
        <is>
          <t>Yes</t>
        </is>
      </c>
      <c r="F12" s="399" t="inlineStr">
        <is>
          <t>Startup</t>
        </is>
      </c>
      <c r="G12" s="398" t="inlineStr">
        <is>
          <t>CAPEX</t>
        </is>
      </c>
      <c r="H12" s="398" t="inlineStr">
        <is>
          <t>No</t>
        </is>
      </c>
      <c r="I12" s="385" t="n"/>
      <c r="J12" s="705" t="n">
        <v>26458.41</v>
      </c>
      <c r="K12" s="385" t="n"/>
      <c r="L12" s="706" t="n">
        <v>0</v>
      </c>
      <c r="M12" s="387" t="n"/>
    </row>
    <row r="13">
      <c r="B13" s="499" t="n"/>
      <c r="C13" s="367" t="inlineStr">
        <is>
          <t>Startup Costs</t>
        </is>
      </c>
      <c r="D13" s="368" t="inlineStr">
        <is>
          <t>Startup Costs 3P support</t>
        </is>
      </c>
      <c r="E13" s="368" t="inlineStr">
        <is>
          <t>No</t>
        </is>
      </c>
      <c r="F13" s="366" t="inlineStr">
        <is>
          <t>Startup</t>
        </is>
      </c>
      <c r="G13" s="368" t="inlineStr">
        <is>
          <t>CAPEX</t>
        </is>
      </c>
      <c r="H13" s="368" t="inlineStr">
        <is>
          <t>No</t>
        </is>
      </c>
      <c r="I13" s="22" t="n"/>
      <c r="J13" s="707" t="n">
        <v>20000</v>
      </c>
      <c r="K13" s="22" t="n"/>
      <c r="L13" s="708" t="n">
        <v>0</v>
      </c>
      <c r="M13" s="388" t="n"/>
    </row>
    <row r="14">
      <c r="B14" s="499" t="n"/>
      <c r="C14" s="367" t="inlineStr">
        <is>
          <t>Startup Costs</t>
        </is>
      </c>
      <c r="D14" s="368" t="inlineStr">
        <is>
          <t>Phys Sec</t>
        </is>
      </c>
      <c r="E14" s="368" t="inlineStr">
        <is>
          <t>Yes</t>
        </is>
      </c>
      <c r="F14" s="366" t="inlineStr">
        <is>
          <t>Startup</t>
        </is>
      </c>
      <c r="G14" s="368" t="inlineStr">
        <is>
          <t>CAPEX</t>
        </is>
      </c>
      <c r="H14" s="368" t="inlineStr">
        <is>
          <t>No</t>
        </is>
      </c>
      <c r="I14" s="22" t="n"/>
      <c r="J14" s="709" t="n">
        <v>5000</v>
      </c>
      <c r="K14" s="22" t="n"/>
      <c r="L14" s="710" t="n">
        <v>0</v>
      </c>
      <c r="M14" s="388" t="n"/>
    </row>
    <row r="15">
      <c r="B15" s="499" t="n"/>
      <c r="C15" s="367" t="inlineStr">
        <is>
          <t>Previously Approved Funds</t>
        </is>
      </c>
      <c r="D15" s="368" t="inlineStr">
        <is>
          <t>IT Devices</t>
        </is>
      </c>
      <c r="E15" s="368" t="inlineStr">
        <is>
          <t>Yes</t>
        </is>
      </c>
      <c r="F15" s="366" t="inlineStr">
        <is>
          <t>Startup</t>
        </is>
      </c>
      <c r="G15" s="368" t="inlineStr">
        <is>
          <t>CAPEX</t>
        </is>
      </c>
      <c r="H15" s="368" t="inlineStr">
        <is>
          <t>Yes</t>
        </is>
      </c>
      <c r="I15" s="22" t="n"/>
      <c r="J15" s="709" t="n">
        <v>11486.09</v>
      </c>
      <c r="K15" s="22" t="n"/>
      <c r="L15" s="710" t="n">
        <v>0</v>
      </c>
      <c r="M15" s="388" t="n"/>
    </row>
    <row r="16">
      <c r="B16" s="499" t="n"/>
      <c r="C16" s="367" t="inlineStr">
        <is>
          <t>Startup Costs</t>
        </is>
      </c>
      <c r="D16" s="368" t="inlineStr">
        <is>
          <t>Arc Flash Test</t>
        </is>
      </c>
      <c r="E16" s="368" t="inlineStr">
        <is>
          <t>Yes</t>
        </is>
      </c>
      <c r="F16" s="366" t="inlineStr">
        <is>
          <t>Startup</t>
        </is>
      </c>
      <c r="G16" s="368" t="inlineStr">
        <is>
          <t>CAPEX</t>
        </is>
      </c>
      <c r="H16" s="368" t="inlineStr">
        <is>
          <t>No</t>
        </is>
      </c>
      <c r="I16" s="22" t="n"/>
      <c r="J16" s="709" t="n">
        <v>8590</v>
      </c>
      <c r="K16" s="22" t="n"/>
      <c r="L16" s="710" t="n">
        <v>0</v>
      </c>
      <c r="M16" s="388" t="n"/>
    </row>
    <row r="17">
      <c r="B17" s="499" t="n"/>
      <c r="C17" s="367" t="inlineStr">
        <is>
          <t>Startup Costs</t>
        </is>
      </c>
      <c r="D17" s="368" t="inlineStr">
        <is>
          <t>Module UINs</t>
        </is>
      </c>
      <c r="E17" s="368" t="inlineStr">
        <is>
          <t>Yes</t>
        </is>
      </c>
      <c r="F17" s="366" t="inlineStr">
        <is>
          <t>Startup</t>
        </is>
      </c>
      <c r="G17" s="368" t="inlineStr">
        <is>
          <t>CAPEX</t>
        </is>
      </c>
      <c r="H17" s="368" t="inlineStr">
        <is>
          <t>No</t>
        </is>
      </c>
      <c r="I17" s="22" t="n"/>
      <c r="J17" s="709" t="n">
        <v>13531.55</v>
      </c>
      <c r="K17" s="22" t="n"/>
      <c r="L17" s="710" t="n">
        <v>0</v>
      </c>
      <c r="M17" s="388" t="n"/>
    </row>
    <row r="18">
      <c r="B18" s="499" t="n"/>
      <c r="C18" s="367" t="inlineStr">
        <is>
          <t>Previously Approved Funds</t>
        </is>
      </c>
      <c r="D18" s="368" t="inlineStr">
        <is>
          <t>Cooling Fixture Package</t>
        </is>
      </c>
      <c r="E18" s="368" t="inlineStr">
        <is>
          <t>Yes</t>
        </is>
      </c>
      <c r="F18" s="366" t="inlineStr">
        <is>
          <t>Startup</t>
        </is>
      </c>
      <c r="G18" s="368" t="inlineStr">
        <is>
          <t>CAPEX</t>
        </is>
      </c>
      <c r="H18" s="368" t="inlineStr">
        <is>
          <t>Yes</t>
        </is>
      </c>
      <c r="I18" s="22" t="n"/>
      <c r="J18" s="709" t="n">
        <v>48675</v>
      </c>
      <c r="K18" s="22" t="n"/>
      <c r="L18" s="710" t="n">
        <v>0</v>
      </c>
      <c r="M18" s="388" t="n"/>
    </row>
    <row r="19" ht="15" customHeight="1" s="577">
      <c r="B19" s="499" t="n"/>
      <c r="C19" s="402" t="inlineStr">
        <is>
          <t>Previously Approved Funds</t>
        </is>
      </c>
      <c r="D19" s="403" t="inlineStr">
        <is>
          <t>Cooling Fixture Temp Monitoring Package</t>
        </is>
      </c>
      <c r="E19" s="403" t="inlineStr">
        <is>
          <t>Yes</t>
        </is>
      </c>
      <c r="F19" s="404" t="inlineStr">
        <is>
          <t>Startup</t>
        </is>
      </c>
      <c r="G19" s="403" t="inlineStr">
        <is>
          <t>CAPEX</t>
        </is>
      </c>
      <c r="H19" s="403" t="inlineStr">
        <is>
          <t>Yes</t>
        </is>
      </c>
      <c r="I19" s="99" t="n"/>
      <c r="J19" s="711" t="n">
        <v>2655.75</v>
      </c>
      <c r="K19" s="99" t="n"/>
      <c r="L19" s="712" t="n">
        <v>0</v>
      </c>
      <c r="M19" s="407" t="n"/>
    </row>
    <row r="20" ht="15" customHeight="1" s="577">
      <c r="B20" s="585" t="inlineStr">
        <is>
          <t>1000 Orders Per day</t>
        </is>
      </c>
      <c r="C20" s="409" t="inlineStr">
        <is>
          <t>Previously Approved Funds</t>
        </is>
      </c>
      <c r="D20" s="410" t="inlineStr">
        <is>
          <t>Cooling Fixture Package</t>
        </is>
      </c>
      <c r="E20" s="411" t="inlineStr">
        <is>
          <t>No</t>
        </is>
      </c>
      <c r="F20" s="412" t="inlineStr">
        <is>
          <t>Startup</t>
        </is>
      </c>
      <c r="G20" s="411" t="inlineStr">
        <is>
          <t>CAPEX</t>
        </is>
      </c>
      <c r="H20" s="413" t="inlineStr">
        <is>
          <t>Yes</t>
        </is>
      </c>
      <c r="I20" s="385" t="n"/>
      <c r="J20" s="713" t="n">
        <v>42222</v>
      </c>
      <c r="K20" s="385" t="n"/>
      <c r="L20" s="705" t="n">
        <v>0</v>
      </c>
      <c r="M20" s="416" t="inlineStr">
        <is>
          <t>Per SUEX Cost Matrix 1.12 for 1K order site</t>
        </is>
      </c>
    </row>
    <row r="21" ht="15" customHeight="1" s="577">
      <c r="B21" s="499" t="n"/>
      <c r="C21" s="409" t="inlineStr">
        <is>
          <t>Previously Approved Funds</t>
        </is>
      </c>
      <c r="D21" s="411" t="inlineStr">
        <is>
          <t>Base Startup BOM costs - Racking</t>
        </is>
      </c>
      <c r="E21" s="411" t="inlineStr">
        <is>
          <t>Yes</t>
        </is>
      </c>
      <c r="F21" s="411" t="inlineStr">
        <is>
          <t>Startup</t>
        </is>
      </c>
      <c r="G21" s="411" t="inlineStr">
        <is>
          <t>CAPEX</t>
        </is>
      </c>
      <c r="H21" s="413" t="inlineStr">
        <is>
          <t>Yes</t>
        </is>
      </c>
      <c r="I21" s="22" t="n"/>
      <c r="J21" s="699" t="n">
        <v>20722</v>
      </c>
      <c r="K21" s="22" t="n"/>
      <c r="L21" s="707" t="n">
        <v>0</v>
      </c>
      <c r="M21" s="416" t="inlineStr">
        <is>
          <t>Per SUEX Cost Matrix 1.12 for 1K order site</t>
        </is>
      </c>
    </row>
    <row r="22" ht="15" customHeight="1" s="577">
      <c r="B22" s="499" t="n"/>
      <c r="C22" s="409" t="inlineStr">
        <is>
          <t>Startup Costs</t>
        </is>
      </c>
      <c r="D22" s="411" t="inlineStr">
        <is>
          <t xml:space="preserve"> Startup Costs 3P support</t>
        </is>
      </c>
      <c r="E22" s="411" t="inlineStr">
        <is>
          <t>No</t>
        </is>
      </c>
      <c r="F22" s="411" t="inlineStr">
        <is>
          <t>Startup</t>
        </is>
      </c>
      <c r="G22" s="411" t="inlineStr">
        <is>
          <t>CAPEX</t>
        </is>
      </c>
      <c r="H22" s="413" t="inlineStr">
        <is>
          <t>No</t>
        </is>
      </c>
      <c r="I22" s="22" t="n"/>
      <c r="J22" s="713" t="n">
        <v>19880</v>
      </c>
      <c r="K22" s="22" t="n"/>
      <c r="L22" s="707" t="n">
        <v>0</v>
      </c>
      <c r="M22" s="416" t="inlineStr">
        <is>
          <t>Per SUEX Cost Matrix 1.12 for 1K order site</t>
        </is>
      </c>
    </row>
    <row r="23" ht="15" customHeight="1" s="577">
      <c r="B23" s="499" t="n"/>
      <c r="C23" s="409" t="inlineStr">
        <is>
          <t>Startup Costs</t>
        </is>
      </c>
      <c r="D23" s="411" t="inlineStr">
        <is>
          <t>Phys Sec</t>
        </is>
      </c>
      <c r="E23" s="411" t="inlineStr">
        <is>
          <t>Yes</t>
        </is>
      </c>
      <c r="F23" s="411" t="inlineStr">
        <is>
          <t>Startup</t>
        </is>
      </c>
      <c r="G23" s="411" t="inlineStr">
        <is>
          <t>CAPEX</t>
        </is>
      </c>
      <c r="H23" s="413" t="inlineStr">
        <is>
          <t>No</t>
        </is>
      </c>
      <c r="I23" s="22" t="n"/>
      <c r="J23" s="714" t="n">
        <v>5000</v>
      </c>
      <c r="K23" s="22" t="n"/>
      <c r="L23" s="709" t="n">
        <v>0</v>
      </c>
      <c r="M23" s="416" t="inlineStr">
        <is>
          <t>Per SUEX Cost Matrix 1.12 for 1K order site</t>
        </is>
      </c>
    </row>
    <row r="24" ht="15" customHeight="1" s="577">
      <c r="B24" s="499" t="n"/>
      <c r="C24" s="409" t="inlineStr">
        <is>
          <t>Previously Approved Funds</t>
        </is>
      </c>
      <c r="D24" s="411" t="inlineStr">
        <is>
          <t>IT Devices</t>
        </is>
      </c>
      <c r="E24" s="411" t="inlineStr">
        <is>
          <t>Yes</t>
        </is>
      </c>
      <c r="F24" s="411" t="inlineStr">
        <is>
          <t>Startup</t>
        </is>
      </c>
      <c r="G24" s="411" t="inlineStr">
        <is>
          <t>CAPEX</t>
        </is>
      </c>
      <c r="H24" s="413" t="inlineStr">
        <is>
          <t>Yes</t>
        </is>
      </c>
      <c r="I24" s="22" t="n"/>
      <c r="J24" s="699" t="n">
        <v>11486.09</v>
      </c>
      <c r="K24" s="22" t="n"/>
      <c r="L24" s="709" t="n">
        <v>0</v>
      </c>
      <c r="M24" s="416" t="inlineStr">
        <is>
          <t>Per SUEX Cost Matrix 1.12 for 1K order site</t>
        </is>
      </c>
    </row>
    <row r="25" ht="15" customHeight="1" s="577">
      <c r="B25" s="499" t="n"/>
      <c r="C25" s="409" t="inlineStr">
        <is>
          <t>Startup Costs</t>
        </is>
      </c>
      <c r="D25" s="411" t="inlineStr">
        <is>
          <t>Arc Flash Test</t>
        </is>
      </c>
      <c r="E25" s="411" t="inlineStr">
        <is>
          <t>Yes</t>
        </is>
      </c>
      <c r="F25" s="411" t="inlineStr">
        <is>
          <t>Startup</t>
        </is>
      </c>
      <c r="G25" s="411" t="inlineStr">
        <is>
          <t>CAPEX</t>
        </is>
      </c>
      <c r="H25" s="413" t="inlineStr">
        <is>
          <t>No</t>
        </is>
      </c>
      <c r="I25" s="22" t="n"/>
      <c r="J25" s="714" t="n">
        <v>8590</v>
      </c>
      <c r="K25" s="22" t="n"/>
      <c r="L25" s="709" t="n">
        <v>0</v>
      </c>
      <c r="M25" s="416" t="inlineStr">
        <is>
          <t>Per SUEX Cost Matrix 1.12 for 1K order site</t>
        </is>
      </c>
    </row>
    <row r="26" ht="15" customHeight="1" s="577">
      <c r="B26" s="500" t="n"/>
      <c r="C26" s="409" t="inlineStr">
        <is>
          <t>Startup Costs</t>
        </is>
      </c>
      <c r="D26" s="411" t="inlineStr">
        <is>
          <t>Module UINs</t>
        </is>
      </c>
      <c r="E26" s="411" t="inlineStr">
        <is>
          <t>Yes</t>
        </is>
      </c>
      <c r="F26" s="411" t="inlineStr">
        <is>
          <t>Startup</t>
        </is>
      </c>
      <c r="G26" s="411" t="inlineStr">
        <is>
          <t>CAPEX</t>
        </is>
      </c>
      <c r="H26" s="413" t="inlineStr">
        <is>
          <t>No</t>
        </is>
      </c>
      <c r="I26" s="391" t="n"/>
      <c r="J26" s="699" t="n">
        <v>13531.55</v>
      </c>
      <c r="K26" s="391" t="n"/>
      <c r="L26" s="715" t="n">
        <v>0</v>
      </c>
      <c r="M26" s="416" t="inlineStr">
        <is>
          <t>Per SUEX Cost Matrix 1.12 for 1K order site</t>
        </is>
      </c>
    </row>
    <row r="27" ht="15" customHeight="1" s="577"/>
  </sheetData>
  <mergeCells count="3">
    <mergeCell ref="B3:B11"/>
    <mergeCell ref="B12:B19"/>
    <mergeCell ref="B20:B26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tabColor theme="3" tint="0.8999908444471572"/>
    <outlinePr summaryBelow="1" summaryRight="1"/>
    <pageSetUpPr/>
  </sheetPr>
  <dimension ref="A1:A1"/>
  <sheetViews>
    <sheetView showGridLines="0" topLeftCell="A6" workbookViewId="0">
      <selection activeCell="Q24" sqref="Q24"/>
    </sheetView>
  </sheetViews>
  <sheetFormatPr baseColWidth="8" defaultRowHeight="1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tabColor rgb="FF92D050"/>
    <outlinePr summaryBelow="1" summaryRight="1"/>
    <pageSetUpPr/>
  </sheetPr>
  <dimension ref="A1:A1"/>
  <sheetViews>
    <sheetView showGridLines="0" workbookViewId="0">
      <selection activeCell="B2" sqref="B2"/>
    </sheetView>
  </sheetViews>
  <sheetFormatPr baseColWidth="8" defaultRowHeight="1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tabColor rgb="FF92D050"/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tabColor theme="3" tint="0.8999908444471572"/>
    <outlinePr summaryBelow="1" summaryRight="1"/>
    <pageSetUpPr/>
  </sheetPr>
  <dimension ref="B3:E3"/>
  <sheetViews>
    <sheetView workbookViewId="0">
      <selection activeCell="E12" sqref="E12"/>
    </sheetView>
  </sheetViews>
  <sheetFormatPr baseColWidth="8" defaultRowHeight="15"/>
  <cols>
    <col width="11" bestFit="1" customWidth="1" style="577" min="2" max="2"/>
    <col width="12.42578125" bestFit="1" customWidth="1" style="577" min="3" max="3"/>
    <col width="20.28515625" bestFit="1" customWidth="1" style="577" min="4" max="4"/>
    <col width="100.5703125" customWidth="1" style="577" min="5" max="5"/>
  </cols>
  <sheetData>
    <row r="3">
      <c r="B3" t="inlineStr">
        <is>
          <t>Update Date</t>
        </is>
      </c>
      <c r="C3" t="inlineStr">
        <is>
          <t>Update Owner</t>
        </is>
      </c>
      <c r="D3" t="inlineStr">
        <is>
          <t>Link To Previous Version</t>
        </is>
      </c>
      <c r="E3" t="inlineStr">
        <is>
          <t>Reason for update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tabColor theme="2" tint="-0.09997863704336681"/>
    <outlinePr summaryBelow="1" summaryRight="1"/>
    <pageSetUpPr/>
  </sheetPr>
  <dimension ref="B2:C11"/>
  <sheetViews>
    <sheetView showGridLines="0" workbookViewId="0">
      <selection activeCell="D33" sqref="D33"/>
    </sheetView>
  </sheetViews>
  <sheetFormatPr baseColWidth="8" defaultRowHeight="15"/>
  <cols>
    <col width="3.140625" customWidth="1" style="577" min="1" max="1"/>
    <col width="51" customWidth="1" style="577" min="2" max="2"/>
    <col width="56.140625" bestFit="1" customWidth="1" style="577" min="3" max="3"/>
  </cols>
  <sheetData>
    <row r="1" ht="15" customHeight="1" s="577" thickBot="1"/>
    <row r="2" ht="15" customHeight="1" s="577" thickBot="1">
      <c r="B2" s="7" t="inlineStr">
        <is>
          <t>Category</t>
        </is>
      </c>
      <c r="C2" s="7" t="inlineStr">
        <is>
          <t>Explanations</t>
        </is>
      </c>
    </row>
    <row r="3">
      <c r="B3" s="588" t="inlineStr">
        <is>
          <t>Financials</t>
        </is>
      </c>
      <c r="C3" s="587" t="inlineStr">
        <is>
          <t>The OP breakeven threshold of 250 orders/day translates to 0.05% PDC based on current forecast. Site needs to cover half or 0.025% PDC within 10-min raidus at 12pm to be deemed as close to demand</t>
        </is>
      </c>
    </row>
    <row r="4">
      <c r="B4" s="499" t="n"/>
      <c r="C4" s="430" t="n"/>
    </row>
    <row r="5">
      <c r="B5" s="500" t="n"/>
      <c r="C5" s="9" t="inlineStr">
        <is>
          <t>Asking rent, with room for negotiation.</t>
        </is>
      </c>
    </row>
    <row r="6" ht="29.1" customHeight="1" s="577">
      <c r="B6" s="586" t="inlineStr">
        <is>
          <t>Site Conditions</t>
        </is>
      </c>
      <c r="C6" s="9" t="inlineStr">
        <is>
          <t>400A or 200A 3 phase is required to support 3.6 DoC, 1k orders/day, based on the current perishable/ambient split</t>
        </is>
      </c>
    </row>
    <row r="7" ht="29.1" customHeight="1" s="577">
      <c r="B7" s="500" t="n"/>
      <c r="C7" s="9" t="inlineStr">
        <is>
          <t>Refrigeration equipment will create significant additional heat in the space. This heat needs to be remediated by the HVAC system.</t>
        </is>
      </c>
    </row>
    <row r="8" ht="72.59999999999999" customHeight="1" s="577">
      <c r="B8" s="586" t="inlineStr">
        <is>
          <t>Operating - Zoning</t>
        </is>
      </c>
      <c r="C8" s="9" t="inlineStr">
        <is>
          <t>Zoning codes are bespoke to each jurisdiction, and are often outdated for modern uses. We will need to be nimble in how we present a QC use to a juridiction, and be flexible in how we operate for those which require things like being partially open to the public. This dovetails with some concerns raised for alcohol use below.</t>
        </is>
      </c>
    </row>
    <row r="9" ht="57.95" customHeight="1" s="577">
      <c r="B9" s="586" t="inlineStr">
        <is>
          <t>Operating - WHS DD</t>
        </is>
      </c>
      <c r="C9" s="9" t="inlineStr">
        <is>
          <t>Life safety and health risk to future associates and construction teams. Primary focus on vapor intrusion issues from nearby dry cleaners and gas stations. Corporate liability from pre-existing contamiantion will be covered via lease.</t>
        </is>
      </c>
    </row>
    <row r="10">
      <c r="B10" s="586" t="inlineStr">
        <is>
          <t>Operating - WHS Safety</t>
        </is>
      </c>
      <c r="C10" s="9" t="inlineStr">
        <is>
          <t>See detailed requirements in Appendix D</t>
        </is>
      </c>
    </row>
    <row r="11" ht="15" customHeight="1" s="577" thickBot="1">
      <c r="B11" s="10" t="inlineStr">
        <is>
          <t>Operating - Other Tenant Exclusives</t>
        </is>
      </c>
      <c r="C11" s="11" t="n"/>
    </row>
  </sheetData>
  <mergeCells count="3">
    <mergeCell ref="B6:B7"/>
    <mergeCell ref="C3:C4"/>
    <mergeCell ref="B3:B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Blethen, Trace</dc:creator>
  <dcterms:created xmlns:dcterms="http://purl.org/dc/terms/" xmlns:xsi="http://www.w3.org/2001/XMLSchema-instance" xsi:type="dcterms:W3CDTF">2025-06-05T17:39:43Z</dcterms:created>
  <dcterms:modified xmlns:dcterms="http://purl.org/dc/terms/" xmlns:xsi="http://www.w3.org/2001/XMLSchema-instance" xsi:type="dcterms:W3CDTF">2026-06-04T19:04:15Z</dcterms:modified>
  <cp:lastModifiedBy>Jason Kirkham</cp:lastModifiedBy>
</cp:coreProperties>
</file>

<file path=docProps/custom.xml><?xml version="1.0" encoding="utf-8"?>
<Properties xmlns="http://schemas.openxmlformats.org/officeDocument/2006/custom-properties">
  <property name="MSIP_Label_929eed6f-34eb-4453-9f97-09510b9b219f_Enabled" fmtid="{D5CDD505-2E9C-101B-9397-08002B2CF9AE}" pid="2">
    <vt:lpwstr xmlns:vt="http://schemas.openxmlformats.org/officeDocument/2006/docPropsVTypes">true</vt:lpwstr>
  </property>
  <property name="MSIP_Label_929eed6f-34eb-4453-9f97-09510b9b219f_SetDate" fmtid="{D5CDD505-2E9C-101B-9397-08002B2CF9AE}" pid="3">
    <vt:lpwstr xmlns:vt="http://schemas.openxmlformats.org/officeDocument/2006/docPropsVTypes">2025-06-05T17:40:59Z</vt:lpwstr>
  </property>
  <property name="MSIP_Label_929eed6f-34eb-4453-9f97-09510b9b219f_Method" fmtid="{D5CDD505-2E9C-101B-9397-08002B2CF9AE}" pid="4">
    <vt:lpwstr xmlns:vt="http://schemas.openxmlformats.org/officeDocument/2006/docPropsVTypes">Standard</vt:lpwstr>
  </property>
  <property name="MSIP_Label_929eed6f-34eb-4453-9f97-09510b9b219f_Name" fmtid="{D5CDD505-2E9C-101B-9397-08002B2CF9AE}" pid="5">
    <vt:lpwstr xmlns:vt="http://schemas.openxmlformats.org/officeDocument/2006/docPropsVTypes">Amazon Pending_Classification</vt:lpwstr>
  </property>
  <property name="MSIP_Label_929eed6f-34eb-4453-9f97-09510b9b219f_SiteId" fmtid="{D5CDD505-2E9C-101B-9397-08002B2CF9AE}" pid="6">
    <vt:lpwstr xmlns:vt="http://schemas.openxmlformats.org/officeDocument/2006/docPropsVTypes">5280104a-472d-4538-9ccf-1e1d0efe8b1b</vt:lpwstr>
  </property>
  <property name="MSIP_Label_929eed6f-34eb-4453-9f97-09510b9b219f_ActionId" fmtid="{D5CDD505-2E9C-101B-9397-08002B2CF9AE}" pid="7">
    <vt:lpwstr xmlns:vt="http://schemas.openxmlformats.org/officeDocument/2006/docPropsVTypes">d8255d3d-c54b-4b48-9bd8-a539a0ed0997</vt:lpwstr>
  </property>
  <property name="MSIP_Label_929eed6f-34eb-4453-9f97-09510b9b219f_ContentBits" fmtid="{D5CDD505-2E9C-101B-9397-08002B2CF9AE}" pid="8">
    <vt:lpwstr xmlns:vt="http://schemas.openxmlformats.org/officeDocument/2006/docPropsVTypes">0</vt:lpwstr>
  </property>
  <property name="MSIP_Label_929eed6f-34eb-4453-9f97-09510b9b219f_Tag" fmtid="{D5CDD505-2E9C-101B-9397-08002B2CF9AE}" pid="9">
    <vt:lpwstr xmlns:vt="http://schemas.openxmlformats.org/officeDocument/2006/docPropsVTypes">10, 3, 0, 1</vt:lpwstr>
  </property>
  <property name="ContentTypeId" fmtid="{D5CDD505-2E9C-101B-9397-08002B2CF9AE}" pid="10">
    <vt:lpwstr xmlns:vt="http://schemas.openxmlformats.org/officeDocument/2006/docPropsVTypes">0x010100DB6F55B1ED12B14CA23F7B68F4FF7F36</vt:lpwstr>
  </property>
</Properties>
</file>