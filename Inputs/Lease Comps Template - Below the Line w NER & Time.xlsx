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hared With Me\Ops RE Transactions\CORE (GCF)\xTemplates\Comps\"/>
    </mc:Choice>
  </mc:AlternateContent>
  <xr:revisionPtr revIDLastSave="0" documentId="13_ncr:1_{E9F55517-0545-48C8-B3D0-C45690553462}" xr6:coauthVersionLast="47" xr6:coauthVersionMax="47" xr10:uidLastSave="{00000000-0000-0000-0000-000000000000}"/>
  <bookViews>
    <workbookView xWindow="-120" yWindow="-120" windowWidth="38640" windowHeight="21120" xr2:uid="{C0A941C2-D361-426F-856B-AA6D7A650ADD}"/>
  </bookViews>
  <sheets>
    <sheet name="AREA - Lease Comp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wk02" hidden="1">{"'vert'!$A$1:$T$117"}</definedName>
    <definedName name="_____wk02_1" hidden="1">{"'vert'!$A$1:$T$117"}</definedName>
    <definedName name="_____wk02_1_1" hidden="1">{"'vert'!$A$1:$T$117"}</definedName>
    <definedName name="_____wk02_1_1_1" hidden="1">{"'vert'!$A$1:$T$117"}</definedName>
    <definedName name="_____wk02_1_2" hidden="1">{"'vert'!$A$1:$T$117"}</definedName>
    <definedName name="_____wk02_2" hidden="1">{"'vert'!$A$1:$T$117"}</definedName>
    <definedName name="_____wk02_2_1" hidden="1">{"'vert'!$A$1:$T$117"}</definedName>
    <definedName name="_____wk02_3" hidden="1">{"'vert'!$A$1:$T$117"}</definedName>
    <definedName name="_____wk02_3_1" hidden="1">{"'vert'!$A$1:$T$117"}</definedName>
    <definedName name="_____wk02_4" hidden="1">{"'vert'!$A$1:$T$117"}</definedName>
    <definedName name="_____wk02_4_1" hidden="1">{"'vert'!$A$1:$T$117"}</definedName>
    <definedName name="_____wk02_5" hidden="1">{"'vert'!$A$1:$T$117"}</definedName>
    <definedName name="_____wk03" hidden="1">{"'vert'!$A$1:$T$117"}</definedName>
    <definedName name="_____wk03_1" hidden="1">{"'vert'!$A$1:$T$117"}</definedName>
    <definedName name="_____wk03_1_1" hidden="1">{"'vert'!$A$1:$T$117"}</definedName>
    <definedName name="_____wk03_1_1_1" hidden="1">{"'vert'!$A$1:$T$117"}</definedName>
    <definedName name="_____wk03_1_2" hidden="1">{"'vert'!$A$1:$T$117"}</definedName>
    <definedName name="_____wk03_2" hidden="1">{"'vert'!$A$1:$T$117"}</definedName>
    <definedName name="_____wk03_2_1" hidden="1">{"'vert'!$A$1:$T$117"}</definedName>
    <definedName name="_____wk03_3" hidden="1">{"'vert'!$A$1:$T$117"}</definedName>
    <definedName name="_____wk03_3_1" hidden="1">{"'vert'!$A$1:$T$117"}</definedName>
    <definedName name="_____wk03_4" hidden="1">{"'vert'!$A$1:$T$117"}</definedName>
    <definedName name="_____wk03_4_1" hidden="1">{"'vert'!$A$1:$T$117"}</definedName>
    <definedName name="_____wk03_5" hidden="1">{"'vert'!$A$1:$T$117"}</definedName>
    <definedName name="_____wk04" hidden="1">{"'vert'!$A$1:$T$117"}</definedName>
    <definedName name="_____wk04_1" hidden="1">{"'vert'!$A$1:$T$117"}</definedName>
    <definedName name="_____wk04_1_1" hidden="1">{"'vert'!$A$1:$T$117"}</definedName>
    <definedName name="_____wk04_1_1_1" hidden="1">{"'vert'!$A$1:$T$117"}</definedName>
    <definedName name="_____wk04_1_2" hidden="1">{"'vert'!$A$1:$T$117"}</definedName>
    <definedName name="_____wk04_2" hidden="1">{"'vert'!$A$1:$T$117"}</definedName>
    <definedName name="_____wk04_2_1" hidden="1">{"'vert'!$A$1:$T$117"}</definedName>
    <definedName name="_____wk04_3" hidden="1">{"'vert'!$A$1:$T$117"}</definedName>
    <definedName name="_____wk04_3_1" hidden="1">{"'vert'!$A$1:$T$117"}</definedName>
    <definedName name="_____wk04_4" hidden="1">{"'vert'!$A$1:$T$117"}</definedName>
    <definedName name="_____wk04_4_1" hidden="1">{"'vert'!$A$1:$T$117"}</definedName>
    <definedName name="_____wk04_5" hidden="1">{"'vert'!$A$1:$T$117"}</definedName>
    <definedName name="_____wk05" hidden="1">{"'vert'!$A$1:$T$117"}</definedName>
    <definedName name="_____wk05_1" hidden="1">{"'vert'!$A$1:$T$117"}</definedName>
    <definedName name="_____wk05_1_1" hidden="1">{"'vert'!$A$1:$T$117"}</definedName>
    <definedName name="_____wk05_1_1_1" hidden="1">{"'vert'!$A$1:$T$117"}</definedName>
    <definedName name="_____wk05_1_2" hidden="1">{"'vert'!$A$1:$T$117"}</definedName>
    <definedName name="_____wk05_2" hidden="1">{"'vert'!$A$1:$T$117"}</definedName>
    <definedName name="_____wk05_2_1" hidden="1">{"'vert'!$A$1:$T$117"}</definedName>
    <definedName name="_____wk05_3" hidden="1">{"'vert'!$A$1:$T$117"}</definedName>
    <definedName name="_____wk05_3_1" hidden="1">{"'vert'!$A$1:$T$117"}</definedName>
    <definedName name="_____wk05_4" hidden="1">{"'vert'!$A$1:$T$117"}</definedName>
    <definedName name="_____wk05_4_1" hidden="1">{"'vert'!$A$1:$T$117"}</definedName>
    <definedName name="_____wk05_5" hidden="1">{"'vert'!$A$1:$T$117"}</definedName>
    <definedName name="_____wk06" hidden="1">{"'vert'!$A$1:$T$117"}</definedName>
    <definedName name="_____wk06_1" hidden="1">{"'vert'!$A$1:$T$117"}</definedName>
    <definedName name="_____wk06_1_1" hidden="1">{"'vert'!$A$1:$T$117"}</definedName>
    <definedName name="_____wk06_1_1_1" hidden="1">{"'vert'!$A$1:$T$117"}</definedName>
    <definedName name="_____wk06_1_2" hidden="1">{"'vert'!$A$1:$T$117"}</definedName>
    <definedName name="_____wk06_2" hidden="1">{"'vert'!$A$1:$T$117"}</definedName>
    <definedName name="_____wk06_2_1" hidden="1">{"'vert'!$A$1:$T$117"}</definedName>
    <definedName name="_____wk06_3" hidden="1">{"'vert'!$A$1:$T$117"}</definedName>
    <definedName name="_____wk06_3_1" hidden="1">{"'vert'!$A$1:$T$117"}</definedName>
    <definedName name="_____wk06_4" hidden="1">{"'vert'!$A$1:$T$117"}</definedName>
    <definedName name="_____wk06_4_1" hidden="1">{"'vert'!$A$1:$T$117"}</definedName>
    <definedName name="_____wk06_5" hidden="1">{"'vert'!$A$1:$T$117"}</definedName>
    <definedName name="_____wk07" hidden="1">{"'vert'!$A$1:$T$117"}</definedName>
    <definedName name="_____wk07_1" hidden="1">{"'vert'!$A$1:$T$117"}</definedName>
    <definedName name="_____wk07_1_1" hidden="1">{"'vert'!$A$1:$T$117"}</definedName>
    <definedName name="_____wk07_1_1_1" hidden="1">{"'vert'!$A$1:$T$117"}</definedName>
    <definedName name="_____wk07_1_2" hidden="1">{"'vert'!$A$1:$T$117"}</definedName>
    <definedName name="_____wk07_2" hidden="1">{"'vert'!$A$1:$T$117"}</definedName>
    <definedName name="_____wk07_2_1" hidden="1">{"'vert'!$A$1:$T$117"}</definedName>
    <definedName name="_____wk07_3" hidden="1">{"'vert'!$A$1:$T$117"}</definedName>
    <definedName name="_____wk07_3_1" hidden="1">{"'vert'!$A$1:$T$117"}</definedName>
    <definedName name="_____wk07_4" hidden="1">{"'vert'!$A$1:$T$117"}</definedName>
    <definedName name="_____wk07_4_1" hidden="1">{"'vert'!$A$1:$T$117"}</definedName>
    <definedName name="_____wk07_5" hidden="1">{"'vert'!$A$1:$T$117"}</definedName>
    <definedName name="_____wk08" hidden="1">{"'vert'!$A$1:$T$117"}</definedName>
    <definedName name="_____wk08_1" hidden="1">{"'vert'!$A$1:$T$117"}</definedName>
    <definedName name="_____wk08_1_1" hidden="1">{"'vert'!$A$1:$T$117"}</definedName>
    <definedName name="_____wk08_1_1_1" hidden="1">{"'vert'!$A$1:$T$117"}</definedName>
    <definedName name="_____wk08_1_2" hidden="1">{"'vert'!$A$1:$T$117"}</definedName>
    <definedName name="_____wk08_2" hidden="1">{"'vert'!$A$1:$T$117"}</definedName>
    <definedName name="_____wk08_2_1" hidden="1">{"'vert'!$A$1:$T$117"}</definedName>
    <definedName name="_____wk08_3" hidden="1">{"'vert'!$A$1:$T$117"}</definedName>
    <definedName name="_____wk08_3_1" hidden="1">{"'vert'!$A$1:$T$117"}</definedName>
    <definedName name="_____wk08_4" hidden="1">{"'vert'!$A$1:$T$117"}</definedName>
    <definedName name="_____wk08_4_1" hidden="1">{"'vert'!$A$1:$T$117"}</definedName>
    <definedName name="_____wk08_5" hidden="1">{"'vert'!$A$1:$T$117"}</definedName>
    <definedName name="_____wk09" hidden="1">{"'vert'!$A$1:$T$117"}</definedName>
    <definedName name="_____wk09_1" hidden="1">{"'vert'!$A$1:$T$117"}</definedName>
    <definedName name="_____wk09_1_1" hidden="1">{"'vert'!$A$1:$T$117"}</definedName>
    <definedName name="_____wk09_1_1_1" hidden="1">{"'vert'!$A$1:$T$117"}</definedName>
    <definedName name="_____wk09_1_2" hidden="1">{"'vert'!$A$1:$T$117"}</definedName>
    <definedName name="_____wk09_2" hidden="1">{"'vert'!$A$1:$T$117"}</definedName>
    <definedName name="_____wk09_2_1" hidden="1">{"'vert'!$A$1:$T$117"}</definedName>
    <definedName name="_____wk09_3" hidden="1">{"'vert'!$A$1:$T$117"}</definedName>
    <definedName name="_____wk09_3_1" hidden="1">{"'vert'!$A$1:$T$117"}</definedName>
    <definedName name="_____wk09_4" hidden="1">{"'vert'!$A$1:$T$117"}</definedName>
    <definedName name="_____wk09_4_1" hidden="1">{"'vert'!$A$1:$T$117"}</definedName>
    <definedName name="_____wk09_5" hidden="1">{"'vert'!$A$1:$T$117"}</definedName>
    <definedName name="_____wk0904" hidden="1">{"'vert'!$A$1:$T$117"}</definedName>
    <definedName name="_____wk0904_1" hidden="1">{"'vert'!$A$1:$T$117"}</definedName>
    <definedName name="_____wk0904_1_1" hidden="1">{"'vert'!$A$1:$T$117"}</definedName>
    <definedName name="_____wk0904_1_1_1" hidden="1">{"'vert'!$A$1:$T$117"}</definedName>
    <definedName name="_____wk0904_1_2" hidden="1">{"'vert'!$A$1:$T$117"}</definedName>
    <definedName name="_____wk0904_2" hidden="1">{"'vert'!$A$1:$T$117"}</definedName>
    <definedName name="_____wk0904_2_1" hidden="1">{"'vert'!$A$1:$T$117"}</definedName>
    <definedName name="_____wk0904_3" hidden="1">{"'vert'!$A$1:$T$117"}</definedName>
    <definedName name="_____wk0904_3_1" hidden="1">{"'vert'!$A$1:$T$117"}</definedName>
    <definedName name="_____wk0904_4" hidden="1">{"'vert'!$A$1:$T$117"}</definedName>
    <definedName name="_____wk0904_4_1" hidden="1">{"'vert'!$A$1:$T$117"}</definedName>
    <definedName name="_____wk0904_5" hidden="1">{"'vert'!$A$1:$T$117"}</definedName>
    <definedName name="_____wk11" hidden="1">{"'vert'!$A$1:$T$117"}</definedName>
    <definedName name="_____wk11_1" hidden="1">{"'vert'!$A$1:$T$117"}</definedName>
    <definedName name="_____wk11_1_1" hidden="1">{"'vert'!$A$1:$T$117"}</definedName>
    <definedName name="_____wk11_1_1_1" hidden="1">{"'vert'!$A$1:$T$117"}</definedName>
    <definedName name="_____wk11_1_2" hidden="1">{"'vert'!$A$1:$T$117"}</definedName>
    <definedName name="_____wk11_2" hidden="1">{"'vert'!$A$1:$T$117"}</definedName>
    <definedName name="_____wk11_2_1" hidden="1">{"'vert'!$A$1:$T$117"}</definedName>
    <definedName name="_____wk11_3" hidden="1">{"'vert'!$A$1:$T$117"}</definedName>
    <definedName name="_____wk11_3_1" hidden="1">{"'vert'!$A$1:$T$117"}</definedName>
    <definedName name="_____wk11_4" hidden="1">{"'vert'!$A$1:$T$117"}</definedName>
    <definedName name="_____wk11_4_1" hidden="1">{"'vert'!$A$1:$T$117"}</definedName>
    <definedName name="_____wk11_5" hidden="1">{"'vert'!$A$1:$T$117"}</definedName>
    <definedName name="_____wk110" hidden="1">{"'vert'!$A$1:$T$117"}</definedName>
    <definedName name="_____wk110_1" hidden="1">{"'vert'!$A$1:$T$117"}</definedName>
    <definedName name="_____wk110_1_1" hidden="1">{"'vert'!$A$1:$T$117"}</definedName>
    <definedName name="_____wk110_1_1_1" hidden="1">{"'vert'!$A$1:$T$117"}</definedName>
    <definedName name="_____wk110_1_2" hidden="1">{"'vert'!$A$1:$T$117"}</definedName>
    <definedName name="_____wk110_2" hidden="1">{"'vert'!$A$1:$T$117"}</definedName>
    <definedName name="_____wk110_2_1" hidden="1">{"'vert'!$A$1:$T$117"}</definedName>
    <definedName name="_____wk110_3" hidden="1">{"'vert'!$A$1:$T$117"}</definedName>
    <definedName name="_____wk110_3_1" hidden="1">{"'vert'!$A$1:$T$117"}</definedName>
    <definedName name="_____wk110_4" hidden="1">{"'vert'!$A$1:$T$117"}</definedName>
    <definedName name="_____wk110_4_1" hidden="1">{"'vert'!$A$1:$T$117"}</definedName>
    <definedName name="_____wk110_5" hidden="1">{"'vert'!$A$1:$T$117"}</definedName>
    <definedName name="_____wk1111" hidden="1">{"'vert'!$A$1:$T$117"}</definedName>
    <definedName name="_____wk1111_1" hidden="1">{"'vert'!$A$1:$T$117"}</definedName>
    <definedName name="_____wk1111_1_1" hidden="1">{"'vert'!$A$1:$T$117"}</definedName>
    <definedName name="_____wk1111_1_1_1" hidden="1">{"'vert'!$A$1:$T$117"}</definedName>
    <definedName name="_____wk1111_1_2" hidden="1">{"'vert'!$A$1:$T$117"}</definedName>
    <definedName name="_____wk1111_2" hidden="1">{"'vert'!$A$1:$T$117"}</definedName>
    <definedName name="_____wk1111_2_1" hidden="1">{"'vert'!$A$1:$T$117"}</definedName>
    <definedName name="_____wk1111_3" hidden="1">{"'vert'!$A$1:$T$117"}</definedName>
    <definedName name="_____wk1111_3_1" hidden="1">{"'vert'!$A$1:$T$117"}</definedName>
    <definedName name="_____wk1111_4" hidden="1">{"'vert'!$A$1:$T$117"}</definedName>
    <definedName name="_____wk1111_4_1" hidden="1">{"'vert'!$A$1:$T$117"}</definedName>
    <definedName name="_____wk1111_5" hidden="1">{"'vert'!$A$1:$T$117"}</definedName>
    <definedName name="_____wk15" hidden="1">{"'vert'!$A$1:$T$117"}</definedName>
    <definedName name="_____wk15_1" hidden="1">{"'vert'!$A$1:$T$117"}</definedName>
    <definedName name="_____wk15_1_1" hidden="1">{"'vert'!$A$1:$T$117"}</definedName>
    <definedName name="_____wk15_1_1_1" hidden="1">{"'vert'!$A$1:$T$117"}</definedName>
    <definedName name="_____wk15_1_2" hidden="1">{"'vert'!$A$1:$T$117"}</definedName>
    <definedName name="_____wk15_2" hidden="1">{"'vert'!$A$1:$T$117"}</definedName>
    <definedName name="_____wk15_2_1" hidden="1">{"'vert'!$A$1:$T$117"}</definedName>
    <definedName name="_____wk15_3" hidden="1">{"'vert'!$A$1:$T$117"}</definedName>
    <definedName name="_____wk15_3_1" hidden="1">{"'vert'!$A$1:$T$117"}</definedName>
    <definedName name="_____wk15_4" hidden="1">{"'vert'!$A$1:$T$117"}</definedName>
    <definedName name="_____wk15_4_1" hidden="1">{"'vert'!$A$1:$T$117"}</definedName>
    <definedName name="_____wk15_5" hidden="1">{"'vert'!$A$1:$T$117"}</definedName>
    <definedName name="_____wk16" hidden="1">{"'vert'!$A$1:$T$117"}</definedName>
    <definedName name="_____wk16_1" hidden="1">{"'vert'!$A$1:$T$117"}</definedName>
    <definedName name="_____wk16_1_1" hidden="1">{"'vert'!$A$1:$T$117"}</definedName>
    <definedName name="_____wk16_1_1_1" hidden="1">{"'vert'!$A$1:$T$117"}</definedName>
    <definedName name="_____wk16_1_2" hidden="1">{"'vert'!$A$1:$T$117"}</definedName>
    <definedName name="_____wk16_2" hidden="1">{"'vert'!$A$1:$T$117"}</definedName>
    <definedName name="_____wk16_2_1" hidden="1">{"'vert'!$A$1:$T$117"}</definedName>
    <definedName name="_____wk16_3" hidden="1">{"'vert'!$A$1:$T$117"}</definedName>
    <definedName name="_____wk16_3_1" hidden="1">{"'vert'!$A$1:$T$117"}</definedName>
    <definedName name="_____wk16_4" hidden="1">{"'vert'!$A$1:$T$117"}</definedName>
    <definedName name="_____wk16_4_1" hidden="1">{"'vert'!$A$1:$T$117"}</definedName>
    <definedName name="_____wk16_5" hidden="1">{"'vert'!$A$1:$T$117"}</definedName>
    <definedName name="_____wk17" hidden="1">{"'vert'!$A$1:$T$117"}</definedName>
    <definedName name="_____wk17_1" hidden="1">{"'vert'!$A$1:$T$117"}</definedName>
    <definedName name="_____wk17_1_1" hidden="1">{"'vert'!$A$1:$T$117"}</definedName>
    <definedName name="_____wk17_1_1_1" hidden="1">{"'vert'!$A$1:$T$117"}</definedName>
    <definedName name="_____wk17_1_2" hidden="1">{"'vert'!$A$1:$T$117"}</definedName>
    <definedName name="_____wk17_2" hidden="1">{"'vert'!$A$1:$T$117"}</definedName>
    <definedName name="_____wk17_2_1" hidden="1">{"'vert'!$A$1:$T$117"}</definedName>
    <definedName name="_____wk17_3" hidden="1">{"'vert'!$A$1:$T$117"}</definedName>
    <definedName name="_____wk17_3_1" hidden="1">{"'vert'!$A$1:$T$117"}</definedName>
    <definedName name="_____wk17_4" hidden="1">{"'vert'!$A$1:$T$117"}</definedName>
    <definedName name="_____wk17_4_1" hidden="1">{"'vert'!$A$1:$T$117"}</definedName>
    <definedName name="_____wk17_5" hidden="1">{"'vert'!$A$1:$T$117"}</definedName>
    <definedName name="_____wk18" hidden="1">{"'vert'!$A$1:$T$117"}</definedName>
    <definedName name="_____wk18_1" hidden="1">{"'vert'!$A$1:$T$117"}</definedName>
    <definedName name="_____wk18_1_1" hidden="1">{"'vert'!$A$1:$T$117"}</definedName>
    <definedName name="_____wk18_1_1_1" hidden="1">{"'vert'!$A$1:$T$117"}</definedName>
    <definedName name="_____wk18_1_2" hidden="1">{"'vert'!$A$1:$T$117"}</definedName>
    <definedName name="_____wk18_2" hidden="1">{"'vert'!$A$1:$T$117"}</definedName>
    <definedName name="_____wk18_2_1" hidden="1">{"'vert'!$A$1:$T$117"}</definedName>
    <definedName name="_____wk18_3" hidden="1">{"'vert'!$A$1:$T$117"}</definedName>
    <definedName name="_____wk18_3_1" hidden="1">{"'vert'!$A$1:$T$117"}</definedName>
    <definedName name="_____wk18_4" hidden="1">{"'vert'!$A$1:$T$117"}</definedName>
    <definedName name="_____wk18_4_1" hidden="1">{"'vert'!$A$1:$T$117"}</definedName>
    <definedName name="_____wk18_5" hidden="1">{"'vert'!$A$1:$T$117"}</definedName>
    <definedName name="_____wk22" hidden="1">{"'vert'!$A$1:$T$117"}</definedName>
    <definedName name="_____wk22_1" hidden="1">{"'vert'!$A$1:$T$117"}</definedName>
    <definedName name="_____wk22_1_1" hidden="1">{"'vert'!$A$1:$T$117"}</definedName>
    <definedName name="_____wk22_1_1_1" hidden="1">{"'vert'!$A$1:$T$117"}</definedName>
    <definedName name="_____wk22_1_2" hidden="1">{"'vert'!$A$1:$T$117"}</definedName>
    <definedName name="_____wk22_2" hidden="1">{"'vert'!$A$1:$T$117"}</definedName>
    <definedName name="_____wk22_2_1" hidden="1">{"'vert'!$A$1:$T$117"}</definedName>
    <definedName name="_____wk22_3" hidden="1">{"'vert'!$A$1:$T$117"}</definedName>
    <definedName name="_____wk22_3_1" hidden="1">{"'vert'!$A$1:$T$117"}</definedName>
    <definedName name="_____wk22_4" hidden="1">{"'vert'!$A$1:$T$117"}</definedName>
    <definedName name="_____wk22_4_1" hidden="1">{"'vert'!$A$1:$T$117"}</definedName>
    <definedName name="_____wk22_5" hidden="1">{"'vert'!$A$1:$T$117"}</definedName>
    <definedName name="_____wkk15" hidden="1">{"'vert'!$A$1:$T$117"}</definedName>
    <definedName name="_____wkk15_1" hidden="1">{"'vert'!$A$1:$T$117"}</definedName>
    <definedName name="_____wkk15_1_1" hidden="1">{"'vert'!$A$1:$T$117"}</definedName>
    <definedName name="_____wkk15_1_1_1" hidden="1">{"'vert'!$A$1:$T$117"}</definedName>
    <definedName name="_____wkk15_1_2" hidden="1">{"'vert'!$A$1:$T$117"}</definedName>
    <definedName name="_____wkk15_2" hidden="1">{"'vert'!$A$1:$T$117"}</definedName>
    <definedName name="_____wkk15_2_1" hidden="1">{"'vert'!$A$1:$T$117"}</definedName>
    <definedName name="_____wkk15_3" hidden="1">{"'vert'!$A$1:$T$117"}</definedName>
    <definedName name="_____wkk15_3_1" hidden="1">{"'vert'!$A$1:$T$117"}</definedName>
    <definedName name="_____wkk15_4" hidden="1">{"'vert'!$A$1:$T$117"}</definedName>
    <definedName name="_____wkk15_4_1" hidden="1">{"'vert'!$A$1:$T$117"}</definedName>
    <definedName name="_____wkk15_5" hidden="1">{"'vert'!$A$1:$T$117"}</definedName>
    <definedName name="_____wkk20" hidden="1">{"'vert'!$A$1:$T$117"}</definedName>
    <definedName name="_____wkk20_1" hidden="1">{"'vert'!$A$1:$T$117"}</definedName>
    <definedName name="_____wkk20_1_1" hidden="1">{"'vert'!$A$1:$T$117"}</definedName>
    <definedName name="_____wkk20_1_1_1" hidden="1">{"'vert'!$A$1:$T$117"}</definedName>
    <definedName name="_____wkk20_1_2" hidden="1">{"'vert'!$A$1:$T$117"}</definedName>
    <definedName name="_____wkk20_2" hidden="1">{"'vert'!$A$1:$T$117"}</definedName>
    <definedName name="_____wkk20_2_1" hidden="1">{"'vert'!$A$1:$T$117"}</definedName>
    <definedName name="_____wkk20_3" hidden="1">{"'vert'!$A$1:$T$117"}</definedName>
    <definedName name="_____wkk20_3_1" hidden="1">{"'vert'!$A$1:$T$117"}</definedName>
    <definedName name="_____wkk20_4" hidden="1">{"'vert'!$A$1:$T$117"}</definedName>
    <definedName name="_____wkk20_4_1" hidden="1">{"'vert'!$A$1:$T$117"}</definedName>
    <definedName name="_____wkk20_5" hidden="1">{"'vert'!$A$1:$T$117"}</definedName>
    <definedName name="_____wko6" hidden="1">{"'vert'!$A$1:$T$117"}</definedName>
    <definedName name="_____wko6_1" hidden="1">{"'vert'!$A$1:$T$117"}</definedName>
    <definedName name="_____wko6_1_1" hidden="1">{"'vert'!$A$1:$T$117"}</definedName>
    <definedName name="_____wko6_1_1_1" hidden="1">{"'vert'!$A$1:$T$117"}</definedName>
    <definedName name="_____wko6_1_2" hidden="1">{"'vert'!$A$1:$T$117"}</definedName>
    <definedName name="_____wko6_2" hidden="1">{"'vert'!$A$1:$T$117"}</definedName>
    <definedName name="_____wko6_2_1" hidden="1">{"'vert'!$A$1:$T$117"}</definedName>
    <definedName name="_____wko6_3" hidden="1">{"'vert'!$A$1:$T$117"}</definedName>
    <definedName name="_____wko6_3_1" hidden="1">{"'vert'!$A$1:$T$117"}</definedName>
    <definedName name="_____wko6_4" hidden="1">{"'vert'!$A$1:$T$117"}</definedName>
    <definedName name="_____wko6_4_1" hidden="1">{"'vert'!$A$1:$T$117"}</definedName>
    <definedName name="_____wko6_5" hidden="1">{"'vert'!$A$1:$T$117"}</definedName>
    <definedName name="_____wko9" hidden="1">{"'vert'!$A$1:$T$117"}</definedName>
    <definedName name="_____wko9_1" hidden="1">{"'vert'!$A$1:$T$117"}</definedName>
    <definedName name="_____wko9_1_1" hidden="1">{"'vert'!$A$1:$T$117"}</definedName>
    <definedName name="_____wko9_1_1_1" hidden="1">{"'vert'!$A$1:$T$117"}</definedName>
    <definedName name="_____wko9_1_2" hidden="1">{"'vert'!$A$1:$T$117"}</definedName>
    <definedName name="_____wko9_2" hidden="1">{"'vert'!$A$1:$T$117"}</definedName>
    <definedName name="_____wko9_2_1" hidden="1">{"'vert'!$A$1:$T$117"}</definedName>
    <definedName name="_____wko9_3" hidden="1">{"'vert'!$A$1:$T$117"}</definedName>
    <definedName name="_____wko9_3_1" hidden="1">{"'vert'!$A$1:$T$117"}</definedName>
    <definedName name="_____wko9_4" hidden="1">{"'vert'!$A$1:$T$117"}</definedName>
    <definedName name="_____wko9_4_1" hidden="1">{"'vert'!$A$1:$T$117"}</definedName>
    <definedName name="_____wko9_5" hidden="1">{"'vert'!$A$1:$T$117"}</definedName>
    <definedName name="___DE2" hidden="1">{"'vert'!$A$1:$T$117"}</definedName>
    <definedName name="___DE2_1" hidden="1">{"'vert'!$A$1:$T$117"}</definedName>
    <definedName name="___DE2_1_1" hidden="1">{"'vert'!$A$1:$T$117"}</definedName>
    <definedName name="___DE2_1_1_1" hidden="1">{"'vert'!$A$1:$T$117"}</definedName>
    <definedName name="___DE2_1_2" hidden="1">{"'vert'!$A$1:$T$117"}</definedName>
    <definedName name="___DE2_2" hidden="1">{"'vert'!$A$1:$T$117"}</definedName>
    <definedName name="___DE2_2_1" hidden="1">{"'vert'!$A$1:$T$117"}</definedName>
    <definedName name="___DE2_3" hidden="1">{"'vert'!$A$1:$T$117"}</definedName>
    <definedName name="___DE2_3_1" hidden="1">{"'vert'!$A$1:$T$117"}</definedName>
    <definedName name="___DE2_4" hidden="1">{"'vert'!$A$1:$T$117"}</definedName>
    <definedName name="___DE2_4_1" hidden="1">{"'vert'!$A$1:$T$117"}</definedName>
    <definedName name="___DE2_5" hidden="1">{"'vert'!$A$1:$T$117"}</definedName>
    <definedName name="__DE2" hidden="1">{"'vert'!$A$1:$T$117"}</definedName>
    <definedName name="__DE2_1" hidden="1">{"'vert'!$A$1:$T$117"}</definedName>
    <definedName name="__DE2_1_1" hidden="1">{"'vert'!$A$1:$T$117"}</definedName>
    <definedName name="__DE2_1_1_1" hidden="1">{"'vert'!$A$1:$T$117"}</definedName>
    <definedName name="__DE2_1_2" hidden="1">{"'vert'!$A$1:$T$117"}</definedName>
    <definedName name="__DE2_2" hidden="1">{"'vert'!$A$1:$T$117"}</definedName>
    <definedName name="__DE2_2_1" hidden="1">{"'vert'!$A$1:$T$117"}</definedName>
    <definedName name="__DE2_3" hidden="1">{"'vert'!$A$1:$T$117"}</definedName>
    <definedName name="__DE2_3_1" hidden="1">{"'vert'!$A$1:$T$117"}</definedName>
    <definedName name="__DE2_4" hidden="1">{"'vert'!$A$1:$T$117"}</definedName>
    <definedName name="__DE2_4_1" hidden="1">{"'vert'!$A$1:$T$117"}</definedName>
    <definedName name="__DE2_5" hidden="1">{"'vert'!$A$1:$T$117"}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" hidden="1">{"'vert'!$A$1:$T$117"}</definedName>
    <definedName name="_a1_1" hidden="1">{"'vert'!$A$1:$T$117"}</definedName>
    <definedName name="_a1_1_1" hidden="1">{"'vert'!$A$1:$T$117"}</definedName>
    <definedName name="_a1_1_1_1" hidden="1">{"'vert'!$A$1:$T$117"}</definedName>
    <definedName name="_a1_1_2" hidden="1">{"'vert'!$A$1:$T$117"}</definedName>
    <definedName name="_a1_2" hidden="1">{"'vert'!$A$1:$T$117"}</definedName>
    <definedName name="_a1_2_1" hidden="1">{"'vert'!$A$1:$T$117"}</definedName>
    <definedName name="_a1_3" hidden="1">{"'vert'!$A$1:$T$117"}</definedName>
    <definedName name="_a1_3_1" hidden="1">{"'vert'!$A$1:$T$117"}</definedName>
    <definedName name="_a1_4" hidden="1">{"'vert'!$A$1:$T$117"}</definedName>
    <definedName name="_a1_4_1" hidden="1">{"'vert'!$A$1:$T$117"}</definedName>
    <definedName name="_a1_5" hidden="1">{"'vert'!$A$1:$T$117"}</definedName>
    <definedName name="_a101" hidden="1">{"'vert'!$A$1:$T$117"}</definedName>
    <definedName name="_a101_1" hidden="1">{"'vert'!$A$1:$T$117"}</definedName>
    <definedName name="_a101_1_1" hidden="1">{"'vert'!$A$1:$T$117"}</definedName>
    <definedName name="_a101_1_1_1" hidden="1">{"'vert'!$A$1:$T$117"}</definedName>
    <definedName name="_a101_1_2" hidden="1">{"'vert'!$A$1:$T$117"}</definedName>
    <definedName name="_a101_2" hidden="1">{"'vert'!$A$1:$T$117"}</definedName>
    <definedName name="_a101_2_1" hidden="1">{"'vert'!$A$1:$T$117"}</definedName>
    <definedName name="_a101_3" hidden="1">{"'vert'!$A$1:$T$117"}</definedName>
    <definedName name="_a101_3_1" hidden="1">{"'vert'!$A$1:$T$117"}</definedName>
    <definedName name="_a101_4" hidden="1">{"'vert'!$A$1:$T$117"}</definedName>
    <definedName name="_a101_4_1" hidden="1">{"'vert'!$A$1:$T$117"}</definedName>
    <definedName name="_a101_5" hidden="1">{"'vert'!$A$1:$T$117"}</definedName>
    <definedName name="_a102" hidden="1">{"'vert'!$A$1:$T$117"}</definedName>
    <definedName name="_a102_1" hidden="1">{"'vert'!$A$1:$T$117"}</definedName>
    <definedName name="_a102_1_1" hidden="1">{"'vert'!$A$1:$T$117"}</definedName>
    <definedName name="_a102_1_1_1" hidden="1">{"'vert'!$A$1:$T$117"}</definedName>
    <definedName name="_a102_1_2" hidden="1">{"'vert'!$A$1:$T$117"}</definedName>
    <definedName name="_a102_2" hidden="1">{"'vert'!$A$1:$T$117"}</definedName>
    <definedName name="_a102_2_1" hidden="1">{"'vert'!$A$1:$T$117"}</definedName>
    <definedName name="_a102_3" hidden="1">{"'vert'!$A$1:$T$117"}</definedName>
    <definedName name="_a102_3_1" hidden="1">{"'vert'!$A$1:$T$117"}</definedName>
    <definedName name="_a102_4" hidden="1">{"'vert'!$A$1:$T$117"}</definedName>
    <definedName name="_a102_4_1" hidden="1">{"'vert'!$A$1:$T$117"}</definedName>
    <definedName name="_a102_5" hidden="1">{"'vert'!$A$1:$T$117"}</definedName>
    <definedName name="_a103" hidden="1">{"'vert'!$A$1:$T$117"}</definedName>
    <definedName name="_a103_1" hidden="1">{"'vert'!$A$1:$T$117"}</definedName>
    <definedName name="_a103_1_1" hidden="1">{"'vert'!$A$1:$T$117"}</definedName>
    <definedName name="_a103_1_1_1" hidden="1">{"'vert'!$A$1:$T$117"}</definedName>
    <definedName name="_a103_1_2" hidden="1">{"'vert'!$A$1:$T$117"}</definedName>
    <definedName name="_a103_2" hidden="1">{"'vert'!$A$1:$T$117"}</definedName>
    <definedName name="_a103_2_1" hidden="1">{"'vert'!$A$1:$T$117"}</definedName>
    <definedName name="_a103_3" hidden="1">{"'vert'!$A$1:$T$117"}</definedName>
    <definedName name="_a103_3_1" hidden="1">{"'vert'!$A$1:$T$117"}</definedName>
    <definedName name="_a103_4" hidden="1">{"'vert'!$A$1:$T$117"}</definedName>
    <definedName name="_a103_4_1" hidden="1">{"'vert'!$A$1:$T$117"}</definedName>
    <definedName name="_a103_5" hidden="1">{"'vert'!$A$1:$T$117"}</definedName>
    <definedName name="_a104" hidden="1">{"'vert'!$A$1:$T$117"}</definedName>
    <definedName name="_a104_1" hidden="1">{"'vert'!$A$1:$T$117"}</definedName>
    <definedName name="_a104_1_1" hidden="1">{"'vert'!$A$1:$T$117"}</definedName>
    <definedName name="_a104_1_1_1" hidden="1">{"'vert'!$A$1:$T$117"}</definedName>
    <definedName name="_a104_1_2" hidden="1">{"'vert'!$A$1:$T$117"}</definedName>
    <definedName name="_a104_2" hidden="1">{"'vert'!$A$1:$T$117"}</definedName>
    <definedName name="_a104_2_1" hidden="1">{"'vert'!$A$1:$T$117"}</definedName>
    <definedName name="_a104_3" hidden="1">{"'vert'!$A$1:$T$117"}</definedName>
    <definedName name="_a104_3_1" hidden="1">{"'vert'!$A$1:$T$117"}</definedName>
    <definedName name="_a104_4" hidden="1">{"'vert'!$A$1:$T$117"}</definedName>
    <definedName name="_a104_4_1" hidden="1">{"'vert'!$A$1:$T$117"}</definedName>
    <definedName name="_a104_5" hidden="1">{"'vert'!$A$1:$T$117"}</definedName>
    <definedName name="_a105" hidden="1">{"'vert'!$A$1:$T$117"}</definedName>
    <definedName name="_a105_1" hidden="1">{"'vert'!$A$1:$T$117"}</definedName>
    <definedName name="_a105_1_1" hidden="1">{"'vert'!$A$1:$T$117"}</definedName>
    <definedName name="_a105_1_1_1" hidden="1">{"'vert'!$A$1:$T$117"}</definedName>
    <definedName name="_a105_1_2" hidden="1">{"'vert'!$A$1:$T$117"}</definedName>
    <definedName name="_a105_2" hidden="1">{"'vert'!$A$1:$T$117"}</definedName>
    <definedName name="_a105_2_1" hidden="1">{"'vert'!$A$1:$T$117"}</definedName>
    <definedName name="_a105_3" hidden="1">{"'vert'!$A$1:$T$117"}</definedName>
    <definedName name="_a105_3_1" hidden="1">{"'vert'!$A$1:$T$117"}</definedName>
    <definedName name="_a105_4" hidden="1">{"'vert'!$A$1:$T$117"}</definedName>
    <definedName name="_a105_4_1" hidden="1">{"'vert'!$A$1:$T$117"}</definedName>
    <definedName name="_a105_5" hidden="1">{"'vert'!$A$1:$T$117"}</definedName>
    <definedName name="_a106" hidden="1">{"'vert'!$A$1:$T$117"}</definedName>
    <definedName name="_a106_1" hidden="1">{"'vert'!$A$1:$T$117"}</definedName>
    <definedName name="_a106_1_1" hidden="1">{"'vert'!$A$1:$T$117"}</definedName>
    <definedName name="_a106_1_1_1" hidden="1">{"'vert'!$A$1:$T$117"}</definedName>
    <definedName name="_a106_1_2" hidden="1">{"'vert'!$A$1:$T$117"}</definedName>
    <definedName name="_a106_2" hidden="1">{"'vert'!$A$1:$T$117"}</definedName>
    <definedName name="_a106_2_1" hidden="1">{"'vert'!$A$1:$T$117"}</definedName>
    <definedName name="_a106_3" hidden="1">{"'vert'!$A$1:$T$117"}</definedName>
    <definedName name="_a106_3_1" hidden="1">{"'vert'!$A$1:$T$117"}</definedName>
    <definedName name="_a106_4" hidden="1">{"'vert'!$A$1:$T$117"}</definedName>
    <definedName name="_a106_4_1" hidden="1">{"'vert'!$A$1:$T$117"}</definedName>
    <definedName name="_a106_5" hidden="1">{"'vert'!$A$1:$T$117"}</definedName>
    <definedName name="_a107" hidden="1">{"'vert'!$A$1:$T$117"}</definedName>
    <definedName name="_a107_1" hidden="1">{"'vert'!$A$1:$T$117"}</definedName>
    <definedName name="_a107_1_1" hidden="1">{"'vert'!$A$1:$T$117"}</definedName>
    <definedName name="_a107_1_1_1" hidden="1">{"'vert'!$A$1:$T$117"}</definedName>
    <definedName name="_a107_1_2" hidden="1">{"'vert'!$A$1:$T$117"}</definedName>
    <definedName name="_a107_2" hidden="1">{"'vert'!$A$1:$T$117"}</definedName>
    <definedName name="_a107_2_1" hidden="1">{"'vert'!$A$1:$T$117"}</definedName>
    <definedName name="_a107_3" hidden="1">{"'vert'!$A$1:$T$117"}</definedName>
    <definedName name="_a107_3_1" hidden="1">{"'vert'!$A$1:$T$117"}</definedName>
    <definedName name="_a107_4" hidden="1">{"'vert'!$A$1:$T$117"}</definedName>
    <definedName name="_a107_4_1" hidden="1">{"'vert'!$A$1:$T$117"}</definedName>
    <definedName name="_a107_5" hidden="1">{"'vert'!$A$1:$T$117"}</definedName>
    <definedName name="_a108" hidden="1">{"'vert'!$A$1:$T$117"}</definedName>
    <definedName name="_a108_1" hidden="1">{"'vert'!$A$1:$T$117"}</definedName>
    <definedName name="_a108_1_1" hidden="1">{"'vert'!$A$1:$T$117"}</definedName>
    <definedName name="_a108_1_1_1" hidden="1">{"'vert'!$A$1:$T$117"}</definedName>
    <definedName name="_a108_1_2" hidden="1">{"'vert'!$A$1:$T$117"}</definedName>
    <definedName name="_a108_2" hidden="1">{"'vert'!$A$1:$T$117"}</definedName>
    <definedName name="_a108_2_1" hidden="1">{"'vert'!$A$1:$T$117"}</definedName>
    <definedName name="_a108_3" hidden="1">{"'vert'!$A$1:$T$117"}</definedName>
    <definedName name="_a108_3_1" hidden="1">{"'vert'!$A$1:$T$117"}</definedName>
    <definedName name="_a108_4" hidden="1">{"'vert'!$A$1:$T$117"}</definedName>
    <definedName name="_a108_4_1" hidden="1">{"'vert'!$A$1:$T$117"}</definedName>
    <definedName name="_a108_5" hidden="1">{"'vert'!$A$1:$T$117"}</definedName>
    <definedName name="_a109" hidden="1">{"'vert'!$A$1:$T$117"}</definedName>
    <definedName name="_a109_1" hidden="1">{"'vert'!$A$1:$T$117"}</definedName>
    <definedName name="_a109_1_1" hidden="1">{"'vert'!$A$1:$T$117"}</definedName>
    <definedName name="_a109_1_1_1" hidden="1">{"'vert'!$A$1:$T$117"}</definedName>
    <definedName name="_a109_1_2" hidden="1">{"'vert'!$A$1:$T$117"}</definedName>
    <definedName name="_a109_2" hidden="1">{"'vert'!$A$1:$T$117"}</definedName>
    <definedName name="_a109_2_1" hidden="1">{"'vert'!$A$1:$T$117"}</definedName>
    <definedName name="_a109_3" hidden="1">{"'vert'!$A$1:$T$117"}</definedName>
    <definedName name="_a109_3_1" hidden="1">{"'vert'!$A$1:$T$117"}</definedName>
    <definedName name="_a109_4" hidden="1">{"'vert'!$A$1:$T$117"}</definedName>
    <definedName name="_a109_4_1" hidden="1">{"'vert'!$A$1:$T$117"}</definedName>
    <definedName name="_a109_5" hidden="1">{"'vert'!$A$1:$T$117"}</definedName>
    <definedName name="_a11" hidden="1">{"'vert'!$A$1:$T$117"}</definedName>
    <definedName name="_a11_1" hidden="1">{"'vert'!$A$1:$T$117"}</definedName>
    <definedName name="_a11_1_1" hidden="1">{"'vert'!$A$1:$T$117"}</definedName>
    <definedName name="_a11_1_1_1" hidden="1">{"'vert'!$A$1:$T$117"}</definedName>
    <definedName name="_a11_1_2" hidden="1">{"'vert'!$A$1:$T$117"}</definedName>
    <definedName name="_a11_2" hidden="1">{"'vert'!$A$1:$T$117"}</definedName>
    <definedName name="_a11_2_1" hidden="1">{"'vert'!$A$1:$T$117"}</definedName>
    <definedName name="_a11_3" hidden="1">{"'vert'!$A$1:$T$117"}</definedName>
    <definedName name="_a11_3_1" hidden="1">{"'vert'!$A$1:$T$117"}</definedName>
    <definedName name="_a11_4" hidden="1">{"'vert'!$A$1:$T$117"}</definedName>
    <definedName name="_a11_4_1" hidden="1">{"'vert'!$A$1:$T$117"}</definedName>
    <definedName name="_a11_5" hidden="1">{"'vert'!$A$1:$T$117"}</definedName>
    <definedName name="_a110" hidden="1">{"'vert'!$A$1:$T$117"}</definedName>
    <definedName name="_a110_1" hidden="1">{"'vert'!$A$1:$T$117"}</definedName>
    <definedName name="_a110_1_1" hidden="1">{"'vert'!$A$1:$T$117"}</definedName>
    <definedName name="_a110_1_1_1" hidden="1">{"'vert'!$A$1:$T$117"}</definedName>
    <definedName name="_a110_1_2" hidden="1">{"'vert'!$A$1:$T$117"}</definedName>
    <definedName name="_a110_2" hidden="1">{"'vert'!$A$1:$T$117"}</definedName>
    <definedName name="_a110_2_1" hidden="1">{"'vert'!$A$1:$T$117"}</definedName>
    <definedName name="_a110_3" hidden="1">{"'vert'!$A$1:$T$117"}</definedName>
    <definedName name="_a110_3_1" hidden="1">{"'vert'!$A$1:$T$117"}</definedName>
    <definedName name="_a110_4" hidden="1">{"'vert'!$A$1:$T$117"}</definedName>
    <definedName name="_a110_4_1" hidden="1">{"'vert'!$A$1:$T$117"}</definedName>
    <definedName name="_a110_5" hidden="1">{"'vert'!$A$1:$T$117"}</definedName>
    <definedName name="_a111" hidden="1">{"'vert'!$A$1:$T$117"}</definedName>
    <definedName name="_a111_1" hidden="1">{"'vert'!$A$1:$T$117"}</definedName>
    <definedName name="_a111_1_1" hidden="1">{"'vert'!$A$1:$T$117"}</definedName>
    <definedName name="_a111_1_1_1" hidden="1">{"'vert'!$A$1:$T$117"}</definedName>
    <definedName name="_a111_1_2" hidden="1">{"'vert'!$A$1:$T$117"}</definedName>
    <definedName name="_a111_2" hidden="1">{"'vert'!$A$1:$T$117"}</definedName>
    <definedName name="_a111_2_1" hidden="1">{"'vert'!$A$1:$T$117"}</definedName>
    <definedName name="_a111_3" hidden="1">{"'vert'!$A$1:$T$117"}</definedName>
    <definedName name="_a111_3_1" hidden="1">{"'vert'!$A$1:$T$117"}</definedName>
    <definedName name="_a111_4" hidden="1">{"'vert'!$A$1:$T$117"}</definedName>
    <definedName name="_a111_4_1" hidden="1">{"'vert'!$A$1:$T$117"}</definedName>
    <definedName name="_a111_5" hidden="1">{"'vert'!$A$1:$T$117"}</definedName>
    <definedName name="_a112" hidden="1">{"'vert'!$A$1:$T$117"}</definedName>
    <definedName name="_a112_1" hidden="1">{"'vert'!$A$1:$T$117"}</definedName>
    <definedName name="_a112_1_1" hidden="1">{"'vert'!$A$1:$T$117"}</definedName>
    <definedName name="_a112_1_1_1" hidden="1">{"'vert'!$A$1:$T$117"}</definedName>
    <definedName name="_a112_1_2" hidden="1">{"'vert'!$A$1:$T$117"}</definedName>
    <definedName name="_a112_2" hidden="1">{"'vert'!$A$1:$T$117"}</definedName>
    <definedName name="_a112_2_1" hidden="1">{"'vert'!$A$1:$T$117"}</definedName>
    <definedName name="_a112_3" hidden="1">{"'vert'!$A$1:$T$117"}</definedName>
    <definedName name="_a112_3_1" hidden="1">{"'vert'!$A$1:$T$117"}</definedName>
    <definedName name="_a112_4" hidden="1">{"'vert'!$A$1:$T$117"}</definedName>
    <definedName name="_a112_4_1" hidden="1">{"'vert'!$A$1:$T$117"}</definedName>
    <definedName name="_a112_5" hidden="1">{"'vert'!$A$1:$T$117"}</definedName>
    <definedName name="_a113" hidden="1">{"'vert'!$A$1:$T$117"}</definedName>
    <definedName name="_a113_1" hidden="1">{"'vert'!$A$1:$T$117"}</definedName>
    <definedName name="_a113_1_1" hidden="1">{"'vert'!$A$1:$T$117"}</definedName>
    <definedName name="_a113_1_1_1" hidden="1">{"'vert'!$A$1:$T$117"}</definedName>
    <definedName name="_a113_1_2" hidden="1">{"'vert'!$A$1:$T$117"}</definedName>
    <definedName name="_a113_2" hidden="1">{"'vert'!$A$1:$T$117"}</definedName>
    <definedName name="_a113_2_1" hidden="1">{"'vert'!$A$1:$T$117"}</definedName>
    <definedName name="_a113_3" hidden="1">{"'vert'!$A$1:$T$117"}</definedName>
    <definedName name="_a113_3_1" hidden="1">{"'vert'!$A$1:$T$117"}</definedName>
    <definedName name="_a113_4" hidden="1">{"'vert'!$A$1:$T$117"}</definedName>
    <definedName name="_a113_4_1" hidden="1">{"'vert'!$A$1:$T$117"}</definedName>
    <definedName name="_a113_5" hidden="1">{"'vert'!$A$1:$T$117"}</definedName>
    <definedName name="_a114" hidden="1">{"'vert'!$A$1:$T$117"}</definedName>
    <definedName name="_a114_1" hidden="1">{"'vert'!$A$1:$T$117"}</definedName>
    <definedName name="_a114_1_1" hidden="1">{"'vert'!$A$1:$T$117"}</definedName>
    <definedName name="_a114_1_1_1" hidden="1">{"'vert'!$A$1:$T$117"}</definedName>
    <definedName name="_a114_1_2" hidden="1">{"'vert'!$A$1:$T$117"}</definedName>
    <definedName name="_a114_2" hidden="1">{"'vert'!$A$1:$T$117"}</definedName>
    <definedName name="_a114_2_1" hidden="1">{"'vert'!$A$1:$T$117"}</definedName>
    <definedName name="_a114_3" hidden="1">{"'vert'!$A$1:$T$117"}</definedName>
    <definedName name="_a114_3_1" hidden="1">{"'vert'!$A$1:$T$117"}</definedName>
    <definedName name="_a114_4" hidden="1">{"'vert'!$A$1:$T$117"}</definedName>
    <definedName name="_a114_4_1" hidden="1">{"'vert'!$A$1:$T$117"}</definedName>
    <definedName name="_a114_5" hidden="1">{"'vert'!$A$1:$T$117"}</definedName>
    <definedName name="_a115" hidden="1">{"'vert'!$A$1:$T$117"}</definedName>
    <definedName name="_a115_1" hidden="1">{"'vert'!$A$1:$T$117"}</definedName>
    <definedName name="_a115_1_1" hidden="1">{"'vert'!$A$1:$T$117"}</definedName>
    <definedName name="_a115_1_1_1" hidden="1">{"'vert'!$A$1:$T$117"}</definedName>
    <definedName name="_a115_1_2" hidden="1">{"'vert'!$A$1:$T$117"}</definedName>
    <definedName name="_a115_2" hidden="1">{"'vert'!$A$1:$T$117"}</definedName>
    <definedName name="_a115_2_1" hidden="1">{"'vert'!$A$1:$T$117"}</definedName>
    <definedName name="_a115_3" hidden="1">{"'vert'!$A$1:$T$117"}</definedName>
    <definedName name="_a115_3_1" hidden="1">{"'vert'!$A$1:$T$117"}</definedName>
    <definedName name="_a115_4" hidden="1">{"'vert'!$A$1:$T$117"}</definedName>
    <definedName name="_a115_4_1" hidden="1">{"'vert'!$A$1:$T$117"}</definedName>
    <definedName name="_a115_5" hidden="1">{"'vert'!$A$1:$T$117"}</definedName>
    <definedName name="_a116" hidden="1">{"'vert'!$A$1:$T$117"}</definedName>
    <definedName name="_a116_1" hidden="1">{"'vert'!$A$1:$T$117"}</definedName>
    <definedName name="_a116_1_1" hidden="1">{"'vert'!$A$1:$T$117"}</definedName>
    <definedName name="_a116_1_1_1" hidden="1">{"'vert'!$A$1:$T$117"}</definedName>
    <definedName name="_a116_1_2" hidden="1">{"'vert'!$A$1:$T$117"}</definedName>
    <definedName name="_a116_2" hidden="1">{"'vert'!$A$1:$T$117"}</definedName>
    <definedName name="_a116_2_1" hidden="1">{"'vert'!$A$1:$T$117"}</definedName>
    <definedName name="_a116_3" hidden="1">{"'vert'!$A$1:$T$117"}</definedName>
    <definedName name="_a116_3_1" hidden="1">{"'vert'!$A$1:$T$117"}</definedName>
    <definedName name="_a116_4" hidden="1">{"'vert'!$A$1:$T$117"}</definedName>
    <definedName name="_a116_4_1" hidden="1">{"'vert'!$A$1:$T$117"}</definedName>
    <definedName name="_a116_5" hidden="1">{"'vert'!$A$1:$T$117"}</definedName>
    <definedName name="_a117" hidden="1">{"'vert'!$A$1:$T$117"}</definedName>
    <definedName name="_a117_1" hidden="1">{"'vert'!$A$1:$T$117"}</definedName>
    <definedName name="_a117_1_1" hidden="1">{"'vert'!$A$1:$T$117"}</definedName>
    <definedName name="_a117_1_1_1" hidden="1">{"'vert'!$A$1:$T$117"}</definedName>
    <definedName name="_a117_1_2" hidden="1">{"'vert'!$A$1:$T$117"}</definedName>
    <definedName name="_a117_2" hidden="1">{"'vert'!$A$1:$T$117"}</definedName>
    <definedName name="_a117_2_1" hidden="1">{"'vert'!$A$1:$T$117"}</definedName>
    <definedName name="_a117_3" hidden="1">{"'vert'!$A$1:$T$117"}</definedName>
    <definedName name="_a117_3_1" hidden="1">{"'vert'!$A$1:$T$117"}</definedName>
    <definedName name="_a117_4" hidden="1">{"'vert'!$A$1:$T$117"}</definedName>
    <definedName name="_a117_4_1" hidden="1">{"'vert'!$A$1:$T$117"}</definedName>
    <definedName name="_a117_5" hidden="1">{"'vert'!$A$1:$T$117"}</definedName>
    <definedName name="_a118" hidden="1">{"'vert'!$A$1:$T$117"}</definedName>
    <definedName name="_a118_1" hidden="1">{"'vert'!$A$1:$T$117"}</definedName>
    <definedName name="_a118_1_1" hidden="1">{"'vert'!$A$1:$T$117"}</definedName>
    <definedName name="_a118_1_1_1" hidden="1">{"'vert'!$A$1:$T$117"}</definedName>
    <definedName name="_a118_1_2" hidden="1">{"'vert'!$A$1:$T$117"}</definedName>
    <definedName name="_a118_2" hidden="1">{"'vert'!$A$1:$T$117"}</definedName>
    <definedName name="_a118_2_1" hidden="1">{"'vert'!$A$1:$T$117"}</definedName>
    <definedName name="_a118_3" hidden="1">{"'vert'!$A$1:$T$117"}</definedName>
    <definedName name="_a118_3_1" hidden="1">{"'vert'!$A$1:$T$117"}</definedName>
    <definedName name="_a118_4" hidden="1">{"'vert'!$A$1:$T$117"}</definedName>
    <definedName name="_a118_4_1" hidden="1">{"'vert'!$A$1:$T$117"}</definedName>
    <definedName name="_a118_5" hidden="1">{"'vert'!$A$1:$T$117"}</definedName>
    <definedName name="_a119" hidden="1">{"'vert'!$A$1:$T$117"}</definedName>
    <definedName name="_a119_1" hidden="1">{"'vert'!$A$1:$T$117"}</definedName>
    <definedName name="_a119_1_1" hidden="1">{"'vert'!$A$1:$T$117"}</definedName>
    <definedName name="_a119_1_1_1" hidden="1">{"'vert'!$A$1:$T$117"}</definedName>
    <definedName name="_a119_1_2" hidden="1">{"'vert'!$A$1:$T$117"}</definedName>
    <definedName name="_a119_2" hidden="1">{"'vert'!$A$1:$T$117"}</definedName>
    <definedName name="_a119_2_1" hidden="1">{"'vert'!$A$1:$T$117"}</definedName>
    <definedName name="_a119_3" hidden="1">{"'vert'!$A$1:$T$117"}</definedName>
    <definedName name="_a119_3_1" hidden="1">{"'vert'!$A$1:$T$117"}</definedName>
    <definedName name="_a119_4" hidden="1">{"'vert'!$A$1:$T$117"}</definedName>
    <definedName name="_a119_4_1" hidden="1">{"'vert'!$A$1:$T$117"}</definedName>
    <definedName name="_a119_5" hidden="1">{"'vert'!$A$1:$T$117"}</definedName>
    <definedName name="_a120" hidden="1">{"'vert'!$A$1:$T$117"}</definedName>
    <definedName name="_a120_1" hidden="1">{"'vert'!$A$1:$T$117"}</definedName>
    <definedName name="_a120_1_1" hidden="1">{"'vert'!$A$1:$T$117"}</definedName>
    <definedName name="_a120_1_1_1" hidden="1">{"'vert'!$A$1:$T$117"}</definedName>
    <definedName name="_a120_1_2" hidden="1">{"'vert'!$A$1:$T$117"}</definedName>
    <definedName name="_a120_2" hidden="1">{"'vert'!$A$1:$T$117"}</definedName>
    <definedName name="_a120_2_1" hidden="1">{"'vert'!$A$1:$T$117"}</definedName>
    <definedName name="_a120_3" hidden="1">{"'vert'!$A$1:$T$117"}</definedName>
    <definedName name="_a120_3_1" hidden="1">{"'vert'!$A$1:$T$117"}</definedName>
    <definedName name="_a120_4" hidden="1">{"'vert'!$A$1:$T$117"}</definedName>
    <definedName name="_a120_4_1" hidden="1">{"'vert'!$A$1:$T$117"}</definedName>
    <definedName name="_a120_5" hidden="1">{"'vert'!$A$1:$T$117"}</definedName>
    <definedName name="_a121" hidden="1">{"'vert'!$A$1:$T$117"}</definedName>
    <definedName name="_a121_1" hidden="1">{"'vert'!$A$1:$T$117"}</definedName>
    <definedName name="_a121_1_1" hidden="1">{"'vert'!$A$1:$T$117"}</definedName>
    <definedName name="_a121_1_1_1" hidden="1">{"'vert'!$A$1:$T$117"}</definedName>
    <definedName name="_a121_1_2" hidden="1">{"'vert'!$A$1:$T$117"}</definedName>
    <definedName name="_a121_2" hidden="1">{"'vert'!$A$1:$T$117"}</definedName>
    <definedName name="_a121_2_1" hidden="1">{"'vert'!$A$1:$T$117"}</definedName>
    <definedName name="_a121_3" hidden="1">{"'vert'!$A$1:$T$117"}</definedName>
    <definedName name="_a121_3_1" hidden="1">{"'vert'!$A$1:$T$117"}</definedName>
    <definedName name="_a121_4" hidden="1">{"'vert'!$A$1:$T$117"}</definedName>
    <definedName name="_a121_4_1" hidden="1">{"'vert'!$A$1:$T$117"}</definedName>
    <definedName name="_a121_5" hidden="1">{"'vert'!$A$1:$T$117"}</definedName>
    <definedName name="_a122" hidden="1">{"'vert'!$A$1:$T$117"}</definedName>
    <definedName name="_a122_1" hidden="1">{"'vert'!$A$1:$T$117"}</definedName>
    <definedName name="_a122_1_1" hidden="1">{"'vert'!$A$1:$T$117"}</definedName>
    <definedName name="_a122_1_1_1" hidden="1">{"'vert'!$A$1:$T$117"}</definedName>
    <definedName name="_a122_1_2" hidden="1">{"'vert'!$A$1:$T$117"}</definedName>
    <definedName name="_a122_2" hidden="1">{"'vert'!$A$1:$T$117"}</definedName>
    <definedName name="_a122_2_1" hidden="1">{"'vert'!$A$1:$T$117"}</definedName>
    <definedName name="_a122_3" hidden="1">{"'vert'!$A$1:$T$117"}</definedName>
    <definedName name="_a122_3_1" hidden="1">{"'vert'!$A$1:$T$117"}</definedName>
    <definedName name="_a122_4" hidden="1">{"'vert'!$A$1:$T$117"}</definedName>
    <definedName name="_a122_4_1" hidden="1">{"'vert'!$A$1:$T$117"}</definedName>
    <definedName name="_a122_5" hidden="1">{"'vert'!$A$1:$T$117"}</definedName>
    <definedName name="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22" hidden="1">{"'vert'!$A$1:$T$117"}</definedName>
    <definedName name="_a22_1" hidden="1">{"'vert'!$A$1:$T$117"}</definedName>
    <definedName name="_a22_1_1" hidden="1">{"'vert'!$A$1:$T$117"}</definedName>
    <definedName name="_a22_1_1_1" hidden="1">{"'vert'!$A$1:$T$117"}</definedName>
    <definedName name="_a22_1_2" hidden="1">{"'vert'!$A$1:$T$117"}</definedName>
    <definedName name="_a22_2" hidden="1">{"'vert'!$A$1:$T$117"}</definedName>
    <definedName name="_a22_2_1" hidden="1">{"'vert'!$A$1:$T$117"}</definedName>
    <definedName name="_a22_3" hidden="1">{"'vert'!$A$1:$T$117"}</definedName>
    <definedName name="_a22_3_1" hidden="1">{"'vert'!$A$1:$T$117"}</definedName>
    <definedName name="_a22_4" hidden="1">{"'vert'!$A$1:$T$117"}</definedName>
    <definedName name="_a22_4_1" hidden="1">{"'vert'!$A$1:$T$117"}</definedName>
    <definedName name="_a22_5" hidden="1">{"'vert'!$A$1:$T$117"}</definedName>
    <definedName name="_a33" hidden="1">{"'vert'!$A$1:$T$117"}</definedName>
    <definedName name="_a33_1" hidden="1">{"'vert'!$A$1:$T$117"}</definedName>
    <definedName name="_a33_1_1" hidden="1">{"'vert'!$A$1:$T$117"}</definedName>
    <definedName name="_a33_1_1_1" hidden="1">{"'vert'!$A$1:$T$117"}</definedName>
    <definedName name="_a33_1_2" hidden="1">{"'vert'!$A$1:$T$117"}</definedName>
    <definedName name="_a33_2" hidden="1">{"'vert'!$A$1:$T$117"}</definedName>
    <definedName name="_a33_2_1" hidden="1">{"'vert'!$A$1:$T$117"}</definedName>
    <definedName name="_a33_3" hidden="1">{"'vert'!$A$1:$T$117"}</definedName>
    <definedName name="_a33_3_1" hidden="1">{"'vert'!$A$1:$T$117"}</definedName>
    <definedName name="_a33_4" hidden="1">{"'vert'!$A$1:$T$117"}</definedName>
    <definedName name="_a33_4_1" hidden="1">{"'vert'!$A$1:$T$117"}</definedName>
    <definedName name="_a33_5" hidden="1">{"'vert'!$A$1:$T$117"}</definedName>
    <definedName name="_a44" hidden="1">{"'vert'!$A$1:$T$117"}</definedName>
    <definedName name="_a44_1" hidden="1">{"'vert'!$A$1:$T$117"}</definedName>
    <definedName name="_a44_1_1" hidden="1">{"'vert'!$A$1:$T$117"}</definedName>
    <definedName name="_a44_1_1_1" hidden="1">{"'vert'!$A$1:$T$117"}</definedName>
    <definedName name="_a44_1_2" hidden="1">{"'vert'!$A$1:$T$117"}</definedName>
    <definedName name="_a44_2" hidden="1">{"'vert'!$A$1:$T$117"}</definedName>
    <definedName name="_a44_2_1" hidden="1">{"'vert'!$A$1:$T$117"}</definedName>
    <definedName name="_a44_3" hidden="1">{"'vert'!$A$1:$T$117"}</definedName>
    <definedName name="_a44_3_1" hidden="1">{"'vert'!$A$1:$T$117"}</definedName>
    <definedName name="_a44_4" hidden="1">{"'vert'!$A$1:$T$117"}</definedName>
    <definedName name="_a44_4_1" hidden="1">{"'vert'!$A$1:$T$117"}</definedName>
    <definedName name="_a44_5" hidden="1">{"'vert'!$A$1:$T$117"}</definedName>
    <definedName name="_a55" hidden="1">{"'vert'!$A$1:$T$117"}</definedName>
    <definedName name="_a55_1" hidden="1">{"'vert'!$A$1:$T$117"}</definedName>
    <definedName name="_a55_1_1" hidden="1">{"'vert'!$A$1:$T$117"}</definedName>
    <definedName name="_a55_1_1_1" hidden="1">{"'vert'!$A$1:$T$117"}</definedName>
    <definedName name="_a55_1_2" hidden="1">{"'vert'!$A$1:$T$117"}</definedName>
    <definedName name="_a55_2" hidden="1">{"'vert'!$A$1:$T$117"}</definedName>
    <definedName name="_a55_2_1" hidden="1">{"'vert'!$A$1:$T$117"}</definedName>
    <definedName name="_a55_3" hidden="1">{"'vert'!$A$1:$T$117"}</definedName>
    <definedName name="_a55_3_1" hidden="1">{"'vert'!$A$1:$T$117"}</definedName>
    <definedName name="_a55_4" hidden="1">{"'vert'!$A$1:$T$117"}</definedName>
    <definedName name="_a55_4_1" hidden="1">{"'vert'!$A$1:$T$117"}</definedName>
    <definedName name="_a55_5" hidden="1">{"'vert'!$A$1:$T$117"}</definedName>
    <definedName name="_a66" hidden="1">{"'vert'!$A$1:$T$117"}</definedName>
    <definedName name="_a66_1" hidden="1">{"'vert'!$A$1:$T$117"}</definedName>
    <definedName name="_a66_1_1" hidden="1">{"'vert'!$A$1:$T$117"}</definedName>
    <definedName name="_a66_1_1_1" hidden="1">{"'vert'!$A$1:$T$117"}</definedName>
    <definedName name="_a66_1_2" hidden="1">{"'vert'!$A$1:$T$117"}</definedName>
    <definedName name="_a66_2" hidden="1">{"'vert'!$A$1:$T$117"}</definedName>
    <definedName name="_a66_2_1" hidden="1">{"'vert'!$A$1:$T$117"}</definedName>
    <definedName name="_a66_3" hidden="1">{"'vert'!$A$1:$T$117"}</definedName>
    <definedName name="_a66_3_1" hidden="1">{"'vert'!$A$1:$T$117"}</definedName>
    <definedName name="_a66_4" hidden="1">{"'vert'!$A$1:$T$117"}</definedName>
    <definedName name="_a66_4_1" hidden="1">{"'vert'!$A$1:$T$117"}</definedName>
    <definedName name="_a66_5" hidden="1">{"'vert'!$A$1:$T$117"}</definedName>
    <definedName name="_a77" hidden="1">{"'vert'!$A$1:$T$117"}</definedName>
    <definedName name="_a77_1" hidden="1">{"'vert'!$A$1:$T$117"}</definedName>
    <definedName name="_a77_1_1" hidden="1">{"'vert'!$A$1:$T$117"}</definedName>
    <definedName name="_a77_1_1_1" hidden="1">{"'vert'!$A$1:$T$117"}</definedName>
    <definedName name="_a77_1_2" hidden="1">{"'vert'!$A$1:$T$117"}</definedName>
    <definedName name="_a77_2" hidden="1">{"'vert'!$A$1:$T$117"}</definedName>
    <definedName name="_a77_2_1" hidden="1">{"'vert'!$A$1:$T$117"}</definedName>
    <definedName name="_a77_3" hidden="1">{"'vert'!$A$1:$T$117"}</definedName>
    <definedName name="_a77_3_1" hidden="1">{"'vert'!$A$1:$T$117"}</definedName>
    <definedName name="_a77_4" hidden="1">{"'vert'!$A$1:$T$117"}</definedName>
    <definedName name="_a77_4_1" hidden="1">{"'vert'!$A$1:$T$117"}</definedName>
    <definedName name="_a77_5" hidden="1">{"'vert'!$A$1:$T$117"}</definedName>
    <definedName name="_a88" hidden="1">{"'vert'!$A$1:$T$117"}</definedName>
    <definedName name="_a88_1" hidden="1">{"'vert'!$A$1:$T$117"}</definedName>
    <definedName name="_a88_1_1" hidden="1">{"'vert'!$A$1:$T$117"}</definedName>
    <definedName name="_a88_1_1_1" hidden="1">{"'vert'!$A$1:$T$117"}</definedName>
    <definedName name="_a88_1_2" hidden="1">{"'vert'!$A$1:$T$117"}</definedName>
    <definedName name="_a88_2" hidden="1">{"'vert'!$A$1:$T$117"}</definedName>
    <definedName name="_a88_2_1" hidden="1">{"'vert'!$A$1:$T$117"}</definedName>
    <definedName name="_a88_3" hidden="1">{"'vert'!$A$1:$T$117"}</definedName>
    <definedName name="_a88_3_1" hidden="1">{"'vert'!$A$1:$T$117"}</definedName>
    <definedName name="_a88_4" hidden="1">{"'vert'!$A$1:$T$117"}</definedName>
    <definedName name="_a88_4_1" hidden="1">{"'vert'!$A$1:$T$117"}</definedName>
    <definedName name="_a88_5" hidden="1">{"'vert'!$A$1:$T$117"}</definedName>
    <definedName name="_a99" hidden="1">{"'vert'!$A$1:$T$117"}</definedName>
    <definedName name="_a99_1" hidden="1">{"'vert'!$A$1:$T$117"}</definedName>
    <definedName name="_a99_1_1" hidden="1">{"'vert'!$A$1:$T$117"}</definedName>
    <definedName name="_a99_1_1_1" hidden="1">{"'vert'!$A$1:$T$117"}</definedName>
    <definedName name="_a99_1_2" hidden="1">{"'vert'!$A$1:$T$117"}</definedName>
    <definedName name="_a99_2" hidden="1">{"'vert'!$A$1:$T$117"}</definedName>
    <definedName name="_a99_2_1" hidden="1">{"'vert'!$A$1:$T$117"}</definedName>
    <definedName name="_a99_3" hidden="1">{"'vert'!$A$1:$T$117"}</definedName>
    <definedName name="_a99_3_1" hidden="1">{"'vert'!$A$1:$T$117"}</definedName>
    <definedName name="_a99_4" hidden="1">{"'vert'!$A$1:$T$117"}</definedName>
    <definedName name="_a99_4_1" hidden="1">{"'vert'!$A$1:$T$117"}</definedName>
    <definedName name="_a99_5" hidden="1">{"'vert'!$A$1:$T$117"}</definedName>
    <definedName name="_bdm.007BA86F79DF46BC8F0440C4C0948146.edm" hidden="1" xml:space="preserve">  [1]WC!$1:$1048576</definedName>
    <definedName name="_bdm.0346C894FA314B85B1931CFE48820C8B.edm" hidden="1" xml:space="preserve">  '[1]MP Graphs'!$1:$1048576</definedName>
    <definedName name="_bdm.06B8576461724687B15495CCF2DD06E0.edm" hidden="1" xml:space="preserve">  '[1]MP Graphs'!$1:$1048576</definedName>
    <definedName name="_bdm.06CC246E7DBC44F3891086B0B75ECF39.edm" hidden="1" xml:space="preserve">  [1]WC!$1:$1048576</definedName>
    <definedName name="_bdm.085CB1B4AFBC42FDB42A5D410DA22E65.edm" hidden="1" xml:space="preserve">    '[1]MP Graphs'!$1:$1048576</definedName>
    <definedName name="_bdm.0AA3D3092EDA456BB97F68C1B69FBC0E.edm" hidden="1" xml:space="preserve">  '[1]MP Graphs'!$1:$1048576</definedName>
    <definedName name="_bdm.0D137C94AC1C4DB4AEA072BD9676C77E.edm" hidden="1" xml:space="preserve">    '[1]MP Graphs'!$1:$1048576</definedName>
    <definedName name="_bdm.0F23163E1CA64A2FBCBA9851AE098750.edm" hidden="1" xml:space="preserve">                  '[2]Graph by Product Type'!$1:$1048576</definedName>
    <definedName name="_bdm.18D0F9FB523E4927A980C655ECF3F2B1.edm" hidden="1" xml:space="preserve">  '[1]MP Graphs'!$1:$1048576</definedName>
    <definedName name="_bdm.1F8BDD7AC78B4114B81FEF6970DA0ED6.edm" hidden="1" xml:space="preserve">  '[1]MP Graphs'!$1:$1048576</definedName>
    <definedName name="_bdm.26049B46ED9A4A328BE14263914D3C5A.edm" hidden="1" xml:space="preserve">    '[1]MP Graphs'!$1:$1048576</definedName>
    <definedName name="_bdm.2A503CEAE4CE48ACB7D5A43D2AD392FD.edm" hidden="1" xml:space="preserve">  '[1]MP Graphs'!$A:$IV</definedName>
    <definedName name="_bdm.2E540CED84464485B2A6ED57DA28374B.edm" hidden="1" xml:space="preserve">    '[1]MP Graphs'!$A:$IV</definedName>
    <definedName name="_bdm.2E93E12EA5C047BC9FAD15B9E28B275A.edm" hidden="1" xml:space="preserve">    '[1]MP Graphs'!$A:$IV</definedName>
    <definedName name="_bdm.330F5F2A9C27481F946217E4119BE76C.edm" hidden="1" xml:space="preserve">  '[3]Retail-Whole'!$A:$IV</definedName>
    <definedName name="_bdm.387EBA828FBB4D38BB1A586CD0AFF465.edm" hidden="1" xml:space="preserve">    '[1]MP Graphs'!$A:$IV</definedName>
    <definedName name="_bdm.3EA02F8F86504F409582E998C5158FB7.edm" hidden="1" xml:space="preserve">  '[1]MP Graphs'!$A:$IV</definedName>
    <definedName name="_bdm.41DE43AE4D1241AEB1CDB2DC94A69957.edm" hidden="1" xml:space="preserve">  '[1]MP Graphs'!$A:$IV</definedName>
    <definedName name="_bdm.45C3047DA2C641DC8FA84094CFDE6B34.edm" hidden="1" xml:space="preserve">    '[1]MP Graphs'!$A:$IV</definedName>
    <definedName name="_bdm.46C2D004A268465D9DD726589B46A0E2.edm" hidden="1" xml:space="preserve">  '[2]SGA Graph'!$A:$IV</definedName>
    <definedName name="_bdm.47750F1F5CA041F3BE39C3C1C7B4852D.edm" hidden="1" xml:space="preserve">  '[1]MP Graphs'!$A:$IV</definedName>
    <definedName name="_bdm.4DE98D6094BE4903AA4834D7DBE2FA22.edm" hidden="1" xml:space="preserve">  '[2]Income Summary'!$A:$IV</definedName>
    <definedName name="_bdm.54FADB277CB54BC083ABB633900B7C21.edm" hidden="1" xml:space="preserve">  '[2]SGA Graph'!$A:$IV</definedName>
    <definedName name="_bdm.5A9D63B10A8648A7BDBACBEA2C30EB26.edm" hidden="1" xml:space="preserve">    '[1]MP Graphs'!$A:$IV</definedName>
    <definedName name="_bdm.61A216573DF1472E9CC16E67C92D3D7D.edm" hidden="1" xml:space="preserve">    '[1]MP Graphs'!$A:$IV</definedName>
    <definedName name="_bdm.63ACC210A4464B3EAD62ABC87FBB0CDC.edm" hidden="1" xml:space="preserve">    [1]WC!$A:$IV</definedName>
    <definedName name="_bdm.6737861878384BF8B58BE3ED25BCC982.edm" hidden="1" xml:space="preserve">  '[1]MP Graphs'!$A:$IV</definedName>
    <definedName name="_bdm.6C79FD22714D481E944DE75DC7E47B8C.edm" hidden="1" xml:space="preserve">  '[2]Balance Summary'!$A:$IV</definedName>
    <definedName name="_bdm.75736F23CA7143A78F9F1605BAF107B0.edm" hidden="1" xml:space="preserve">                                    '[2]Graph by Product Type'!$A:$IV</definedName>
    <definedName name="_bdm.7B3D2AFA0546488B946CA5BA06E27DF6.edm" hidden="1" xml:space="preserve">  '[2]SGA Graph'!$A:$IV</definedName>
    <definedName name="_bdm.7EA605D2CED04F7F9D252C57B15F04A2.edm" hidden="1" xml:space="preserve">  [2]SGA!$A:$IV</definedName>
    <definedName name="_bdm.865BF0CA327A483B85FE91618D38C2B6.edm" hidden="1" xml:space="preserve">  '[2]SGA Graph'!$A:$IV</definedName>
    <definedName name="_bdm.94951F903F7644F8B672C407423F45C3.edm" hidden="1" xml:space="preserve">  '[3]Retail-Whole'!$A:$IV</definedName>
    <definedName name="_bdm.9D8E3E48361640E89639F1713A7F722C.edm" hidden="1" xml:space="preserve">    '[1]MP Graphs'!$A:$IV</definedName>
    <definedName name="_bdm.A2B32CFB82054C34A56DB54988F166AC.edm" hidden="1" xml:space="preserve">  '[4]Performance Graphs'!$A:$IV</definedName>
    <definedName name="_bdm.A37BDD0F47BD4109A13217F5C2BC564F.edm" hidden="1" xml:space="preserve">    '[1]MP Graphs'!$A:$IV</definedName>
    <definedName name="_bdm.A3928C962390431AB36F75CC8C04FC3B.edm" hidden="1" xml:space="preserve">    '[1]MP Graphs'!$A:$IV</definedName>
    <definedName name="_bdm.A85C7BC7858C4873A3FA45B76AECE04D.edm" hidden="1" xml:space="preserve">    '[1]MP Graphs'!$A:$IV</definedName>
    <definedName name="_bdm.B4711CCC965545FE8E853A03BCCE12F4.edm" hidden="1" xml:space="preserve">                  '[2]Graph by Product Type'!$A:$IV</definedName>
    <definedName name="_bdm.B6F5284BC6884497B4BE22FB3D0A075E.edm" hidden="1" xml:space="preserve">  '[1]MP Graphs'!$A:$IV</definedName>
    <definedName name="_bdm.BC35C1D18FF2461ABD34F16AA1679800.edm" hidden="1" xml:space="preserve">  '[1]MP Graphs'!$A:$IV</definedName>
    <definedName name="_bdm.C26CE3BA777F4407AE945C56485D6E48.edm" hidden="1" xml:space="preserve">  '[1]MP Graphs'!$A:$IV</definedName>
    <definedName name="_bdm.CC82658C07CC4AA88D24859820F58230.edm" hidden="1" xml:space="preserve">  '[1]MP Graphs'!$A:$IV</definedName>
    <definedName name="_bdm.D61AC468F0FD4E469F534F2C627C20C9.edm" hidden="1" xml:space="preserve">  '[1]MP Graphs'!$A:$IV</definedName>
    <definedName name="_bdm.DA8A8DEBF36349C69E8EB7A19825156F.edm" hidden="1" xml:space="preserve">  '[3]Retail-Whole'!$A:$IV</definedName>
    <definedName name="_bdm.E81453F6097244548DE50DFD618D8C72.edm" hidden="1" xml:space="preserve">  '[1]MP Graphs'!$A:$IV</definedName>
    <definedName name="_bdm.EEE0DBFA263D466BA9069ECF938C1E63.edm" hidden="1" xml:space="preserve">    [1]WC!$A:$IV</definedName>
    <definedName name="_bdm.F1339A5660594FA5B585AC6FFA8FE31B.edm" hidden="1" xml:space="preserve">  '[1]MP Graphs'!$A:$IV</definedName>
    <definedName name="_bdm.F5478B115F07489DB7F8DC2054CA9CA3.edm" hidden="1" xml:space="preserve">    '[1]MP Graphs'!$A:$IV</definedName>
    <definedName name="_bla2" hidden="1">{"'vert'!$A$1:$T$117"}</definedName>
    <definedName name="_bla2_1" hidden="1">{"'vert'!$A$1:$T$117"}</definedName>
    <definedName name="_bla2_1_1" hidden="1">{"'vert'!$A$1:$T$117"}</definedName>
    <definedName name="_bla2_1_1_1" hidden="1">{"'vert'!$A$1:$T$117"}</definedName>
    <definedName name="_bla2_1_2" hidden="1">{"'vert'!$A$1:$T$117"}</definedName>
    <definedName name="_bla2_2" hidden="1">{"'vert'!$A$1:$T$117"}</definedName>
    <definedName name="_bla2_2_1" hidden="1">{"'vert'!$A$1:$T$117"}</definedName>
    <definedName name="_bla2_3" hidden="1">{"'vert'!$A$1:$T$117"}</definedName>
    <definedName name="_bla2_3_1" hidden="1">{"'vert'!$A$1:$T$117"}</definedName>
    <definedName name="_bla2_4" hidden="1">{"'vert'!$A$1:$T$117"}</definedName>
    <definedName name="_bla2_4_1" hidden="1">{"'vert'!$A$1:$T$117"}</definedName>
    <definedName name="_bla2_5" hidden="1">{"'vert'!$A$1:$T$117"}</definedName>
    <definedName name="_bla3" hidden="1">{"'vert'!$A$1:$T$117"}</definedName>
    <definedName name="_bla3_1" hidden="1">{"'vert'!$A$1:$T$117"}</definedName>
    <definedName name="_bla3_1_1" hidden="1">{"'vert'!$A$1:$T$117"}</definedName>
    <definedName name="_bla3_1_1_1" hidden="1">{"'vert'!$A$1:$T$117"}</definedName>
    <definedName name="_bla3_1_2" hidden="1">{"'vert'!$A$1:$T$117"}</definedName>
    <definedName name="_bla3_2" hidden="1">{"'vert'!$A$1:$T$117"}</definedName>
    <definedName name="_bla3_2_1" hidden="1">{"'vert'!$A$1:$T$117"}</definedName>
    <definedName name="_bla3_3" hidden="1">{"'vert'!$A$1:$T$117"}</definedName>
    <definedName name="_bla3_3_1" hidden="1">{"'vert'!$A$1:$T$117"}</definedName>
    <definedName name="_bla3_4" hidden="1">{"'vert'!$A$1:$T$117"}</definedName>
    <definedName name="_bla3_4_1" hidden="1">{"'vert'!$A$1:$T$117"}</definedName>
    <definedName name="_bla3_5" hidden="1">{"'vert'!$A$1:$T$117"}</definedName>
    <definedName name="_dd2" hidden="1">{"'vert'!$A$1:$T$117"}</definedName>
    <definedName name="_dd2_1" hidden="1">{"'vert'!$A$1:$T$117"}</definedName>
    <definedName name="_dd2_1_1" hidden="1">{"'vert'!$A$1:$T$117"}</definedName>
    <definedName name="_dd2_1_1_1" hidden="1">{"'vert'!$A$1:$T$117"}</definedName>
    <definedName name="_dd2_1_2" hidden="1">{"'vert'!$A$1:$T$117"}</definedName>
    <definedName name="_dd2_2" hidden="1">{"'vert'!$A$1:$T$117"}</definedName>
    <definedName name="_dd2_2_1" hidden="1">{"'vert'!$A$1:$T$117"}</definedName>
    <definedName name="_dd2_3" hidden="1">{"'vert'!$A$1:$T$117"}</definedName>
    <definedName name="_dd2_3_1" hidden="1">{"'vert'!$A$1:$T$117"}</definedName>
    <definedName name="_dd2_4" hidden="1">{"'vert'!$A$1:$T$117"}</definedName>
    <definedName name="_dd2_4_1" hidden="1">{"'vert'!$A$1:$T$117"}</definedName>
    <definedName name="_dd2_5" hidden="1">{"'vert'!$A$1:$T$117"}</definedName>
    <definedName name="_DE2" hidden="1">{"'vert'!$A$1:$T$117"}</definedName>
    <definedName name="_DE2_1" hidden="1">{"'vert'!$A$1:$T$117"}</definedName>
    <definedName name="_DE2_1_1" hidden="1">{"'vert'!$A$1:$T$117"}</definedName>
    <definedName name="_DE2_1_1_1" hidden="1">{"'vert'!$A$1:$T$117"}</definedName>
    <definedName name="_DE2_1_2" hidden="1">{"'vert'!$A$1:$T$117"}</definedName>
    <definedName name="_DE2_2" hidden="1">{"'vert'!$A$1:$T$117"}</definedName>
    <definedName name="_DE2_2_1" hidden="1">{"'vert'!$A$1:$T$117"}</definedName>
    <definedName name="_DE2_3" hidden="1">{"'vert'!$A$1:$T$117"}</definedName>
    <definedName name="_DE2_3_1" hidden="1">{"'vert'!$A$1:$T$117"}</definedName>
    <definedName name="_DE2_4" hidden="1">{"'vert'!$A$1:$T$117"}</definedName>
    <definedName name="_DE2_4_1" hidden="1">{"'vert'!$A$1:$T$117"}</definedName>
    <definedName name="_DE2_5" hidden="1">{"'vert'!$A$1:$T$117"}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Order1" hidden="1">255</definedName>
    <definedName name="_Order2" hidden="1">0</definedName>
    <definedName name="_rev12345" hidden="1">{"'vert'!$A$1:$T$117"}</definedName>
    <definedName name="_rev12345_1" hidden="1">{"'vert'!$A$1:$T$117"}</definedName>
    <definedName name="_rev12345_1_1" hidden="1">{"'vert'!$A$1:$T$117"}</definedName>
    <definedName name="_rev12345_1_1_1" hidden="1">{"'vert'!$A$1:$T$117"}</definedName>
    <definedName name="_rev12345_1_2" hidden="1">{"'vert'!$A$1:$T$117"}</definedName>
    <definedName name="_rev12345_2" hidden="1">{"'vert'!$A$1:$T$117"}</definedName>
    <definedName name="_rev12345_2_1" hidden="1">{"'vert'!$A$1:$T$117"}</definedName>
    <definedName name="_rev12345_3" hidden="1">{"'vert'!$A$1:$T$117"}</definedName>
    <definedName name="_rev12345_3_1" hidden="1">{"'vert'!$A$1:$T$117"}</definedName>
    <definedName name="_rev12345_4" hidden="1">{"'vert'!$A$1:$T$117"}</definedName>
    <definedName name="_rev12345_4_1" hidden="1">{"'vert'!$A$1:$T$117"}</definedName>
    <definedName name="_rev12345_5" hidden="1">{"'vert'!$A$1:$T$117"}</definedName>
    <definedName name="_Table2_Out" hidden="1">#REF!</definedName>
    <definedName name="_Table2_Out2" hidden="1">#REF!</definedName>
    <definedName name="_wk02" hidden="1">{"'vert'!$A$1:$T$117"}</definedName>
    <definedName name="_wk02_1" hidden="1">{"'vert'!$A$1:$T$117"}</definedName>
    <definedName name="_wk02_1_1" hidden="1">{"'vert'!$A$1:$T$117"}</definedName>
    <definedName name="_wk02_1_1_1" hidden="1">{"'vert'!$A$1:$T$117"}</definedName>
    <definedName name="_wk02_1_2" hidden="1">{"'vert'!$A$1:$T$117"}</definedName>
    <definedName name="_wk02_2" hidden="1">{"'vert'!$A$1:$T$117"}</definedName>
    <definedName name="_wk02_2_1" hidden="1">{"'vert'!$A$1:$T$117"}</definedName>
    <definedName name="_wk02_3" hidden="1">{"'vert'!$A$1:$T$117"}</definedName>
    <definedName name="_wk02_3_1" hidden="1">{"'vert'!$A$1:$T$117"}</definedName>
    <definedName name="_wk02_4" hidden="1">{"'vert'!$A$1:$T$117"}</definedName>
    <definedName name="_wk02_4_1" hidden="1">{"'vert'!$A$1:$T$117"}</definedName>
    <definedName name="_wk02_5" hidden="1">{"'vert'!$A$1:$T$117"}</definedName>
    <definedName name="_wk03" hidden="1">{"'vert'!$A$1:$T$117"}</definedName>
    <definedName name="_wk03_1" hidden="1">{"'vert'!$A$1:$T$117"}</definedName>
    <definedName name="_wk03_1_1" hidden="1">{"'vert'!$A$1:$T$117"}</definedName>
    <definedName name="_wk03_1_1_1" hidden="1">{"'vert'!$A$1:$T$117"}</definedName>
    <definedName name="_wk03_1_2" hidden="1">{"'vert'!$A$1:$T$117"}</definedName>
    <definedName name="_wk03_2" hidden="1">{"'vert'!$A$1:$T$117"}</definedName>
    <definedName name="_wk03_2_1" hidden="1">{"'vert'!$A$1:$T$117"}</definedName>
    <definedName name="_wk03_3" hidden="1">{"'vert'!$A$1:$T$117"}</definedName>
    <definedName name="_wk03_3_1" hidden="1">{"'vert'!$A$1:$T$117"}</definedName>
    <definedName name="_wk03_4" hidden="1">{"'vert'!$A$1:$T$117"}</definedName>
    <definedName name="_wk03_4_1" hidden="1">{"'vert'!$A$1:$T$117"}</definedName>
    <definedName name="_wk03_5" hidden="1">{"'vert'!$A$1:$T$117"}</definedName>
    <definedName name="_wk04" hidden="1">{"'vert'!$A$1:$T$117"}</definedName>
    <definedName name="_wk04_1" hidden="1">{"'vert'!$A$1:$T$117"}</definedName>
    <definedName name="_wk04_1_1" hidden="1">{"'vert'!$A$1:$T$117"}</definedName>
    <definedName name="_wk04_1_1_1" hidden="1">{"'vert'!$A$1:$T$117"}</definedName>
    <definedName name="_wk04_1_2" hidden="1">{"'vert'!$A$1:$T$117"}</definedName>
    <definedName name="_wk04_2" hidden="1">{"'vert'!$A$1:$T$117"}</definedName>
    <definedName name="_wk04_2_1" hidden="1">{"'vert'!$A$1:$T$117"}</definedName>
    <definedName name="_wk04_3" hidden="1">{"'vert'!$A$1:$T$117"}</definedName>
    <definedName name="_wk04_3_1" hidden="1">{"'vert'!$A$1:$T$117"}</definedName>
    <definedName name="_wk04_4" hidden="1">{"'vert'!$A$1:$T$117"}</definedName>
    <definedName name="_wk04_4_1" hidden="1">{"'vert'!$A$1:$T$117"}</definedName>
    <definedName name="_wk04_5" hidden="1">{"'vert'!$A$1:$T$117"}</definedName>
    <definedName name="_wk05" hidden="1">{"'vert'!$A$1:$T$117"}</definedName>
    <definedName name="_wk05_1" hidden="1">{"'vert'!$A$1:$T$117"}</definedName>
    <definedName name="_wk05_1_1" hidden="1">{"'vert'!$A$1:$T$117"}</definedName>
    <definedName name="_wk05_1_1_1" hidden="1">{"'vert'!$A$1:$T$117"}</definedName>
    <definedName name="_wk05_1_2" hidden="1">{"'vert'!$A$1:$T$117"}</definedName>
    <definedName name="_wk05_2" hidden="1">{"'vert'!$A$1:$T$117"}</definedName>
    <definedName name="_wk05_2_1" hidden="1">{"'vert'!$A$1:$T$117"}</definedName>
    <definedName name="_wk05_3" hidden="1">{"'vert'!$A$1:$T$117"}</definedName>
    <definedName name="_wk05_3_1" hidden="1">{"'vert'!$A$1:$T$117"}</definedName>
    <definedName name="_wk05_4" hidden="1">{"'vert'!$A$1:$T$117"}</definedName>
    <definedName name="_wk05_4_1" hidden="1">{"'vert'!$A$1:$T$117"}</definedName>
    <definedName name="_wk05_5" hidden="1">{"'vert'!$A$1:$T$117"}</definedName>
    <definedName name="_wk06" hidden="1">{"'vert'!$A$1:$T$117"}</definedName>
    <definedName name="_wk06_1" hidden="1">{"'vert'!$A$1:$T$117"}</definedName>
    <definedName name="_wk06_1_1" hidden="1">{"'vert'!$A$1:$T$117"}</definedName>
    <definedName name="_wk06_1_1_1" hidden="1">{"'vert'!$A$1:$T$117"}</definedName>
    <definedName name="_wk06_1_2" hidden="1">{"'vert'!$A$1:$T$117"}</definedName>
    <definedName name="_wk06_2" hidden="1">{"'vert'!$A$1:$T$117"}</definedName>
    <definedName name="_wk06_2_1" hidden="1">{"'vert'!$A$1:$T$117"}</definedName>
    <definedName name="_wk06_3" hidden="1">{"'vert'!$A$1:$T$117"}</definedName>
    <definedName name="_wk06_3_1" hidden="1">{"'vert'!$A$1:$T$117"}</definedName>
    <definedName name="_wk06_4" hidden="1">{"'vert'!$A$1:$T$117"}</definedName>
    <definedName name="_wk06_4_1" hidden="1">{"'vert'!$A$1:$T$117"}</definedName>
    <definedName name="_wk06_5" hidden="1">{"'vert'!$A$1:$T$117"}</definedName>
    <definedName name="_wk07" hidden="1">{"'vert'!$A$1:$T$117"}</definedName>
    <definedName name="_wk07_1" hidden="1">{"'vert'!$A$1:$T$117"}</definedName>
    <definedName name="_wk07_1_1" hidden="1">{"'vert'!$A$1:$T$117"}</definedName>
    <definedName name="_wk07_1_1_1" hidden="1">{"'vert'!$A$1:$T$117"}</definedName>
    <definedName name="_wk07_1_2" hidden="1">{"'vert'!$A$1:$T$117"}</definedName>
    <definedName name="_wk07_2" hidden="1">{"'vert'!$A$1:$T$117"}</definedName>
    <definedName name="_wk07_2_1" hidden="1">{"'vert'!$A$1:$T$117"}</definedName>
    <definedName name="_wk07_3" hidden="1">{"'vert'!$A$1:$T$117"}</definedName>
    <definedName name="_wk07_3_1" hidden="1">{"'vert'!$A$1:$T$117"}</definedName>
    <definedName name="_wk07_4" hidden="1">{"'vert'!$A$1:$T$117"}</definedName>
    <definedName name="_wk07_4_1" hidden="1">{"'vert'!$A$1:$T$117"}</definedName>
    <definedName name="_wk07_5" hidden="1">{"'vert'!$A$1:$T$117"}</definedName>
    <definedName name="_wk08" hidden="1">{"'vert'!$A$1:$T$117"}</definedName>
    <definedName name="_wk08_1" hidden="1">{"'vert'!$A$1:$T$117"}</definedName>
    <definedName name="_wk08_1_1" hidden="1">{"'vert'!$A$1:$T$117"}</definedName>
    <definedName name="_wk08_1_1_1" hidden="1">{"'vert'!$A$1:$T$117"}</definedName>
    <definedName name="_wk08_1_2" hidden="1">{"'vert'!$A$1:$T$117"}</definedName>
    <definedName name="_wk08_2" hidden="1">{"'vert'!$A$1:$T$117"}</definedName>
    <definedName name="_wk08_2_1" hidden="1">{"'vert'!$A$1:$T$117"}</definedName>
    <definedName name="_wk08_3" hidden="1">{"'vert'!$A$1:$T$117"}</definedName>
    <definedName name="_wk08_3_1" hidden="1">{"'vert'!$A$1:$T$117"}</definedName>
    <definedName name="_wk08_4" hidden="1">{"'vert'!$A$1:$T$117"}</definedName>
    <definedName name="_wk08_4_1" hidden="1">{"'vert'!$A$1:$T$117"}</definedName>
    <definedName name="_wk08_5" hidden="1">{"'vert'!$A$1:$T$117"}</definedName>
    <definedName name="_wk09" hidden="1">{"'vert'!$A$1:$T$117"}</definedName>
    <definedName name="_wk09_1" hidden="1">{"'vert'!$A$1:$T$117"}</definedName>
    <definedName name="_wk09_1_1" hidden="1">{"'vert'!$A$1:$T$117"}</definedName>
    <definedName name="_wk09_1_1_1" hidden="1">{"'vert'!$A$1:$T$117"}</definedName>
    <definedName name="_wk09_1_2" hidden="1">{"'vert'!$A$1:$T$117"}</definedName>
    <definedName name="_wk09_2" hidden="1">{"'vert'!$A$1:$T$117"}</definedName>
    <definedName name="_wk09_2_1" hidden="1">{"'vert'!$A$1:$T$117"}</definedName>
    <definedName name="_wk09_3" hidden="1">{"'vert'!$A$1:$T$117"}</definedName>
    <definedName name="_wk09_3_1" hidden="1">{"'vert'!$A$1:$T$117"}</definedName>
    <definedName name="_wk09_4" hidden="1">{"'vert'!$A$1:$T$117"}</definedName>
    <definedName name="_wk09_4_1" hidden="1">{"'vert'!$A$1:$T$117"}</definedName>
    <definedName name="_wk09_5" hidden="1">{"'vert'!$A$1:$T$117"}</definedName>
    <definedName name="_wk0904" hidden="1">{"'vert'!$A$1:$T$117"}</definedName>
    <definedName name="_wk0904_1" hidden="1">{"'vert'!$A$1:$T$117"}</definedName>
    <definedName name="_wk0904_1_1" hidden="1">{"'vert'!$A$1:$T$117"}</definedName>
    <definedName name="_wk0904_1_1_1" hidden="1">{"'vert'!$A$1:$T$117"}</definedName>
    <definedName name="_wk0904_1_2" hidden="1">{"'vert'!$A$1:$T$117"}</definedName>
    <definedName name="_wk0904_2" hidden="1">{"'vert'!$A$1:$T$117"}</definedName>
    <definedName name="_wk0904_2_1" hidden="1">{"'vert'!$A$1:$T$117"}</definedName>
    <definedName name="_wk0904_3" hidden="1">{"'vert'!$A$1:$T$117"}</definedName>
    <definedName name="_wk0904_3_1" hidden="1">{"'vert'!$A$1:$T$117"}</definedName>
    <definedName name="_wk0904_4" hidden="1">{"'vert'!$A$1:$T$117"}</definedName>
    <definedName name="_wk0904_4_1" hidden="1">{"'vert'!$A$1:$T$117"}</definedName>
    <definedName name="_wk0904_5" hidden="1">{"'vert'!$A$1:$T$117"}</definedName>
    <definedName name="_wk11" hidden="1">{"'vert'!$A$1:$T$117"}</definedName>
    <definedName name="_wk11_1" hidden="1">{"'vert'!$A$1:$T$117"}</definedName>
    <definedName name="_wk11_1_1" hidden="1">{"'vert'!$A$1:$T$117"}</definedName>
    <definedName name="_wk11_1_1_1" hidden="1">{"'vert'!$A$1:$T$117"}</definedName>
    <definedName name="_wk11_1_2" hidden="1">{"'vert'!$A$1:$T$117"}</definedName>
    <definedName name="_wk11_2" hidden="1">{"'vert'!$A$1:$T$117"}</definedName>
    <definedName name="_wk11_2_1" hidden="1">{"'vert'!$A$1:$T$117"}</definedName>
    <definedName name="_wk11_3" hidden="1">{"'vert'!$A$1:$T$117"}</definedName>
    <definedName name="_wk11_3_1" hidden="1">{"'vert'!$A$1:$T$117"}</definedName>
    <definedName name="_wk11_4" hidden="1">{"'vert'!$A$1:$T$117"}</definedName>
    <definedName name="_wk11_4_1" hidden="1">{"'vert'!$A$1:$T$117"}</definedName>
    <definedName name="_wk11_5" hidden="1">{"'vert'!$A$1:$T$117"}</definedName>
    <definedName name="_wk110" hidden="1">{"'vert'!$A$1:$T$117"}</definedName>
    <definedName name="_wk110_1" hidden="1">{"'vert'!$A$1:$T$117"}</definedName>
    <definedName name="_wk110_1_1" hidden="1">{"'vert'!$A$1:$T$117"}</definedName>
    <definedName name="_wk110_1_1_1" hidden="1">{"'vert'!$A$1:$T$117"}</definedName>
    <definedName name="_wk110_1_2" hidden="1">{"'vert'!$A$1:$T$117"}</definedName>
    <definedName name="_wk110_2" hidden="1">{"'vert'!$A$1:$T$117"}</definedName>
    <definedName name="_wk110_2_1" hidden="1">{"'vert'!$A$1:$T$117"}</definedName>
    <definedName name="_wk110_3" hidden="1">{"'vert'!$A$1:$T$117"}</definedName>
    <definedName name="_wk110_3_1" hidden="1">{"'vert'!$A$1:$T$117"}</definedName>
    <definedName name="_wk110_4" hidden="1">{"'vert'!$A$1:$T$117"}</definedName>
    <definedName name="_wk110_4_1" hidden="1">{"'vert'!$A$1:$T$117"}</definedName>
    <definedName name="_wk110_5" hidden="1">{"'vert'!$A$1:$T$117"}</definedName>
    <definedName name="_wk1111" hidden="1">{"'vert'!$A$1:$T$117"}</definedName>
    <definedName name="_wk1111_1" hidden="1">{"'vert'!$A$1:$T$117"}</definedName>
    <definedName name="_wk1111_1_1" hidden="1">{"'vert'!$A$1:$T$117"}</definedName>
    <definedName name="_wk1111_1_1_1" hidden="1">{"'vert'!$A$1:$T$117"}</definedName>
    <definedName name="_wk1111_1_2" hidden="1">{"'vert'!$A$1:$T$117"}</definedName>
    <definedName name="_wk1111_2" hidden="1">{"'vert'!$A$1:$T$117"}</definedName>
    <definedName name="_wk1111_2_1" hidden="1">{"'vert'!$A$1:$T$117"}</definedName>
    <definedName name="_wk1111_3" hidden="1">{"'vert'!$A$1:$T$117"}</definedName>
    <definedName name="_wk1111_3_1" hidden="1">{"'vert'!$A$1:$T$117"}</definedName>
    <definedName name="_wk1111_4" hidden="1">{"'vert'!$A$1:$T$117"}</definedName>
    <definedName name="_wk1111_4_1" hidden="1">{"'vert'!$A$1:$T$117"}</definedName>
    <definedName name="_wk1111_5" hidden="1">{"'vert'!$A$1:$T$117"}</definedName>
    <definedName name="_wk15" hidden="1">{"'vert'!$A$1:$T$117"}</definedName>
    <definedName name="_wk15_1" hidden="1">{"'vert'!$A$1:$T$117"}</definedName>
    <definedName name="_wk15_1_1" hidden="1">{"'vert'!$A$1:$T$117"}</definedName>
    <definedName name="_wk15_1_1_1" hidden="1">{"'vert'!$A$1:$T$117"}</definedName>
    <definedName name="_wk15_1_2" hidden="1">{"'vert'!$A$1:$T$117"}</definedName>
    <definedName name="_wk15_2" hidden="1">{"'vert'!$A$1:$T$117"}</definedName>
    <definedName name="_wk15_2_1" hidden="1">{"'vert'!$A$1:$T$117"}</definedName>
    <definedName name="_wk15_3" hidden="1">{"'vert'!$A$1:$T$117"}</definedName>
    <definedName name="_wk15_3_1" hidden="1">{"'vert'!$A$1:$T$117"}</definedName>
    <definedName name="_wk15_4" hidden="1">{"'vert'!$A$1:$T$117"}</definedName>
    <definedName name="_wk15_4_1" hidden="1">{"'vert'!$A$1:$T$117"}</definedName>
    <definedName name="_wk15_5" hidden="1">{"'vert'!$A$1:$T$117"}</definedName>
    <definedName name="_wk16" hidden="1">{"'vert'!$A$1:$T$117"}</definedName>
    <definedName name="_wk16_1" hidden="1">{"'vert'!$A$1:$T$117"}</definedName>
    <definedName name="_wk16_1_1" hidden="1">{"'vert'!$A$1:$T$117"}</definedName>
    <definedName name="_wk16_1_1_1" hidden="1">{"'vert'!$A$1:$T$117"}</definedName>
    <definedName name="_wk16_1_2" hidden="1">{"'vert'!$A$1:$T$117"}</definedName>
    <definedName name="_wk16_2" hidden="1">{"'vert'!$A$1:$T$117"}</definedName>
    <definedName name="_wk16_2_1" hidden="1">{"'vert'!$A$1:$T$117"}</definedName>
    <definedName name="_wk16_3" hidden="1">{"'vert'!$A$1:$T$117"}</definedName>
    <definedName name="_wk16_3_1" hidden="1">{"'vert'!$A$1:$T$117"}</definedName>
    <definedName name="_wk16_4" hidden="1">{"'vert'!$A$1:$T$117"}</definedName>
    <definedName name="_wk16_4_1" hidden="1">{"'vert'!$A$1:$T$117"}</definedName>
    <definedName name="_wk16_5" hidden="1">{"'vert'!$A$1:$T$117"}</definedName>
    <definedName name="_wk17" hidden="1">{"'vert'!$A$1:$T$117"}</definedName>
    <definedName name="_wk17_1" hidden="1">{"'vert'!$A$1:$T$117"}</definedName>
    <definedName name="_wk17_1_1" hidden="1">{"'vert'!$A$1:$T$117"}</definedName>
    <definedName name="_wk17_1_1_1" hidden="1">{"'vert'!$A$1:$T$117"}</definedName>
    <definedName name="_wk17_1_2" hidden="1">{"'vert'!$A$1:$T$117"}</definedName>
    <definedName name="_wk17_2" hidden="1">{"'vert'!$A$1:$T$117"}</definedName>
    <definedName name="_wk17_2_1" hidden="1">{"'vert'!$A$1:$T$117"}</definedName>
    <definedName name="_wk17_3" hidden="1">{"'vert'!$A$1:$T$117"}</definedName>
    <definedName name="_wk17_3_1" hidden="1">{"'vert'!$A$1:$T$117"}</definedName>
    <definedName name="_wk17_4" hidden="1">{"'vert'!$A$1:$T$117"}</definedName>
    <definedName name="_wk17_4_1" hidden="1">{"'vert'!$A$1:$T$117"}</definedName>
    <definedName name="_wk17_5" hidden="1">{"'vert'!$A$1:$T$117"}</definedName>
    <definedName name="_wk18" hidden="1">{"'vert'!$A$1:$T$117"}</definedName>
    <definedName name="_wk18_1" hidden="1">{"'vert'!$A$1:$T$117"}</definedName>
    <definedName name="_wk18_1_1" hidden="1">{"'vert'!$A$1:$T$117"}</definedName>
    <definedName name="_wk18_1_1_1" hidden="1">{"'vert'!$A$1:$T$117"}</definedName>
    <definedName name="_wk18_1_2" hidden="1">{"'vert'!$A$1:$T$117"}</definedName>
    <definedName name="_wk18_2" hidden="1">{"'vert'!$A$1:$T$117"}</definedName>
    <definedName name="_wk18_2_1" hidden="1">{"'vert'!$A$1:$T$117"}</definedName>
    <definedName name="_wk18_3" hidden="1">{"'vert'!$A$1:$T$117"}</definedName>
    <definedName name="_wk18_3_1" hidden="1">{"'vert'!$A$1:$T$117"}</definedName>
    <definedName name="_wk18_4" hidden="1">{"'vert'!$A$1:$T$117"}</definedName>
    <definedName name="_wk18_4_1" hidden="1">{"'vert'!$A$1:$T$117"}</definedName>
    <definedName name="_wk18_5" hidden="1">{"'vert'!$A$1:$T$117"}</definedName>
    <definedName name="_wk22" hidden="1">{"'vert'!$A$1:$T$117"}</definedName>
    <definedName name="_wk22_1" hidden="1">{"'vert'!$A$1:$T$117"}</definedName>
    <definedName name="_wk22_1_1" hidden="1">{"'vert'!$A$1:$T$117"}</definedName>
    <definedName name="_wk22_1_1_1" hidden="1">{"'vert'!$A$1:$T$117"}</definedName>
    <definedName name="_wk22_1_2" hidden="1">{"'vert'!$A$1:$T$117"}</definedName>
    <definedName name="_wk22_2" hidden="1">{"'vert'!$A$1:$T$117"}</definedName>
    <definedName name="_wk22_2_1" hidden="1">{"'vert'!$A$1:$T$117"}</definedName>
    <definedName name="_wk22_3" hidden="1">{"'vert'!$A$1:$T$117"}</definedName>
    <definedName name="_wk22_3_1" hidden="1">{"'vert'!$A$1:$T$117"}</definedName>
    <definedName name="_wk22_4" hidden="1">{"'vert'!$A$1:$T$117"}</definedName>
    <definedName name="_wk22_4_1" hidden="1">{"'vert'!$A$1:$T$117"}</definedName>
    <definedName name="_wk22_5" hidden="1">{"'vert'!$A$1:$T$117"}</definedName>
    <definedName name="_wkk15" hidden="1">{"'vert'!$A$1:$T$117"}</definedName>
    <definedName name="_wkk15_1" hidden="1">{"'vert'!$A$1:$T$117"}</definedName>
    <definedName name="_wkk15_1_1" hidden="1">{"'vert'!$A$1:$T$117"}</definedName>
    <definedName name="_wkk15_1_1_1" hidden="1">{"'vert'!$A$1:$T$117"}</definedName>
    <definedName name="_wkk15_1_2" hidden="1">{"'vert'!$A$1:$T$117"}</definedName>
    <definedName name="_wkk15_2" hidden="1">{"'vert'!$A$1:$T$117"}</definedName>
    <definedName name="_wkk15_2_1" hidden="1">{"'vert'!$A$1:$T$117"}</definedName>
    <definedName name="_wkk15_3" hidden="1">{"'vert'!$A$1:$T$117"}</definedName>
    <definedName name="_wkk15_3_1" hidden="1">{"'vert'!$A$1:$T$117"}</definedName>
    <definedName name="_wkk15_4" hidden="1">{"'vert'!$A$1:$T$117"}</definedName>
    <definedName name="_wkk15_4_1" hidden="1">{"'vert'!$A$1:$T$117"}</definedName>
    <definedName name="_wkk15_5" hidden="1">{"'vert'!$A$1:$T$117"}</definedName>
    <definedName name="_wkk20" hidden="1">{"'vert'!$A$1:$T$117"}</definedName>
    <definedName name="_wkk20_1" hidden="1">{"'vert'!$A$1:$T$117"}</definedName>
    <definedName name="_wkk20_1_1" hidden="1">{"'vert'!$A$1:$T$117"}</definedName>
    <definedName name="_wkk20_1_1_1" hidden="1">{"'vert'!$A$1:$T$117"}</definedName>
    <definedName name="_wkk20_1_2" hidden="1">{"'vert'!$A$1:$T$117"}</definedName>
    <definedName name="_wkk20_2" hidden="1">{"'vert'!$A$1:$T$117"}</definedName>
    <definedName name="_wkk20_2_1" hidden="1">{"'vert'!$A$1:$T$117"}</definedName>
    <definedName name="_wkk20_3" hidden="1">{"'vert'!$A$1:$T$117"}</definedName>
    <definedName name="_wkk20_3_1" hidden="1">{"'vert'!$A$1:$T$117"}</definedName>
    <definedName name="_wkk20_4" hidden="1">{"'vert'!$A$1:$T$117"}</definedName>
    <definedName name="_wkk20_4_1" hidden="1">{"'vert'!$A$1:$T$117"}</definedName>
    <definedName name="_wkk20_5" hidden="1">{"'vert'!$A$1:$T$117"}</definedName>
    <definedName name="_wko6" hidden="1">{"'vert'!$A$1:$T$117"}</definedName>
    <definedName name="_wko6_1" hidden="1">{"'vert'!$A$1:$T$117"}</definedName>
    <definedName name="_wko6_1_1" hidden="1">{"'vert'!$A$1:$T$117"}</definedName>
    <definedName name="_wko6_1_1_1" hidden="1">{"'vert'!$A$1:$T$117"}</definedName>
    <definedName name="_wko6_1_2" hidden="1">{"'vert'!$A$1:$T$117"}</definedName>
    <definedName name="_wko6_2" hidden="1">{"'vert'!$A$1:$T$117"}</definedName>
    <definedName name="_wko6_2_1" hidden="1">{"'vert'!$A$1:$T$117"}</definedName>
    <definedName name="_wko6_3" hidden="1">{"'vert'!$A$1:$T$117"}</definedName>
    <definedName name="_wko6_3_1" hidden="1">{"'vert'!$A$1:$T$117"}</definedName>
    <definedName name="_wko6_4" hidden="1">{"'vert'!$A$1:$T$117"}</definedName>
    <definedName name="_wko6_4_1" hidden="1">{"'vert'!$A$1:$T$117"}</definedName>
    <definedName name="_wko6_5" hidden="1">{"'vert'!$A$1:$T$117"}</definedName>
    <definedName name="_wko9" hidden="1">{"'vert'!$A$1:$T$117"}</definedName>
    <definedName name="_wko9_1" hidden="1">{"'vert'!$A$1:$T$117"}</definedName>
    <definedName name="_wko9_1_1" hidden="1">{"'vert'!$A$1:$T$117"}</definedName>
    <definedName name="_wko9_1_1_1" hidden="1">{"'vert'!$A$1:$T$117"}</definedName>
    <definedName name="_wko9_1_2" hidden="1">{"'vert'!$A$1:$T$117"}</definedName>
    <definedName name="_wko9_2" hidden="1">{"'vert'!$A$1:$T$117"}</definedName>
    <definedName name="_wko9_2_1" hidden="1">{"'vert'!$A$1:$T$117"}</definedName>
    <definedName name="_wko9_3" hidden="1">{"'vert'!$A$1:$T$117"}</definedName>
    <definedName name="_wko9_3_1" hidden="1">{"'vert'!$A$1:$T$117"}</definedName>
    <definedName name="_wko9_4" hidden="1">{"'vert'!$A$1:$T$117"}</definedName>
    <definedName name="_wko9_4_1" hidden="1">{"'vert'!$A$1:$T$117"}</definedName>
    <definedName name="_wko9_5" hidden="1">{"'vert'!$A$1:$T$117"}</definedName>
    <definedName name="a" hidden="1">{"'vert'!$A$1:$T$117"}</definedName>
    <definedName name="a_1" hidden="1">{"'vert'!$A$1:$T$117"}</definedName>
    <definedName name="a_1_1" hidden="1">{"'vert'!$A$1:$T$117"}</definedName>
    <definedName name="a_1_1_1" hidden="1">{"'vert'!$A$1:$T$117"}</definedName>
    <definedName name="a_1_1_1_1" hidden="1">{"'vert'!$A$1:$T$117"}</definedName>
    <definedName name="a_1_1_1_1_1" hidden="1">{"'vert'!$A$1:$T$117"}</definedName>
    <definedName name="a_1_1_1_2" hidden="1">{"'vert'!$A$1:$T$117"}</definedName>
    <definedName name="a_1_1_2" hidden="1">{"'vert'!$A$1:$T$117"}</definedName>
    <definedName name="a_1_1_2_1" hidden="1">{"'vert'!$A$1:$T$117"}</definedName>
    <definedName name="a_1_1_3" hidden="1">{"'vert'!$A$1:$T$117"}</definedName>
    <definedName name="a_1_1_3_1" hidden="1">{"'vert'!$A$1:$T$117"}</definedName>
    <definedName name="a_1_1_4" hidden="1">{"'vert'!$A$1:$T$117"}</definedName>
    <definedName name="a_1_1_4_1" hidden="1">{"'vert'!$A$1:$T$117"}</definedName>
    <definedName name="a_1_1_5" hidden="1">{"'vert'!$A$1:$T$117"}</definedName>
    <definedName name="a_1_2" hidden="1">{"'vert'!$A$1:$T$117"}</definedName>
    <definedName name="a_1_2_1" hidden="1">{"'vert'!$A$1:$T$117"}</definedName>
    <definedName name="a_1_2_1_1" hidden="1">{"'vert'!$A$1:$T$117"}</definedName>
    <definedName name="a_1_2_2" hidden="1">{"'vert'!$A$1:$T$117"}</definedName>
    <definedName name="a_1_3" hidden="1">{"'vert'!$A$1:$T$117"}</definedName>
    <definedName name="a_1_3_1" hidden="1">{"'vert'!$A$1:$T$117"}</definedName>
    <definedName name="a_1_4" hidden="1">{"'vert'!$A$1:$T$117"}</definedName>
    <definedName name="a_1_4_1" hidden="1">{"'vert'!$A$1:$T$117"}</definedName>
    <definedName name="a_1_5" hidden="1">{"'vert'!$A$1:$T$117"}</definedName>
    <definedName name="a_1_5_1" hidden="1">{"'vert'!$A$1:$T$117"}</definedName>
    <definedName name="a_2" hidden="1">{"'vert'!$A$1:$T$117"}</definedName>
    <definedName name="a_2_1" hidden="1">{"'vert'!$A$1:$T$117"}</definedName>
    <definedName name="a_2_1_1" hidden="1">{"'vert'!$A$1:$T$117"}</definedName>
    <definedName name="a_2_2" hidden="1">{"'vert'!$A$1:$T$117"}</definedName>
    <definedName name="a_3" hidden="1">{"'vert'!$A$1:$T$117"}</definedName>
    <definedName name="a_3_1" hidden="1">{"'vert'!$A$1:$T$117"}</definedName>
    <definedName name="a_4" hidden="1">{"'vert'!$A$1:$T$117"}</definedName>
    <definedName name="a_4_1" hidden="1">{"'vert'!$A$1:$T$117"}</definedName>
    <definedName name="a_5" hidden="1">{"'vert'!$A$1:$T$117"}</definedName>
    <definedName name="a_5_1" hidden="1">{"'vert'!$A$1:$T$117"}</definedName>
    <definedName name="aa" hidden="1">{"'weekly data'!$A$2:$AS$36"}</definedName>
    <definedName name="aa_1" hidden="1">{"'weekly data'!$A$2:$AS$36"}</definedName>
    <definedName name="aa_1_1" hidden="1">{"'weekly data'!$A$2:$AS$36"}</definedName>
    <definedName name="aa_1_1_1" hidden="1">{"'weekly data'!$A$2:$AS$36"}</definedName>
    <definedName name="aa_1_2" hidden="1">{"'weekly data'!$A$2:$AS$36"}</definedName>
    <definedName name="aa_2" hidden="1">{"'weekly data'!$A$2:$AS$36"}</definedName>
    <definedName name="aa_2_1" hidden="1">{"'weekly data'!$A$2:$AS$36"}</definedName>
    <definedName name="aa_3" hidden="1">{"'weekly data'!$A$2:$AS$36"}</definedName>
    <definedName name="aa_3_1" hidden="1">{"'weekly data'!$A$2:$AS$36"}</definedName>
    <definedName name="aa_4" hidden="1">{"'weekly data'!$A$2:$AS$36"}</definedName>
    <definedName name="aa_4_1" hidden="1">{"'weekly data'!$A$2:$AS$36"}</definedName>
    <definedName name="aa_5" hidden="1">{"'weekly data'!$A$2:$AS$36"}</definedName>
    <definedName name="AAA_DOCTOPS" hidden="1">"AAA_SET"</definedName>
    <definedName name="AAA_duser" hidden="1">"OFF"</definedName>
    <definedName name="aaaa" hidden="1">{"'vert'!$A$1:$T$117"}</definedName>
    <definedName name="aaaa_1" hidden="1">{"'vert'!$A$1:$T$117"}</definedName>
    <definedName name="aaaa_1_1" hidden="1">{"'vert'!$A$1:$T$117"}</definedName>
    <definedName name="aaaa_1_1_1" hidden="1">{"'vert'!$A$1:$T$117"}</definedName>
    <definedName name="aaaa_1_2" hidden="1">{"'vert'!$A$1:$T$117"}</definedName>
    <definedName name="aaaa_2" hidden="1">{"'vert'!$A$1:$T$117"}</definedName>
    <definedName name="aaaa_2_1" hidden="1">{"'vert'!$A$1:$T$117"}</definedName>
    <definedName name="aaaa_3" hidden="1">{"'vert'!$A$1:$T$117"}</definedName>
    <definedName name="aaaa_3_1" hidden="1">{"'vert'!$A$1:$T$117"}</definedName>
    <definedName name="aaaa_4" hidden="1">{"'vert'!$A$1:$T$117"}</definedName>
    <definedName name="aaaa_4_1" hidden="1">{"'vert'!$A$1:$T$117"}</definedName>
    <definedName name="aaaa_5" hidden="1">{"'vert'!$A$1:$T$117"}</definedName>
    <definedName name="AAB_Addin5" hidden="1">"AAB_Description for addin 5,Description for addin 5,Description for addin 5,Description for addin 5,Description for addin 5,Description for addin 5"</definedName>
    <definedName name="aasljlls" hidden="1">{"'vert'!$A$1:$T$117"}</definedName>
    <definedName name="aasljlls_1" hidden="1">{"'vert'!$A$1:$T$117"}</definedName>
    <definedName name="aasljlls_1_1" hidden="1">{"'vert'!$A$1:$T$117"}</definedName>
    <definedName name="aasljlls_1_1_1" hidden="1">{"'vert'!$A$1:$T$117"}</definedName>
    <definedName name="aasljlls_1_2" hidden="1">{"'vert'!$A$1:$T$117"}</definedName>
    <definedName name="aasljlls_2" hidden="1">{"'vert'!$A$1:$T$117"}</definedName>
    <definedName name="aasljlls_2_1" hidden="1">{"'vert'!$A$1:$T$117"}</definedName>
    <definedName name="aasljlls_3" hidden="1">{"'vert'!$A$1:$T$117"}</definedName>
    <definedName name="aasljlls_3_1" hidden="1">{"'vert'!$A$1:$T$117"}</definedName>
    <definedName name="aasljlls_4" hidden="1">{"'vert'!$A$1:$T$117"}</definedName>
    <definedName name="aasljlls_4_1" hidden="1">{"'vert'!$A$1:$T$117"}</definedName>
    <definedName name="aasljlls_5" hidden="1">{"'vert'!$A$1:$T$117"}</definedName>
    <definedName name="abcd" hidden="1">{"'vert'!$A$1:$T$117"}</definedName>
    <definedName name="abcd_1" hidden="1">{"'vert'!$A$1:$T$117"}</definedName>
    <definedName name="abcd_1_1" hidden="1">{"'vert'!$A$1:$T$117"}</definedName>
    <definedName name="abcd_1_1_1" hidden="1">{"'vert'!$A$1:$T$117"}</definedName>
    <definedName name="abcd_1_2" hidden="1">{"'vert'!$A$1:$T$117"}</definedName>
    <definedName name="abcd_2" hidden="1">{"'vert'!$A$1:$T$117"}</definedName>
    <definedName name="abcd_2_1" hidden="1">{"'vert'!$A$1:$T$117"}</definedName>
    <definedName name="abcd_3" hidden="1">{"'vert'!$A$1:$T$117"}</definedName>
    <definedName name="abcd_3_1" hidden="1">{"'vert'!$A$1:$T$117"}</definedName>
    <definedName name="abcd_4" hidden="1">{"'vert'!$A$1:$T$117"}</definedName>
    <definedName name="abcd_4_1" hidden="1">{"'vert'!$A$1:$T$117"}</definedName>
    <definedName name="abcd_5" hidden="1">{"'vert'!$A$1:$T$117"}</definedName>
    <definedName name="AccessDatabase" hidden="1">"H:\Comps Table\Comp Sheet V4.1 (25th May 2000).mdb"</definedName>
    <definedName name="AccessPoints">'[5]AMZL Data Entry'!$C$42</definedName>
    <definedName name="Address">'[5]AMZL Data Entry'!$C$6</definedName>
    <definedName name="adfasf" hidden="1">{"'vert'!$A$1:$T$117"}</definedName>
    <definedName name="adfasf_1" hidden="1">{"'vert'!$A$1:$T$117"}</definedName>
    <definedName name="adfasf_1_1" hidden="1">{"'vert'!$A$1:$T$117"}</definedName>
    <definedName name="adfasf_1_1_1" hidden="1">{"'vert'!$A$1:$T$117"}</definedName>
    <definedName name="adfasf_1_2" hidden="1">{"'vert'!$A$1:$T$117"}</definedName>
    <definedName name="adfasf_2" hidden="1">{"'vert'!$A$1:$T$117"}</definedName>
    <definedName name="adfasf_2_1" hidden="1">{"'vert'!$A$1:$T$117"}</definedName>
    <definedName name="adfasf_3" hidden="1">{"'vert'!$A$1:$T$117"}</definedName>
    <definedName name="adfasf_3_1" hidden="1">{"'vert'!$A$1:$T$117"}</definedName>
    <definedName name="adfasf_4" hidden="1">{"'vert'!$A$1:$T$117"}</definedName>
    <definedName name="adfasf_4_1" hidden="1">{"'vert'!$A$1:$T$117"}</definedName>
    <definedName name="adfasf_5" hidden="1">{"'vert'!$A$1:$T$117"}</definedName>
    <definedName name="adfasfasfd" hidden="1">{"'vert'!$A$1:$T$117"}</definedName>
    <definedName name="adfasfasfd_1" hidden="1">{"'vert'!$A$1:$T$117"}</definedName>
    <definedName name="adfasfasfd_1_1" hidden="1">{"'vert'!$A$1:$T$117"}</definedName>
    <definedName name="adfasfasfd_1_1_1" hidden="1">{"'vert'!$A$1:$T$117"}</definedName>
    <definedName name="adfasfasfd_1_2" hidden="1">{"'vert'!$A$1:$T$117"}</definedName>
    <definedName name="adfasfasfd_2" hidden="1">{"'vert'!$A$1:$T$117"}</definedName>
    <definedName name="adfasfasfd_2_1" hidden="1">{"'vert'!$A$1:$T$117"}</definedName>
    <definedName name="adfasfasfd_3" hidden="1">{"'vert'!$A$1:$T$117"}</definedName>
    <definedName name="adfasfasfd_3_1" hidden="1">{"'vert'!$A$1:$T$117"}</definedName>
    <definedName name="adfasfasfd_4" hidden="1">{"'vert'!$A$1:$T$117"}</definedName>
    <definedName name="adfasfasfd_4_1" hidden="1">{"'vert'!$A$1:$T$117"}</definedName>
    <definedName name="adfasfasfd_5" hidden="1">{"'vert'!$A$1:$T$117"}</definedName>
    <definedName name="adfsafasdf" hidden="1">{"'weekly data'!$A$2:$AS$36"}</definedName>
    <definedName name="adfsafasdf_1" hidden="1">{"'weekly data'!$A$2:$AS$36"}</definedName>
    <definedName name="adfsafasdf_1_1" hidden="1">{"'weekly data'!$A$2:$AS$36"}</definedName>
    <definedName name="adfsafasdf_1_1_1" hidden="1">{"'weekly data'!$A$2:$AS$36"}</definedName>
    <definedName name="adfsafasdf_1_2" hidden="1">{"'weekly data'!$A$2:$AS$36"}</definedName>
    <definedName name="adfsafasdf_2" hidden="1">{"'weekly data'!$A$2:$AS$36"}</definedName>
    <definedName name="adfsafasdf_2_1" hidden="1">{"'weekly data'!$A$2:$AS$36"}</definedName>
    <definedName name="adfsafasdf_3" hidden="1">{"'weekly data'!$A$2:$AS$36"}</definedName>
    <definedName name="adfsafasdf_3_1" hidden="1">{"'weekly data'!$A$2:$AS$36"}</definedName>
    <definedName name="adfsafasdf_4" hidden="1">{"'weekly data'!$A$2:$AS$36"}</definedName>
    <definedName name="adfsafasdf_4_1" hidden="1">{"'weekly data'!$A$2:$AS$36"}</definedName>
    <definedName name="adfsafasdf_5" hidden="1">{"'weekly data'!$A$2:$AS$36"}</definedName>
    <definedName name="adfsdf" hidden="1">{"'vert'!$A$1:$T$117"}</definedName>
    <definedName name="adfsdf_1" hidden="1">{"'vert'!$A$1:$T$117"}</definedName>
    <definedName name="adfsdf_1_1" hidden="1">{"'vert'!$A$1:$T$117"}</definedName>
    <definedName name="adfsdf_1_1_1" hidden="1">{"'vert'!$A$1:$T$117"}</definedName>
    <definedName name="adfsdf_1_2" hidden="1">{"'vert'!$A$1:$T$117"}</definedName>
    <definedName name="adfsdf_2" hidden="1">{"'vert'!$A$1:$T$117"}</definedName>
    <definedName name="adfsdf_2_1" hidden="1">{"'vert'!$A$1:$T$117"}</definedName>
    <definedName name="adfsdf_3" hidden="1">{"'vert'!$A$1:$T$117"}</definedName>
    <definedName name="adfsdf_3_1" hidden="1">{"'vert'!$A$1:$T$117"}</definedName>
    <definedName name="adfsdf_4" hidden="1">{"'vert'!$A$1:$T$117"}</definedName>
    <definedName name="adfsdf_4_1" hidden="1">{"'vert'!$A$1:$T$117"}</definedName>
    <definedName name="adfsdf_5" hidden="1">{"'vert'!$A$1:$T$117"}</definedName>
    <definedName name="adsfads" hidden="1">{"'vert'!$A$1:$T$117"}</definedName>
    <definedName name="adsfads_1" hidden="1">{"'vert'!$A$1:$T$117"}</definedName>
    <definedName name="adsfads_1_1" hidden="1">{"'vert'!$A$1:$T$117"}</definedName>
    <definedName name="adsfads_1_1_1" hidden="1">{"'vert'!$A$1:$T$117"}</definedName>
    <definedName name="adsfads_1_2" hidden="1">{"'vert'!$A$1:$T$117"}</definedName>
    <definedName name="adsfads_2" hidden="1">{"'vert'!$A$1:$T$117"}</definedName>
    <definedName name="adsfads_2_1" hidden="1">{"'vert'!$A$1:$T$117"}</definedName>
    <definedName name="adsfads_3" hidden="1">{"'vert'!$A$1:$T$117"}</definedName>
    <definedName name="adsfads_3_1" hidden="1">{"'vert'!$A$1:$T$117"}</definedName>
    <definedName name="adsfads_4" hidden="1">{"'vert'!$A$1:$T$117"}</definedName>
    <definedName name="adsfads_4_1" hidden="1">{"'vert'!$A$1:$T$117"}</definedName>
    <definedName name="adsfads_5" hidden="1">{"'vert'!$A$1:$T$117"}</definedName>
    <definedName name="adsfkljalfdj" hidden="1">{"'vert'!$A$1:$T$117"}</definedName>
    <definedName name="adsfkljalfdj_1" hidden="1">{"'vert'!$A$1:$T$117"}</definedName>
    <definedName name="adsfkljalfdj_1_1" hidden="1">{"'vert'!$A$1:$T$117"}</definedName>
    <definedName name="adsfkljalfdj_1_1_1" hidden="1">{"'vert'!$A$1:$T$117"}</definedName>
    <definedName name="adsfkljalfdj_1_2" hidden="1">{"'vert'!$A$1:$T$117"}</definedName>
    <definedName name="adsfkljalfdj_2" hidden="1">{"'vert'!$A$1:$T$117"}</definedName>
    <definedName name="adsfkljalfdj_2_1" hidden="1">{"'vert'!$A$1:$T$117"}</definedName>
    <definedName name="adsfkljalfdj_3" hidden="1">{"'vert'!$A$1:$T$117"}</definedName>
    <definedName name="adsfkljalfdj_3_1" hidden="1">{"'vert'!$A$1:$T$117"}</definedName>
    <definedName name="adsfkljalfdj_4" hidden="1">{"'vert'!$A$1:$T$117"}</definedName>
    <definedName name="adsfkljalfdj_4_1" hidden="1">{"'vert'!$A$1:$T$117"}</definedName>
    <definedName name="adsfkljalfdj_5" hidden="1">{"'vert'!$A$1:$T$117"}</definedName>
    <definedName name="afds" hidden="1">{"'vert'!$A$1:$T$117"}</definedName>
    <definedName name="afds_1" hidden="1">{"'vert'!$A$1:$T$117"}</definedName>
    <definedName name="afds_1_1" hidden="1">{"'vert'!$A$1:$T$117"}</definedName>
    <definedName name="afds_1_1_1" hidden="1">{"'vert'!$A$1:$T$117"}</definedName>
    <definedName name="afds_1_2" hidden="1">{"'vert'!$A$1:$T$117"}</definedName>
    <definedName name="afds_2" hidden="1">{"'vert'!$A$1:$T$117"}</definedName>
    <definedName name="afds_2_1" hidden="1">{"'vert'!$A$1:$T$117"}</definedName>
    <definedName name="afds_3" hidden="1">{"'vert'!$A$1:$T$117"}</definedName>
    <definedName name="afds_3_1" hidden="1">{"'vert'!$A$1:$T$117"}</definedName>
    <definedName name="afds_4" hidden="1">{"'vert'!$A$1:$T$117"}</definedName>
    <definedName name="afds_4_1" hidden="1">{"'vert'!$A$1:$T$117"}</definedName>
    <definedName name="afds_5" hidden="1">{"'vert'!$A$1:$T$117"}</definedName>
    <definedName name="afsfdafasdg" hidden="1">{"'vert'!$A$1:$T$117"}</definedName>
    <definedName name="afsfdafasdg_1" hidden="1">{"'vert'!$A$1:$T$117"}</definedName>
    <definedName name="afsfdafasdg_1_1" hidden="1">{"'vert'!$A$1:$T$117"}</definedName>
    <definedName name="afsfdafasdg_1_1_1" hidden="1">{"'vert'!$A$1:$T$117"}</definedName>
    <definedName name="afsfdafasdg_1_2" hidden="1">{"'vert'!$A$1:$T$117"}</definedName>
    <definedName name="afsfdafasdg_2" hidden="1">{"'vert'!$A$1:$T$117"}</definedName>
    <definedName name="afsfdafasdg_2_1" hidden="1">{"'vert'!$A$1:$T$117"}</definedName>
    <definedName name="afsfdafasdg_3" hidden="1">{"'vert'!$A$1:$T$117"}</definedName>
    <definedName name="afsfdafasdg_3_1" hidden="1">{"'vert'!$A$1:$T$117"}</definedName>
    <definedName name="afsfdafasdg_4" hidden="1">{"'vert'!$A$1:$T$117"}</definedName>
    <definedName name="afsfdafasdg_4_1" hidden="1">{"'vert'!$A$1:$T$117"}</definedName>
    <definedName name="afsfdafasdg_5" hidden="1">{"'vert'!$A$1:$T$117"}</definedName>
    <definedName name="ajalfdj" hidden="1">{"'vert'!$A$1:$T$117"}</definedName>
    <definedName name="ajalfdj_1" hidden="1">{"'vert'!$A$1:$T$117"}</definedName>
    <definedName name="ajalfdj_1_1" hidden="1">{"'vert'!$A$1:$T$117"}</definedName>
    <definedName name="ajalfdj_1_1_1" hidden="1">{"'vert'!$A$1:$T$117"}</definedName>
    <definedName name="ajalfdj_1_2" hidden="1">{"'vert'!$A$1:$T$117"}</definedName>
    <definedName name="ajalfdj_2" hidden="1">{"'vert'!$A$1:$T$117"}</definedName>
    <definedName name="ajalfdj_2_1" hidden="1">{"'vert'!$A$1:$T$117"}</definedName>
    <definedName name="ajalfdj_3" hidden="1">{"'vert'!$A$1:$T$117"}</definedName>
    <definedName name="ajalfdj_3_1" hidden="1">{"'vert'!$A$1:$T$117"}</definedName>
    <definedName name="ajalfdj_4" hidden="1">{"'vert'!$A$1:$T$117"}</definedName>
    <definedName name="ajalfdj_4_1" hidden="1">{"'vert'!$A$1:$T$117"}</definedName>
    <definedName name="ajalfdj_5" hidden="1">{"'vert'!$A$1:$T$117"}</definedName>
    <definedName name="ajalfdj1" hidden="1">{"'vert'!$A$1:$T$117"}</definedName>
    <definedName name="ajalfdj1_1" hidden="1">{"'vert'!$A$1:$T$117"}</definedName>
    <definedName name="ajalfdj1_1_1" hidden="1">{"'vert'!$A$1:$T$117"}</definedName>
    <definedName name="ajalfdj1_1_1_1" hidden="1">{"'vert'!$A$1:$T$117"}</definedName>
    <definedName name="ajalfdj1_1_2" hidden="1">{"'vert'!$A$1:$T$117"}</definedName>
    <definedName name="ajalfdj1_2" hidden="1">{"'vert'!$A$1:$T$117"}</definedName>
    <definedName name="ajalfdj1_2_1" hidden="1">{"'vert'!$A$1:$T$117"}</definedName>
    <definedName name="ajalfdj1_3" hidden="1">{"'vert'!$A$1:$T$117"}</definedName>
    <definedName name="ajalfdj1_3_1" hidden="1">{"'vert'!$A$1:$T$117"}</definedName>
    <definedName name="ajalfdj1_4" hidden="1">{"'vert'!$A$1:$T$117"}</definedName>
    <definedName name="ajalfdj1_4_1" hidden="1">{"'vert'!$A$1:$T$117"}</definedName>
    <definedName name="ajalfdj1_5" hidden="1">{"'vert'!$A$1:$T$117"}</definedName>
    <definedName name="ajalfdj2" hidden="1">{"'vert'!$A$1:$T$117"}</definedName>
    <definedName name="ajalfdj2_1" hidden="1">{"'vert'!$A$1:$T$117"}</definedName>
    <definedName name="ajalfdj2_1_1" hidden="1">{"'vert'!$A$1:$T$117"}</definedName>
    <definedName name="ajalfdj2_1_1_1" hidden="1">{"'vert'!$A$1:$T$117"}</definedName>
    <definedName name="ajalfdj2_1_2" hidden="1">{"'vert'!$A$1:$T$117"}</definedName>
    <definedName name="ajalfdj2_2" hidden="1">{"'vert'!$A$1:$T$117"}</definedName>
    <definedName name="ajalfdj2_2_1" hidden="1">{"'vert'!$A$1:$T$117"}</definedName>
    <definedName name="ajalfdj2_3" hidden="1">{"'vert'!$A$1:$T$117"}</definedName>
    <definedName name="ajalfdj2_3_1" hidden="1">{"'vert'!$A$1:$T$117"}</definedName>
    <definedName name="ajalfdj2_4" hidden="1">{"'vert'!$A$1:$T$117"}</definedName>
    <definedName name="ajalfdj2_4_1" hidden="1">{"'vert'!$A$1:$T$117"}</definedName>
    <definedName name="ajalfdj2_5" hidden="1">{"'vert'!$A$1:$T$117"}</definedName>
    <definedName name="ajalfdj9" hidden="1">{"'vert'!$A$1:$T$117"}</definedName>
    <definedName name="ajalfdj9_1" hidden="1">{"'vert'!$A$1:$T$117"}</definedName>
    <definedName name="ajalfdj9_1_1" hidden="1">{"'vert'!$A$1:$T$117"}</definedName>
    <definedName name="ajalfdj9_1_1_1" hidden="1">{"'vert'!$A$1:$T$117"}</definedName>
    <definedName name="ajalfdj9_1_2" hidden="1">{"'vert'!$A$1:$T$117"}</definedName>
    <definedName name="ajalfdj9_2" hidden="1">{"'vert'!$A$1:$T$117"}</definedName>
    <definedName name="ajalfdj9_2_1" hidden="1">{"'vert'!$A$1:$T$117"}</definedName>
    <definedName name="ajalfdj9_3" hidden="1">{"'vert'!$A$1:$T$117"}</definedName>
    <definedName name="ajalfdj9_3_1" hidden="1">{"'vert'!$A$1:$T$117"}</definedName>
    <definedName name="ajalfdj9_4" hidden="1">{"'vert'!$A$1:$T$117"}</definedName>
    <definedName name="ajalfdj9_4_1" hidden="1">{"'vert'!$A$1:$T$117"}</definedName>
    <definedName name="ajalfdj9_5" hidden="1">{"'vert'!$A$1:$T$117"}</definedName>
    <definedName name="Appendix" hidden="1">{"'vert'!$A$1:$T$117"}</definedName>
    <definedName name="Appendix_1" hidden="1">{"'vert'!$A$1:$T$117"}</definedName>
    <definedName name="Appendix_1_1" hidden="1">{"'vert'!$A$1:$T$117"}</definedName>
    <definedName name="Appendix_1_1_1" hidden="1">{"'vert'!$A$1:$T$117"}</definedName>
    <definedName name="Appendix_1_2" hidden="1">{"'vert'!$A$1:$T$117"}</definedName>
    <definedName name="Appendix_2" hidden="1">{"'vert'!$A$1:$T$117"}</definedName>
    <definedName name="Appendix_2_1" hidden="1">{"'vert'!$A$1:$T$117"}</definedName>
    <definedName name="Appendix_3" hidden="1">{"'vert'!$A$1:$T$117"}</definedName>
    <definedName name="Appendix_3_1" hidden="1">{"'vert'!$A$1:$T$117"}</definedName>
    <definedName name="Appendix_4" hidden="1">{"'vert'!$A$1:$T$117"}</definedName>
    <definedName name="Appendix_4_1" hidden="1">{"'vert'!$A$1:$T$117"}</definedName>
    <definedName name="Appendix_5" hidden="1">{"'vert'!$A$1:$T$117"}</definedName>
    <definedName name="AppII" hidden="1">{"'vert'!$A$1:$T$117"}</definedName>
    <definedName name="AppII_1" hidden="1">{"'vert'!$A$1:$T$117"}</definedName>
    <definedName name="AppII_1_1" hidden="1">{"'vert'!$A$1:$T$117"}</definedName>
    <definedName name="AppII_1_1_1" hidden="1">{"'vert'!$A$1:$T$117"}</definedName>
    <definedName name="AppII_1_2" hidden="1">{"'vert'!$A$1:$T$117"}</definedName>
    <definedName name="AppII_2" hidden="1">{"'vert'!$A$1:$T$117"}</definedName>
    <definedName name="AppII_2_1" hidden="1">{"'vert'!$A$1:$T$117"}</definedName>
    <definedName name="AppII_3" hidden="1">{"'vert'!$A$1:$T$117"}</definedName>
    <definedName name="AppII_3_1" hidden="1">{"'vert'!$A$1:$T$117"}</definedName>
    <definedName name="AppII_4" hidden="1">{"'vert'!$A$1:$T$117"}</definedName>
    <definedName name="AppII_4_1" hidden="1">{"'vert'!$A$1:$T$117"}</definedName>
    <definedName name="AppII_5" hidden="1">{"'vert'!$A$1:$T$117"}</definedName>
    <definedName name="AS2DocOpenMode" hidden="1">"AS2DocumentEdit"</definedName>
    <definedName name="asd" hidden="1">{"'vert'!$A$1:$T$117"}</definedName>
    <definedName name="asd_1" hidden="1">{"'vert'!$A$1:$T$117"}</definedName>
    <definedName name="asd_1_1" hidden="1">{"'vert'!$A$1:$T$117"}</definedName>
    <definedName name="asd_1_1_1" hidden="1">{"'vert'!$A$1:$T$117"}</definedName>
    <definedName name="asd_1_2" hidden="1">{"'vert'!$A$1:$T$117"}</definedName>
    <definedName name="asd_2" hidden="1">{"'vert'!$A$1:$T$117"}</definedName>
    <definedName name="asd_2_1" hidden="1">{"'vert'!$A$1:$T$117"}</definedName>
    <definedName name="asd_3" hidden="1">{"'vert'!$A$1:$T$117"}</definedName>
    <definedName name="asd_3_1" hidden="1">{"'vert'!$A$1:$T$117"}</definedName>
    <definedName name="asd_4" hidden="1">{"'vert'!$A$1:$T$117"}</definedName>
    <definedName name="asd_4_1" hidden="1">{"'vert'!$A$1:$T$117"}</definedName>
    <definedName name="asd_5" hidden="1">{"'vert'!$A$1:$T$117"}</definedName>
    <definedName name="asdf" hidden="1">{"'vert'!$A$1:$T$117"}</definedName>
    <definedName name="asdf_1" hidden="1">{"'vert'!$A$1:$T$117"}</definedName>
    <definedName name="asdf_1_1" hidden="1">{"'vert'!$A$1:$T$117"}</definedName>
    <definedName name="asdf_1_1_1" hidden="1">{"'vert'!$A$1:$T$117"}</definedName>
    <definedName name="asdf_1_2" hidden="1">{"'vert'!$A$1:$T$117"}</definedName>
    <definedName name="asdf_2" hidden="1">{"'vert'!$A$1:$T$117"}</definedName>
    <definedName name="asdf_2_1" hidden="1">{"'vert'!$A$1:$T$117"}</definedName>
    <definedName name="asdf_3" hidden="1">{"'vert'!$A$1:$T$117"}</definedName>
    <definedName name="asdf_3_1" hidden="1">{"'vert'!$A$1:$T$117"}</definedName>
    <definedName name="asdf_4" hidden="1">{"'vert'!$A$1:$T$117"}</definedName>
    <definedName name="asdf_4_1" hidden="1">{"'vert'!$A$1:$T$117"}</definedName>
    <definedName name="asdf_5" hidden="1">{"'vert'!$A$1:$T$117"}</definedName>
    <definedName name="asdfa" hidden="1">#REF!</definedName>
    <definedName name="asdfa2" hidden="1">#REF!</definedName>
    <definedName name="asdfasdf" hidden="1">{"'weekly data'!$A$2:$AS$36"}</definedName>
    <definedName name="asdfasdf_1" hidden="1">{"'weekly data'!$A$2:$AS$36"}</definedName>
    <definedName name="asdfasdf_1_1" hidden="1">{"'weekly data'!$A$2:$AS$36"}</definedName>
    <definedName name="asdfasdf_1_1_1" hidden="1">{"'weekly data'!$A$2:$AS$36"}</definedName>
    <definedName name="asdfasdf_1_2" hidden="1">{"'weekly data'!$A$2:$AS$36"}</definedName>
    <definedName name="asdfasdf_2" hidden="1">{"'weekly data'!$A$2:$AS$36"}</definedName>
    <definedName name="asdfasdf_2_1" hidden="1">{"'weekly data'!$A$2:$AS$36"}</definedName>
    <definedName name="asdfasdf_3" hidden="1">{"'weekly data'!$A$2:$AS$36"}</definedName>
    <definedName name="asdfasdf_3_1" hidden="1">{"'weekly data'!$A$2:$AS$36"}</definedName>
    <definedName name="asdfasdf_4" hidden="1">{"'weekly data'!$A$2:$AS$36"}</definedName>
    <definedName name="asdfasdf_4_1" hidden="1">{"'weekly data'!$A$2:$AS$36"}</definedName>
    <definedName name="asdfasdf_5" hidden="1">{"'weekly data'!$A$2:$AS$36"}</definedName>
    <definedName name="asdfasdfasdf" hidden="1">{"'weekly data'!$A$2:$AS$36"}</definedName>
    <definedName name="asdfasdfasdf_1" hidden="1">{"'weekly data'!$A$2:$AS$36"}</definedName>
    <definedName name="asdfasdfasdf_1_1" hidden="1">{"'weekly data'!$A$2:$AS$36"}</definedName>
    <definedName name="asdfasdfasdf_1_1_1" hidden="1">{"'weekly data'!$A$2:$AS$36"}</definedName>
    <definedName name="asdfasdfasdf_1_2" hidden="1">{"'weekly data'!$A$2:$AS$36"}</definedName>
    <definedName name="asdfasdfasdf_2" hidden="1">{"'weekly data'!$A$2:$AS$36"}</definedName>
    <definedName name="asdfasdfasdf_2_1" hidden="1">{"'weekly data'!$A$2:$AS$36"}</definedName>
    <definedName name="asdfasdfasdf_3" hidden="1">{"'weekly data'!$A$2:$AS$36"}</definedName>
    <definedName name="asdfasdfasdf_3_1" hidden="1">{"'weekly data'!$A$2:$AS$36"}</definedName>
    <definedName name="asdfasdfasdf_4" hidden="1">{"'weekly data'!$A$2:$AS$36"}</definedName>
    <definedName name="asdfasdfasdf_4_1" hidden="1">{"'weekly data'!$A$2:$AS$36"}</definedName>
    <definedName name="asdfasdfasdf_5" hidden="1">{"'weekly data'!$A$2:$AS$36"}</definedName>
    <definedName name="asdff" hidden="1">{"'vert'!$A$1:$T$117"}</definedName>
    <definedName name="asdff_1" hidden="1">{"'vert'!$A$1:$T$117"}</definedName>
    <definedName name="asdff_1_1" hidden="1">{"'vert'!$A$1:$T$117"}</definedName>
    <definedName name="asdff_1_1_1" hidden="1">{"'vert'!$A$1:$T$117"}</definedName>
    <definedName name="asdff_1_2" hidden="1">{"'vert'!$A$1:$T$117"}</definedName>
    <definedName name="asdff_2" hidden="1">{"'vert'!$A$1:$T$117"}</definedName>
    <definedName name="asdff_2_1" hidden="1">{"'vert'!$A$1:$T$117"}</definedName>
    <definedName name="asdff_3" hidden="1">{"'vert'!$A$1:$T$117"}</definedName>
    <definedName name="asdff_3_1" hidden="1">{"'vert'!$A$1:$T$117"}</definedName>
    <definedName name="asdff_4" hidden="1">{"'vert'!$A$1:$T$117"}</definedName>
    <definedName name="asdff_4_1" hidden="1">{"'vert'!$A$1:$T$117"}</definedName>
    <definedName name="asdff_5" hidden="1">{"'vert'!$A$1:$T$117"}</definedName>
    <definedName name="asdfff" hidden="1">{"'vert'!$A$1:$T$117"}</definedName>
    <definedName name="asdfff_1" hidden="1">{"'vert'!$A$1:$T$117"}</definedName>
    <definedName name="asdfff_1_1" hidden="1">{"'vert'!$A$1:$T$117"}</definedName>
    <definedName name="asdfff_1_1_1" hidden="1">{"'vert'!$A$1:$T$117"}</definedName>
    <definedName name="asdfff_1_2" hidden="1">{"'vert'!$A$1:$T$117"}</definedName>
    <definedName name="asdfff_2" hidden="1">{"'vert'!$A$1:$T$117"}</definedName>
    <definedName name="asdfff_2_1" hidden="1">{"'vert'!$A$1:$T$117"}</definedName>
    <definedName name="asdfff_3" hidden="1">{"'vert'!$A$1:$T$117"}</definedName>
    <definedName name="asdfff_3_1" hidden="1">{"'vert'!$A$1:$T$117"}</definedName>
    <definedName name="asdfff_4" hidden="1">{"'vert'!$A$1:$T$117"}</definedName>
    <definedName name="asdfff_4_1" hidden="1">{"'vert'!$A$1:$T$117"}</definedName>
    <definedName name="asdfff_5" hidden="1">{"'vert'!$A$1:$T$117"}</definedName>
    <definedName name="asdffff" hidden="1">{"'vert'!$A$1:$T$117"}</definedName>
    <definedName name="asdffff_1" hidden="1">{"'vert'!$A$1:$T$117"}</definedName>
    <definedName name="asdffff_1_1" hidden="1">{"'vert'!$A$1:$T$117"}</definedName>
    <definedName name="asdffff_1_1_1" hidden="1">{"'vert'!$A$1:$T$117"}</definedName>
    <definedName name="asdffff_1_2" hidden="1">{"'vert'!$A$1:$T$117"}</definedName>
    <definedName name="asdffff_2" hidden="1">{"'vert'!$A$1:$T$117"}</definedName>
    <definedName name="asdffff_2_1" hidden="1">{"'vert'!$A$1:$T$117"}</definedName>
    <definedName name="asdffff_3" hidden="1">{"'vert'!$A$1:$T$117"}</definedName>
    <definedName name="asdffff_3_1" hidden="1">{"'vert'!$A$1:$T$117"}</definedName>
    <definedName name="asdffff_4" hidden="1">{"'vert'!$A$1:$T$117"}</definedName>
    <definedName name="asdffff_4_1" hidden="1">{"'vert'!$A$1:$T$117"}</definedName>
    <definedName name="asdffff_5" hidden="1">{"'vert'!$A$1:$T$117"}</definedName>
    <definedName name="asdffffff" hidden="1">{"'vert'!$A$1:$T$117"}</definedName>
    <definedName name="asdffffff_1" hidden="1">{"'vert'!$A$1:$T$117"}</definedName>
    <definedName name="asdffffff_1_1" hidden="1">{"'vert'!$A$1:$T$117"}</definedName>
    <definedName name="asdffffff_1_1_1" hidden="1">{"'vert'!$A$1:$T$117"}</definedName>
    <definedName name="asdffffff_1_2" hidden="1">{"'vert'!$A$1:$T$117"}</definedName>
    <definedName name="asdffffff_2" hidden="1">{"'vert'!$A$1:$T$117"}</definedName>
    <definedName name="asdffffff_2_1" hidden="1">{"'vert'!$A$1:$T$117"}</definedName>
    <definedName name="asdffffff_3" hidden="1">{"'vert'!$A$1:$T$117"}</definedName>
    <definedName name="asdffffff_3_1" hidden="1">{"'vert'!$A$1:$T$117"}</definedName>
    <definedName name="asdffffff_4" hidden="1">{"'vert'!$A$1:$T$117"}</definedName>
    <definedName name="asdffffff_4_1" hidden="1">{"'vert'!$A$1:$T$117"}</definedName>
    <definedName name="asdffffff_5" hidden="1">{"'vert'!$A$1:$T$117"}</definedName>
    <definedName name="asdfffffff" hidden="1">{"'vert'!$A$1:$T$117"}</definedName>
    <definedName name="asdfffffff_1" hidden="1">{"'vert'!$A$1:$T$117"}</definedName>
    <definedName name="asdfffffff_1_1" hidden="1">{"'vert'!$A$1:$T$117"}</definedName>
    <definedName name="asdfffffff_1_1_1" hidden="1">{"'vert'!$A$1:$T$117"}</definedName>
    <definedName name="asdfffffff_1_2" hidden="1">{"'vert'!$A$1:$T$117"}</definedName>
    <definedName name="asdfffffff_2" hidden="1">{"'vert'!$A$1:$T$117"}</definedName>
    <definedName name="asdfffffff_2_1" hidden="1">{"'vert'!$A$1:$T$117"}</definedName>
    <definedName name="asdfffffff_3" hidden="1">{"'vert'!$A$1:$T$117"}</definedName>
    <definedName name="asdfffffff_3_1" hidden="1">{"'vert'!$A$1:$T$117"}</definedName>
    <definedName name="asdfffffff_4" hidden="1">{"'vert'!$A$1:$T$117"}</definedName>
    <definedName name="asdfffffff_4_1" hidden="1">{"'vert'!$A$1:$T$117"}</definedName>
    <definedName name="asdfffffff_5" hidden="1">{"'vert'!$A$1:$T$117"}</definedName>
    <definedName name="asfadfasdfsadfsadfsafsdfsdf" hidden="1">{"'vert'!$A$1:$T$117"}</definedName>
    <definedName name="asfadfasdfsadfsadfsafsdfsdf_1" hidden="1">{"'vert'!$A$1:$T$117"}</definedName>
    <definedName name="asfadfasdfsadfsadfsafsdfsdf_1_1" hidden="1">{"'vert'!$A$1:$T$117"}</definedName>
    <definedName name="asfadfasdfsadfsadfsafsdfsdf_1_1_1" hidden="1">{"'vert'!$A$1:$T$117"}</definedName>
    <definedName name="asfadfasdfsadfsadfsafsdfsdf_1_2" hidden="1">{"'vert'!$A$1:$T$117"}</definedName>
    <definedName name="asfadfasdfsadfsadfsafsdfsdf_2" hidden="1">{"'vert'!$A$1:$T$117"}</definedName>
    <definedName name="asfadfasdfsadfsadfsafsdfsdf_2_1" hidden="1">{"'vert'!$A$1:$T$117"}</definedName>
    <definedName name="asfadfasdfsadfsadfsafsdfsdf_3" hidden="1">{"'vert'!$A$1:$T$117"}</definedName>
    <definedName name="asfadfasdfsadfsadfsafsdfsdf_3_1" hidden="1">{"'vert'!$A$1:$T$117"}</definedName>
    <definedName name="asfadfasdfsadfsadfsafsdfsdf_4" hidden="1">{"'vert'!$A$1:$T$117"}</definedName>
    <definedName name="asfadfasdfsadfsadfsafsdfsdf_4_1" hidden="1">{"'vert'!$A$1:$T$117"}</definedName>
    <definedName name="asfadfasdfsadfsadfsafsdfsdf_5" hidden="1">{"'vert'!$A$1:$T$117"}</definedName>
    <definedName name="asfasfasfasfasdf" hidden="1">{"'weekly data'!$A$2:$AS$36"}</definedName>
    <definedName name="asfasfasfasfasdf_1" hidden="1">{"'weekly data'!$A$2:$AS$36"}</definedName>
    <definedName name="asfasfasfasfasdf_1_1" hidden="1">{"'weekly data'!$A$2:$AS$36"}</definedName>
    <definedName name="asfasfasfasfasdf_1_1_1" hidden="1">{"'weekly data'!$A$2:$AS$36"}</definedName>
    <definedName name="asfasfasfasfasdf_1_2" hidden="1">{"'weekly data'!$A$2:$AS$36"}</definedName>
    <definedName name="asfasfasfasfasdf_2" hidden="1">{"'weekly data'!$A$2:$AS$36"}</definedName>
    <definedName name="asfasfasfasfasdf_2_1" hidden="1">{"'weekly data'!$A$2:$AS$36"}</definedName>
    <definedName name="asfasfasfasfasdf_3" hidden="1">{"'weekly data'!$A$2:$AS$36"}</definedName>
    <definedName name="asfasfasfasfasdf_3_1" hidden="1">{"'weekly data'!$A$2:$AS$36"}</definedName>
    <definedName name="asfasfasfasfasdf_4" hidden="1">{"'weekly data'!$A$2:$AS$36"}</definedName>
    <definedName name="asfasfasfasfasdf_4_1" hidden="1">{"'weekly data'!$A$2:$AS$36"}</definedName>
    <definedName name="asfasfasfasfasdf_5" hidden="1">{"'weekly data'!$A$2:$AS$36"}</definedName>
    <definedName name="asfasfasfsafdsafsaf" hidden="1">{"'vert'!$A$1:$T$117"}</definedName>
    <definedName name="asfasfasfsafdsafsaf_1" hidden="1">{"'vert'!$A$1:$T$117"}</definedName>
    <definedName name="asfasfasfsafdsafsaf_1_1" hidden="1">{"'vert'!$A$1:$T$117"}</definedName>
    <definedName name="asfasfasfsafdsafsaf_1_1_1" hidden="1">{"'vert'!$A$1:$T$117"}</definedName>
    <definedName name="asfasfasfsafdsafsaf_1_2" hidden="1">{"'vert'!$A$1:$T$117"}</definedName>
    <definedName name="asfasfasfsafdsafsaf_2" hidden="1">{"'vert'!$A$1:$T$117"}</definedName>
    <definedName name="asfasfasfsafdsafsaf_2_1" hidden="1">{"'vert'!$A$1:$T$117"}</definedName>
    <definedName name="asfasfasfsafdsafsaf_3" hidden="1">{"'vert'!$A$1:$T$117"}</definedName>
    <definedName name="asfasfasfsafdsafsaf_3_1" hidden="1">{"'vert'!$A$1:$T$117"}</definedName>
    <definedName name="asfasfasfsafdsafsaf_4" hidden="1">{"'vert'!$A$1:$T$117"}</definedName>
    <definedName name="asfasfasfsafdsafsaf_4_1" hidden="1">{"'vert'!$A$1:$T$117"}</definedName>
    <definedName name="asfasfasfsafdsafsaf_5" hidden="1">{"'vert'!$A$1:$T$117"}</definedName>
    <definedName name="asfasfdasfasdfasdfasf" hidden="1">{"'weekly data'!$A$2:$AS$36"}</definedName>
    <definedName name="asfasfdasfasdfasdfasf_1" hidden="1">{"'weekly data'!$A$2:$AS$36"}</definedName>
    <definedName name="asfasfdasfasdfasdfasf_1_1" hidden="1">{"'weekly data'!$A$2:$AS$36"}</definedName>
    <definedName name="asfasfdasfasdfasdfasf_1_1_1" hidden="1">{"'weekly data'!$A$2:$AS$36"}</definedName>
    <definedName name="asfasfdasfasdfasdfasf_1_2" hidden="1">{"'weekly data'!$A$2:$AS$36"}</definedName>
    <definedName name="asfasfdasfasdfasdfasf_2" hidden="1">{"'weekly data'!$A$2:$AS$36"}</definedName>
    <definedName name="asfasfdasfasdfasdfasf_2_1" hidden="1">{"'weekly data'!$A$2:$AS$36"}</definedName>
    <definedName name="asfasfdasfasdfasdfasf_3" hidden="1">{"'weekly data'!$A$2:$AS$36"}</definedName>
    <definedName name="asfasfdasfasdfasdfasf_3_1" hidden="1">{"'weekly data'!$A$2:$AS$36"}</definedName>
    <definedName name="asfasfdasfasdfasdfasf_4" hidden="1">{"'weekly data'!$A$2:$AS$36"}</definedName>
    <definedName name="asfasfdasfasdfasdfasf_4_1" hidden="1">{"'weekly data'!$A$2:$AS$36"}</definedName>
    <definedName name="asfasfdasfasdfasdfasf_5" hidden="1">{"'weekly data'!$A$2:$AS$36"}</definedName>
    <definedName name="asfasfdasfdsafasf" hidden="1">{"'weekly data'!$A$2:$AS$36"}</definedName>
    <definedName name="asfasfdasfdsafasf_1" hidden="1">{"'weekly data'!$A$2:$AS$36"}</definedName>
    <definedName name="asfasfdasfdsafasf_1_1" hidden="1">{"'weekly data'!$A$2:$AS$36"}</definedName>
    <definedName name="asfasfdasfdsafasf_1_1_1" hidden="1">{"'weekly data'!$A$2:$AS$36"}</definedName>
    <definedName name="asfasfdasfdsafasf_1_2" hidden="1">{"'weekly data'!$A$2:$AS$36"}</definedName>
    <definedName name="asfasfdasfdsafasf_2" hidden="1">{"'weekly data'!$A$2:$AS$36"}</definedName>
    <definedName name="asfasfdasfdsafasf_2_1" hidden="1">{"'weekly data'!$A$2:$AS$36"}</definedName>
    <definedName name="asfasfdasfdsafasf_3" hidden="1">{"'weekly data'!$A$2:$AS$36"}</definedName>
    <definedName name="asfasfdasfdsafasf_3_1" hidden="1">{"'weekly data'!$A$2:$AS$36"}</definedName>
    <definedName name="asfasfdasfdsafasf_4" hidden="1">{"'weekly data'!$A$2:$AS$36"}</definedName>
    <definedName name="asfasfdasfdsafasf_4_1" hidden="1">{"'weekly data'!$A$2:$AS$36"}</definedName>
    <definedName name="asfasfdasfdsafasf_5" hidden="1">{"'weekly data'!$A$2:$AS$36"}</definedName>
    <definedName name="asfsdafffffffagggg" hidden="1">{"'vert'!$A$1:$T$117"}</definedName>
    <definedName name="asfsdafffffffagggg_1" hidden="1">{"'vert'!$A$1:$T$117"}</definedName>
    <definedName name="asfsdafffffffagggg_1_1" hidden="1">{"'vert'!$A$1:$T$117"}</definedName>
    <definedName name="asfsdafffffffagggg_1_1_1" hidden="1">{"'vert'!$A$1:$T$117"}</definedName>
    <definedName name="asfsdafffffffagggg_1_2" hidden="1">{"'vert'!$A$1:$T$117"}</definedName>
    <definedName name="asfsdafffffffagggg_2" hidden="1">{"'vert'!$A$1:$T$117"}</definedName>
    <definedName name="asfsdafffffffagggg_2_1" hidden="1">{"'vert'!$A$1:$T$117"}</definedName>
    <definedName name="asfsdafffffffagggg_3" hidden="1">{"'vert'!$A$1:$T$117"}</definedName>
    <definedName name="asfsdafffffffagggg_3_1" hidden="1">{"'vert'!$A$1:$T$117"}</definedName>
    <definedName name="asfsdafffffffagggg_4" hidden="1">{"'vert'!$A$1:$T$117"}</definedName>
    <definedName name="asfsdafffffffagggg_4_1" hidden="1">{"'vert'!$A$1:$T$117"}</definedName>
    <definedName name="asfsdafffffffagggg_5" hidden="1">{"'vert'!$A$1:$T$117"}</definedName>
    <definedName name="atr" hidden="1">{"'vert'!$A$1:$T$117"}</definedName>
    <definedName name="atr_1" hidden="1">{"'vert'!$A$1:$T$117"}</definedName>
    <definedName name="atr_1_1" hidden="1">{"'vert'!$A$1:$T$117"}</definedName>
    <definedName name="atr_1_1_1" hidden="1">{"'vert'!$A$1:$T$117"}</definedName>
    <definedName name="atr_1_2" hidden="1">{"'vert'!$A$1:$T$117"}</definedName>
    <definedName name="atr_2" hidden="1">{"'vert'!$A$1:$T$117"}</definedName>
    <definedName name="atr_2_1" hidden="1">{"'vert'!$A$1:$T$117"}</definedName>
    <definedName name="atr_3" hidden="1">{"'vert'!$A$1:$T$117"}</definedName>
    <definedName name="atr_3_1" hidden="1">{"'vert'!$A$1:$T$117"}</definedName>
    <definedName name="atr_4" hidden="1">{"'vert'!$A$1:$T$117"}</definedName>
    <definedName name="atr_4_1" hidden="1">{"'vert'!$A$1:$T$117"}</definedName>
    <definedName name="atr_5" hidden="1">{"'vert'!$A$1:$T$117"}</definedName>
    <definedName name="atws" hidden="1">{"'vert'!$A$1:$T$117"}</definedName>
    <definedName name="atws_1" hidden="1">{"'vert'!$A$1:$T$117"}</definedName>
    <definedName name="atws_1_1" hidden="1">{"'vert'!$A$1:$T$117"}</definedName>
    <definedName name="atws_1_1_1" hidden="1">{"'vert'!$A$1:$T$117"}</definedName>
    <definedName name="atws_1_2" hidden="1">{"'vert'!$A$1:$T$117"}</definedName>
    <definedName name="atws_2" hidden="1">{"'vert'!$A$1:$T$117"}</definedName>
    <definedName name="atws_2_1" hidden="1">{"'vert'!$A$1:$T$117"}</definedName>
    <definedName name="atws_3" hidden="1">{"'vert'!$A$1:$T$117"}</definedName>
    <definedName name="atws_3_1" hidden="1">{"'vert'!$A$1:$T$117"}</definedName>
    <definedName name="atws_4" hidden="1">{"'vert'!$A$1:$T$117"}</definedName>
    <definedName name="atws_4_1" hidden="1">{"'vert'!$A$1:$T$117"}</definedName>
    <definedName name="atws_5" hidden="1">{"'vert'!$A$1:$T$117"}</definedName>
    <definedName name="AVGCompsCostPerAcre">'[5]AMZL Data Entry'!$C$87</definedName>
    <definedName name="AvgCompsLeaseRatePSF">'[5]AMZL Data Entry'!$C$106</definedName>
    <definedName name="b" hidden="1">{"'vert'!$A$1:$T$117"}</definedName>
    <definedName name="b_1" hidden="1">{"'vert'!$A$1:$T$117"}</definedName>
    <definedName name="b_1_1" hidden="1">{"'vert'!$A$1:$T$117"}</definedName>
    <definedName name="b_1_1_1" hidden="1">{"'vert'!$A$1:$T$117"}</definedName>
    <definedName name="b_1_2" hidden="1">{"'vert'!$A$1:$T$117"}</definedName>
    <definedName name="b_2" hidden="1">{"'vert'!$A$1:$T$117"}</definedName>
    <definedName name="b_2_1" hidden="1">{"'vert'!$A$1:$T$117"}</definedName>
    <definedName name="b_3" hidden="1">{"'vert'!$A$1:$T$117"}</definedName>
    <definedName name="b_3_1" hidden="1">{"'vert'!$A$1:$T$117"}</definedName>
    <definedName name="b_4" hidden="1">{"'vert'!$A$1:$T$117"}</definedName>
    <definedName name="b_4_1" hidden="1">{"'vert'!$A$1:$T$117"}</definedName>
    <definedName name="b_5" hidden="1">{"'vert'!$A$1:$T$117"}</definedName>
    <definedName name="backslide" hidden="1">{"'vert'!$A$1:$T$117"}</definedName>
    <definedName name="backslide_1" hidden="1">{"'vert'!$A$1:$T$117"}</definedName>
    <definedName name="backslide_1_1" hidden="1">{"'vert'!$A$1:$T$117"}</definedName>
    <definedName name="backslide_1_1_1" hidden="1">{"'vert'!$A$1:$T$117"}</definedName>
    <definedName name="backslide_1_2" hidden="1">{"'vert'!$A$1:$T$117"}</definedName>
    <definedName name="backslide_2" hidden="1">{"'vert'!$A$1:$T$117"}</definedName>
    <definedName name="backslide_2_1" hidden="1">{"'vert'!$A$1:$T$117"}</definedName>
    <definedName name="backslide_3" hidden="1">{"'vert'!$A$1:$T$117"}</definedName>
    <definedName name="backslide_3_1" hidden="1">{"'vert'!$A$1:$T$117"}</definedName>
    <definedName name="backslide_4" hidden="1">{"'vert'!$A$1:$T$117"}</definedName>
    <definedName name="backslide_4_1" hidden="1">{"'vert'!$A$1:$T$117"}</definedName>
    <definedName name="backslide_5" hidden="1">{"'vert'!$A$1:$T$117"}</definedName>
    <definedName name="bad" hidden="1">{"'vert'!$A$1:$T$117"}</definedName>
    <definedName name="bad_1" hidden="1">{"'vert'!$A$1:$T$117"}</definedName>
    <definedName name="bad_1_1" hidden="1">{"'vert'!$A$1:$T$117"}</definedName>
    <definedName name="bad_1_1_1" hidden="1">{"'vert'!$A$1:$T$117"}</definedName>
    <definedName name="bad_1_2" hidden="1">{"'vert'!$A$1:$T$117"}</definedName>
    <definedName name="bad_2" hidden="1">{"'vert'!$A$1:$T$117"}</definedName>
    <definedName name="bad_2_1" hidden="1">{"'vert'!$A$1:$T$117"}</definedName>
    <definedName name="bad_3" hidden="1">{"'vert'!$A$1:$T$117"}</definedName>
    <definedName name="bad_3_1" hidden="1">{"'vert'!$A$1:$T$117"}</definedName>
    <definedName name="bad_4" hidden="1">{"'vert'!$A$1:$T$117"}</definedName>
    <definedName name="bad_4_1" hidden="1">{"'vert'!$A$1:$T$117"}</definedName>
    <definedName name="bad_5" hidden="1">{"'vert'!$A$1:$T$117"}</definedName>
    <definedName name="bbb" hidden="1">{"'vert'!$A$1:$T$117"}</definedName>
    <definedName name="bbb_1" hidden="1">{"'vert'!$A$1:$T$117"}</definedName>
    <definedName name="bbb_1_1" hidden="1">{"'vert'!$A$1:$T$117"}</definedName>
    <definedName name="bbb_1_1_1" hidden="1">{"'vert'!$A$1:$T$117"}</definedName>
    <definedName name="bbb_1_2" hidden="1">{"'vert'!$A$1:$T$117"}</definedName>
    <definedName name="bbb_2" hidden="1">{"'vert'!$A$1:$T$117"}</definedName>
    <definedName name="bbb_2_1" hidden="1">{"'vert'!$A$1:$T$117"}</definedName>
    <definedName name="bbb_3" hidden="1">{"'vert'!$A$1:$T$117"}</definedName>
    <definedName name="bbb_3_1" hidden="1">{"'vert'!$A$1:$T$117"}</definedName>
    <definedName name="bbb_4" hidden="1">{"'vert'!$A$1:$T$117"}</definedName>
    <definedName name="bbb_4_1" hidden="1">{"'vert'!$A$1:$T$117"}</definedName>
    <definedName name="bbb_5" hidden="1">{"'vert'!$A$1:$T$117"}</definedName>
    <definedName name="bhf" hidden="1">{"'vert'!$A$1:$T$117"}</definedName>
    <definedName name="bhf_1" hidden="1">{"'vert'!$A$1:$T$117"}</definedName>
    <definedName name="bhf_1_1" hidden="1">{"'vert'!$A$1:$T$117"}</definedName>
    <definedName name="bhf_1_1_1" hidden="1">{"'vert'!$A$1:$T$117"}</definedName>
    <definedName name="bhf_1_2" hidden="1">{"'vert'!$A$1:$T$117"}</definedName>
    <definedName name="bhf_2" hidden="1">{"'vert'!$A$1:$T$117"}</definedName>
    <definedName name="bhf_2_1" hidden="1">{"'vert'!$A$1:$T$117"}</definedName>
    <definedName name="bhf_3" hidden="1">{"'vert'!$A$1:$T$117"}</definedName>
    <definedName name="bhf_3_1" hidden="1">{"'vert'!$A$1:$T$117"}</definedName>
    <definedName name="bhf_4" hidden="1">{"'vert'!$A$1:$T$117"}</definedName>
    <definedName name="bhf_4_1" hidden="1">{"'vert'!$A$1:$T$117"}</definedName>
    <definedName name="bhf_5" hidden="1">{"'vert'!$A$1:$T$117"}</definedName>
    <definedName name="bla" hidden="1">{"'vert'!$A$1:$T$117"}</definedName>
    <definedName name="bla_1" hidden="1">{"'vert'!$A$1:$T$117"}</definedName>
    <definedName name="bla_1_1" hidden="1">{"'vert'!$A$1:$T$117"}</definedName>
    <definedName name="bla_1_1_1" hidden="1">{"'vert'!$A$1:$T$117"}</definedName>
    <definedName name="bla_1_2" hidden="1">{"'vert'!$A$1:$T$117"}</definedName>
    <definedName name="bla_2" hidden="1">{"'vert'!$A$1:$T$117"}</definedName>
    <definedName name="bla_2_1" hidden="1">{"'vert'!$A$1:$T$117"}</definedName>
    <definedName name="bla_3" hidden="1">{"'vert'!$A$1:$T$117"}</definedName>
    <definedName name="bla_3_1" hidden="1">{"'vert'!$A$1:$T$117"}</definedName>
    <definedName name="bla_4" hidden="1">{"'vert'!$A$1:$T$117"}</definedName>
    <definedName name="bla_4_1" hidden="1">{"'vert'!$A$1:$T$117"}</definedName>
    <definedName name="bla_5" hidden="1">{"'vert'!$A$1:$T$117"}</definedName>
    <definedName name="blah" hidden="1">{"'vert'!$A$1:$T$117"}</definedName>
    <definedName name="blah_1" hidden="1">{"'vert'!$A$1:$T$117"}</definedName>
    <definedName name="blah_1_1" hidden="1">{"'vert'!$A$1:$T$117"}</definedName>
    <definedName name="blah_1_1_1" hidden="1">{"'vert'!$A$1:$T$117"}</definedName>
    <definedName name="blah_1_2" hidden="1">{"'vert'!$A$1:$T$117"}</definedName>
    <definedName name="blah_2" hidden="1">{"'vert'!$A$1:$T$117"}</definedName>
    <definedName name="blah_2_1" hidden="1">{"'vert'!$A$1:$T$117"}</definedName>
    <definedName name="blah_3" hidden="1">{"'vert'!$A$1:$T$117"}</definedName>
    <definedName name="blah_3_1" hidden="1">{"'vert'!$A$1:$T$117"}</definedName>
    <definedName name="blah_4" hidden="1">{"'vert'!$A$1:$T$117"}</definedName>
    <definedName name="blah_4_1" hidden="1">{"'vert'!$A$1:$T$117"}</definedName>
    <definedName name="blah_5" hidden="1">{"'vert'!$A$1:$T$117"}</definedName>
    <definedName name="bne" hidden="1">#REF!</definedName>
    <definedName name="BNE_MESSAGES_HIDDEN" hidden="1">#REF!</definedName>
    <definedName name="boatluck" hidden="1">{"'vert'!$A$1:$T$117"}</definedName>
    <definedName name="boatluck_1" hidden="1">{"'vert'!$A$1:$T$117"}</definedName>
    <definedName name="boatluck_1_1" hidden="1">{"'vert'!$A$1:$T$117"}</definedName>
    <definedName name="boatluck_1_1_1" hidden="1">{"'vert'!$A$1:$T$117"}</definedName>
    <definedName name="boatluck_1_2" hidden="1">{"'vert'!$A$1:$T$117"}</definedName>
    <definedName name="boatluck_2" hidden="1">{"'vert'!$A$1:$T$117"}</definedName>
    <definedName name="boatluck_2_1" hidden="1">{"'vert'!$A$1:$T$117"}</definedName>
    <definedName name="boatluck_3" hidden="1">{"'vert'!$A$1:$T$117"}</definedName>
    <definedName name="boatluck_3_1" hidden="1">{"'vert'!$A$1:$T$117"}</definedName>
    <definedName name="boatluck_4" hidden="1">{"'vert'!$A$1:$T$117"}</definedName>
    <definedName name="boatluck_4_1" hidden="1">{"'vert'!$A$1:$T$117"}</definedName>
    <definedName name="boatluck_5" hidden="1">{"'vert'!$A$1:$T$117"}</definedName>
    <definedName name="BTSYield_RentalConstant">'[5]AMZL Data Entry'!$C$101</definedName>
    <definedName name="Building_Design">'[5]AMZL Data Entry'!$C$19</definedName>
    <definedName name="Building_SF">'[5]AMZL Data Entry'!$C$35</definedName>
    <definedName name="Building_Type">'[5]AMZL Data Entry'!$C$17</definedName>
    <definedName name="ca" hidden="1">{"'vert'!$A$1:$T$117"}</definedName>
    <definedName name="ca_1" hidden="1">{"'vert'!$A$1:$T$117"}</definedName>
    <definedName name="ca_1_1" hidden="1">{"'vert'!$A$1:$T$117"}</definedName>
    <definedName name="ca_1_1_1" hidden="1">{"'vert'!$A$1:$T$117"}</definedName>
    <definedName name="ca_1_2" hidden="1">{"'vert'!$A$1:$T$117"}</definedName>
    <definedName name="ca_2" hidden="1">{"'vert'!$A$1:$T$117"}</definedName>
    <definedName name="ca_2_1" hidden="1">{"'vert'!$A$1:$T$117"}</definedName>
    <definedName name="ca_3" hidden="1">{"'vert'!$A$1:$T$117"}</definedName>
    <definedName name="ca_3_1" hidden="1">{"'vert'!$A$1:$T$117"}</definedName>
    <definedName name="ca_4" hidden="1">{"'vert'!$A$1:$T$117"}</definedName>
    <definedName name="ca_4_1" hidden="1">{"'vert'!$A$1:$T$117"}</definedName>
    <definedName name="ca_5" hidden="1">{"'vert'!$A$1:$T$117"}</definedName>
    <definedName name="Capacity">'[5]AMZL Data Entry'!$C$21</definedName>
    <definedName name="Capital_Partner">'[5]AMZL Data Entry'!$C$68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entroid">'[5]AMZL Data Entry'!$C$8</definedName>
    <definedName name="CIQWBGuid" hidden="1">"8c78b3a0-4a42-434d-a532-77660d522d77"</definedName>
    <definedName name="City_State">'[5]AMZL Data Entry'!$C$7</definedName>
    <definedName name="cole" hidden="1">{"'vert'!$A$1:$T$117"}</definedName>
    <definedName name="cole_1" hidden="1">{"'vert'!$A$1:$T$117"}</definedName>
    <definedName name="cole_1_1" hidden="1">{"'vert'!$A$1:$T$117"}</definedName>
    <definedName name="cole_1_1_1" hidden="1">{"'vert'!$A$1:$T$117"}</definedName>
    <definedName name="cole_1_2" hidden="1">{"'vert'!$A$1:$T$117"}</definedName>
    <definedName name="cole_2" hidden="1">{"'vert'!$A$1:$T$117"}</definedName>
    <definedName name="cole_2_1" hidden="1">{"'vert'!$A$1:$T$117"}</definedName>
    <definedName name="cole_3" hidden="1">{"'vert'!$A$1:$T$117"}</definedName>
    <definedName name="cole_3_1" hidden="1">{"'vert'!$A$1:$T$117"}</definedName>
    <definedName name="cole_4" hidden="1">{"'vert'!$A$1:$T$117"}</definedName>
    <definedName name="cole_4_1" hidden="1">{"'vert'!$A$1:$T$117"}</definedName>
    <definedName name="cole_5" hidden="1">{"'vert'!$A$1:$T$117"}</definedName>
    <definedName name="cole1" hidden="1">{"'vert'!$A$1:$T$117"}</definedName>
    <definedName name="cole1_1" hidden="1">{"'vert'!$A$1:$T$117"}</definedName>
    <definedName name="cole1_1_1" hidden="1">{"'vert'!$A$1:$T$117"}</definedName>
    <definedName name="cole1_1_1_1" hidden="1">{"'vert'!$A$1:$T$117"}</definedName>
    <definedName name="cole1_1_2" hidden="1">{"'vert'!$A$1:$T$117"}</definedName>
    <definedName name="cole1_2" hidden="1">{"'vert'!$A$1:$T$117"}</definedName>
    <definedName name="cole1_2_1" hidden="1">{"'vert'!$A$1:$T$117"}</definedName>
    <definedName name="cole1_3" hidden="1">{"'vert'!$A$1:$T$117"}</definedName>
    <definedName name="cole1_3_1" hidden="1">{"'vert'!$A$1:$T$117"}</definedName>
    <definedName name="cole1_4" hidden="1">{"'vert'!$A$1:$T$117"}</definedName>
    <definedName name="cole1_4_1" hidden="1">{"'vert'!$A$1:$T$117"}</definedName>
    <definedName name="cole1_5" hidden="1">{"'vert'!$A$1:$T$117"}</definedName>
    <definedName name="cole2" hidden="1">{"'weekly data'!$A$2:$AS$36"}</definedName>
    <definedName name="cole2_1" hidden="1">{"'weekly data'!$A$2:$AS$36"}</definedName>
    <definedName name="cole2_1_1" hidden="1">{"'weekly data'!$A$2:$AS$36"}</definedName>
    <definedName name="cole2_1_1_1" hidden="1">{"'weekly data'!$A$2:$AS$36"}</definedName>
    <definedName name="cole2_1_2" hidden="1">{"'weekly data'!$A$2:$AS$36"}</definedName>
    <definedName name="cole2_2" hidden="1">{"'weekly data'!$A$2:$AS$36"}</definedName>
    <definedName name="cole2_2_1" hidden="1">{"'weekly data'!$A$2:$AS$36"}</definedName>
    <definedName name="cole2_3" hidden="1">{"'weekly data'!$A$2:$AS$36"}</definedName>
    <definedName name="cole2_3_1" hidden="1">{"'weekly data'!$A$2:$AS$36"}</definedName>
    <definedName name="cole2_4" hidden="1">{"'weekly data'!$A$2:$AS$36"}</definedName>
    <definedName name="cole2_4_1" hidden="1">{"'weekly data'!$A$2:$AS$36"}</definedName>
    <definedName name="cole2_5" hidden="1">{"'weekly data'!$A$2:$AS$36"}</definedName>
    <definedName name="Cole333" hidden="1">{"'weekly data'!$A$2:$AS$36"}</definedName>
    <definedName name="Cole333_1" hidden="1">{"'weekly data'!$A$2:$AS$36"}</definedName>
    <definedName name="Cole333_1_1" hidden="1">{"'weekly data'!$A$2:$AS$36"}</definedName>
    <definedName name="Cole333_1_1_1" hidden="1">{"'weekly data'!$A$2:$AS$36"}</definedName>
    <definedName name="Cole333_1_2" hidden="1">{"'weekly data'!$A$2:$AS$36"}</definedName>
    <definedName name="Cole333_2" hidden="1">{"'weekly data'!$A$2:$AS$36"}</definedName>
    <definedName name="Cole333_2_1" hidden="1">{"'weekly data'!$A$2:$AS$36"}</definedName>
    <definedName name="Cole333_3" hidden="1">{"'weekly data'!$A$2:$AS$36"}</definedName>
    <definedName name="Cole333_3_1" hidden="1">{"'weekly data'!$A$2:$AS$36"}</definedName>
    <definedName name="Cole333_4" hidden="1">{"'weekly data'!$A$2:$AS$36"}</definedName>
    <definedName name="Cole333_4_1" hidden="1">{"'weekly data'!$A$2:$AS$36"}</definedName>
    <definedName name="Cole333_5" hidden="1">{"'weekly data'!$A$2:$AS$36"}</definedName>
    <definedName name="Comm_Relations_Risk">'[5]AMZL Data Entry'!$C$56</definedName>
    <definedName name="Constraints">'[5]AMZL Data Entry'!$C$43</definedName>
    <definedName name="Construction_Cost_Total">'[5]AMZL Data Entry'!$C$102</definedName>
    <definedName name="ConstructionCapExPSF">'[5]AMZL Data Entry'!$C$112</definedName>
    <definedName name="ConstructionTCPIC">'[5]AMZL Data Entry'!$C$113</definedName>
    <definedName name="coop2" hidden="1">{"'vert'!$A$1:$T$117"}</definedName>
    <definedName name="coop2_1" hidden="1">{"'vert'!$A$1:$T$117"}</definedName>
    <definedName name="coop2_1_1" hidden="1">{"'vert'!$A$1:$T$117"}</definedName>
    <definedName name="coop2_1_1_1" hidden="1">{"'vert'!$A$1:$T$117"}</definedName>
    <definedName name="coop2_1_2" hidden="1">{"'vert'!$A$1:$T$117"}</definedName>
    <definedName name="coop2_2" hidden="1">{"'vert'!$A$1:$T$117"}</definedName>
    <definedName name="coop2_2_1" hidden="1">{"'vert'!$A$1:$T$117"}</definedName>
    <definedName name="coop2_3" hidden="1">{"'vert'!$A$1:$T$117"}</definedName>
    <definedName name="coop2_3_1" hidden="1">{"'vert'!$A$1:$T$117"}</definedName>
    <definedName name="coop2_4" hidden="1">{"'vert'!$A$1:$T$117"}</definedName>
    <definedName name="coop2_4_1" hidden="1">{"'vert'!$A$1:$T$117"}</definedName>
    <definedName name="coop2_5" hidden="1">{"'vert'!$A$1:$T$117"}</definedName>
    <definedName name="copy" hidden="1">{"'vert'!$A$1:$T$117"}</definedName>
    <definedName name="copy_1" hidden="1">{"'vert'!$A$1:$T$117"}</definedName>
    <definedName name="copy_1_1" hidden="1">{"'vert'!$A$1:$T$117"}</definedName>
    <definedName name="copy_1_1_1" hidden="1">{"'vert'!$A$1:$T$117"}</definedName>
    <definedName name="copy_1_2" hidden="1">{"'vert'!$A$1:$T$117"}</definedName>
    <definedName name="copy_2" hidden="1">{"'vert'!$A$1:$T$117"}</definedName>
    <definedName name="copy_2_1" hidden="1">{"'vert'!$A$1:$T$117"}</definedName>
    <definedName name="copy_3" hidden="1">{"'vert'!$A$1:$T$117"}</definedName>
    <definedName name="copy_3_1" hidden="1">{"'vert'!$A$1:$T$117"}</definedName>
    <definedName name="copy_4" hidden="1">{"'vert'!$A$1:$T$117"}</definedName>
    <definedName name="copy_4_1" hidden="1">{"'vert'!$A$1:$T$117"}</definedName>
    <definedName name="copy_5" hidden="1">{"'vert'!$A$1:$T$117"}</definedName>
    <definedName name="curr" hidden="1">{"'vert'!$A$1:$T$117"}</definedName>
    <definedName name="curr_1" hidden="1">{"'vert'!$A$1:$T$117"}</definedName>
    <definedName name="curr_1_1" hidden="1">{"'vert'!$A$1:$T$117"}</definedName>
    <definedName name="curr_1_1_1" hidden="1">{"'vert'!$A$1:$T$117"}</definedName>
    <definedName name="curr_1_2" hidden="1">{"'vert'!$A$1:$T$117"}</definedName>
    <definedName name="curr_2" hidden="1">{"'vert'!$A$1:$T$117"}</definedName>
    <definedName name="curr_2_1" hidden="1">{"'vert'!$A$1:$T$117"}</definedName>
    <definedName name="curr_3" hidden="1">{"'vert'!$A$1:$T$117"}</definedName>
    <definedName name="curr_3_1" hidden="1">{"'vert'!$A$1:$T$117"}</definedName>
    <definedName name="curr_4" hidden="1">{"'vert'!$A$1:$T$117"}</definedName>
    <definedName name="curr_4_1" hidden="1">{"'vert'!$A$1:$T$117"}</definedName>
    <definedName name="curr_5" hidden="1">{"'vert'!$A$1:$T$117"}</definedName>
    <definedName name="Currency">'[5]AMZL Data Entry'!$C$10</definedName>
    <definedName name="current" hidden="1">{"'vert'!$A$1:$T$117"}</definedName>
    <definedName name="current_1" hidden="1">{"'vert'!$A$1:$T$117"}</definedName>
    <definedName name="current_1_1" hidden="1">{"'vert'!$A$1:$T$117"}</definedName>
    <definedName name="current_1_1_1" hidden="1">{"'vert'!$A$1:$T$117"}</definedName>
    <definedName name="current_1_2" hidden="1">{"'vert'!$A$1:$T$117"}</definedName>
    <definedName name="current_2" hidden="1">{"'vert'!$A$1:$T$117"}</definedName>
    <definedName name="current_2_1" hidden="1">{"'vert'!$A$1:$T$117"}</definedName>
    <definedName name="current_3" hidden="1">{"'vert'!$A$1:$T$117"}</definedName>
    <definedName name="current_3_1" hidden="1">{"'vert'!$A$1:$T$117"}</definedName>
    <definedName name="current_4" hidden="1">{"'vert'!$A$1:$T$117"}</definedName>
    <definedName name="current_4_1" hidden="1">{"'vert'!$A$1:$T$117"}</definedName>
    <definedName name="current_5" hidden="1">{"'vert'!$A$1:$T$117"}</definedName>
    <definedName name="Current_Use">'[5]AMZL Data Entry'!$C$31</definedName>
    <definedName name="currentest" hidden="1">{"'vert'!$A$1:$T$117"}</definedName>
    <definedName name="currentest_1" hidden="1">{"'vert'!$A$1:$T$117"}</definedName>
    <definedName name="currentest_1_1" hidden="1">{"'vert'!$A$1:$T$117"}</definedName>
    <definedName name="currentest_1_1_1" hidden="1">{"'vert'!$A$1:$T$117"}</definedName>
    <definedName name="currentest_1_2" hidden="1">{"'vert'!$A$1:$T$117"}</definedName>
    <definedName name="currentest_2" hidden="1">{"'vert'!$A$1:$T$117"}</definedName>
    <definedName name="currentest_2_1" hidden="1">{"'vert'!$A$1:$T$117"}</definedName>
    <definedName name="currentest_3" hidden="1">{"'vert'!$A$1:$T$117"}</definedName>
    <definedName name="currentest_3_1" hidden="1">{"'vert'!$A$1:$T$117"}</definedName>
    <definedName name="currentest_4" hidden="1">{"'vert'!$A$1:$T$117"}</definedName>
    <definedName name="currentest_4_1" hidden="1">{"'vert'!$A$1:$T$117"}</definedName>
    <definedName name="currentest_5" hidden="1">{"'vert'!$A$1:$T$117"}</definedName>
    <definedName name="CurrentOwner">'[5]AMZL Data Entry'!$C$64</definedName>
    <definedName name="DD_Time_days">'[5]AMZL Data Entry'!$C$54</definedName>
    <definedName name="ddddd" hidden="1">{"'vert'!$A$1:$T$117"}</definedName>
    <definedName name="ddddd_1" hidden="1">{"'vert'!$A$1:$T$117"}</definedName>
    <definedName name="ddddd_1_1" hidden="1">{"'vert'!$A$1:$T$117"}</definedName>
    <definedName name="ddddd_1_1_1" hidden="1">{"'vert'!$A$1:$T$117"}</definedName>
    <definedName name="ddddd_1_2" hidden="1">{"'vert'!$A$1:$T$117"}</definedName>
    <definedName name="ddddd_2" hidden="1">{"'vert'!$A$1:$T$117"}</definedName>
    <definedName name="ddddd_2_1" hidden="1">{"'vert'!$A$1:$T$117"}</definedName>
    <definedName name="ddddd_3" hidden="1">{"'vert'!$A$1:$T$117"}</definedName>
    <definedName name="ddddd_3_1" hidden="1">{"'vert'!$A$1:$T$117"}</definedName>
    <definedName name="ddddd_4" hidden="1">{"'vert'!$A$1:$T$117"}</definedName>
    <definedName name="ddddd_4_1" hidden="1">{"'vert'!$A$1:$T$117"}</definedName>
    <definedName name="ddddd_5" hidden="1">{"'vert'!$A$1:$T$117"}</definedName>
    <definedName name="dddsfdsfd" hidden="1">{"'vert'!$A$1:$T$117"}</definedName>
    <definedName name="dddsfdsfd_1" hidden="1">{"'vert'!$A$1:$T$117"}</definedName>
    <definedName name="dddsfdsfd_1_1" hidden="1">{"'vert'!$A$1:$T$117"}</definedName>
    <definedName name="dddsfdsfd_1_1_1" hidden="1">{"'vert'!$A$1:$T$117"}</definedName>
    <definedName name="dddsfdsfd_1_2" hidden="1">{"'vert'!$A$1:$T$117"}</definedName>
    <definedName name="dddsfdsfd_2" hidden="1">{"'vert'!$A$1:$T$117"}</definedName>
    <definedName name="dddsfdsfd_2_1" hidden="1">{"'vert'!$A$1:$T$117"}</definedName>
    <definedName name="dddsfdsfd_3" hidden="1">{"'vert'!$A$1:$T$117"}</definedName>
    <definedName name="dddsfdsfd_3_1" hidden="1">{"'vert'!$A$1:$T$117"}</definedName>
    <definedName name="dddsfdsfd_4" hidden="1">{"'vert'!$A$1:$T$117"}</definedName>
    <definedName name="dddsfdsfd_4_1" hidden="1">{"'vert'!$A$1:$T$117"}</definedName>
    <definedName name="dddsfdsfd_5" hidden="1">{"'vert'!$A$1:$T$117"}</definedName>
    <definedName name="DE_final" hidden="1">{"'vert'!$A$1:$T$117"}</definedName>
    <definedName name="DE_final_1" hidden="1">{"'vert'!$A$1:$T$117"}</definedName>
    <definedName name="DE_final_1_1" hidden="1">{"'vert'!$A$1:$T$117"}</definedName>
    <definedName name="DE_final_1_1_1" hidden="1">{"'vert'!$A$1:$T$117"}</definedName>
    <definedName name="DE_final_1_2" hidden="1">{"'vert'!$A$1:$T$117"}</definedName>
    <definedName name="DE_final_2" hidden="1">{"'vert'!$A$1:$T$117"}</definedName>
    <definedName name="DE_final_2_1" hidden="1">{"'vert'!$A$1:$T$117"}</definedName>
    <definedName name="DE_final_3" hidden="1">{"'vert'!$A$1:$T$117"}</definedName>
    <definedName name="DE_final_3_1" hidden="1">{"'vert'!$A$1:$T$117"}</definedName>
    <definedName name="DE_final_4" hidden="1">{"'vert'!$A$1:$T$117"}</definedName>
    <definedName name="DE_final_4_1" hidden="1">{"'vert'!$A$1:$T$117"}</definedName>
    <definedName name="DE_final_5" hidden="1">{"'vert'!$A$1:$T$117"}</definedName>
    <definedName name="Dead_Rent_Period">'[5]AMZL Data Entry'!$C$94</definedName>
    <definedName name="Developer_Name">'[5]AMZL Data Entry'!$C$67</definedName>
    <definedName name="dfd" hidden="1">{"'vert'!$A$1:$T$117"}</definedName>
    <definedName name="dfd_1" hidden="1">{"'vert'!$A$1:$T$117"}</definedName>
    <definedName name="dfd_1_1" hidden="1">{"'vert'!$A$1:$T$117"}</definedName>
    <definedName name="dfd_1_1_1" hidden="1">{"'vert'!$A$1:$T$117"}</definedName>
    <definedName name="dfd_1_2" hidden="1">{"'vert'!$A$1:$T$117"}</definedName>
    <definedName name="dfd_2" hidden="1">{"'vert'!$A$1:$T$117"}</definedName>
    <definedName name="dfd_2_1" hidden="1">{"'vert'!$A$1:$T$117"}</definedName>
    <definedName name="dfd_3" hidden="1">{"'vert'!$A$1:$T$117"}</definedName>
    <definedName name="dfd_3_1" hidden="1">{"'vert'!$A$1:$T$117"}</definedName>
    <definedName name="dfd_4" hidden="1">{"'vert'!$A$1:$T$117"}</definedName>
    <definedName name="dfd_4_1" hidden="1">{"'vert'!$A$1:$T$117"}</definedName>
    <definedName name="dfd_5" hidden="1">{"'vert'!$A$1:$T$117"}</definedName>
    <definedName name="dfdjk" hidden="1">{"'vert'!$A$1:$T$117"}</definedName>
    <definedName name="dfdjk_1" hidden="1">{"'vert'!$A$1:$T$117"}</definedName>
    <definedName name="dfdjk_1_1" hidden="1">{"'vert'!$A$1:$T$117"}</definedName>
    <definedName name="dfdjk_1_1_1" hidden="1">{"'vert'!$A$1:$T$117"}</definedName>
    <definedName name="dfdjk_1_2" hidden="1">{"'vert'!$A$1:$T$117"}</definedName>
    <definedName name="dfdjk_2" hidden="1">{"'vert'!$A$1:$T$117"}</definedName>
    <definedName name="dfdjk_2_1" hidden="1">{"'vert'!$A$1:$T$117"}</definedName>
    <definedName name="dfdjk_3" hidden="1">{"'vert'!$A$1:$T$117"}</definedName>
    <definedName name="dfdjk_3_1" hidden="1">{"'vert'!$A$1:$T$117"}</definedName>
    <definedName name="dfdjk_4" hidden="1">{"'vert'!$A$1:$T$117"}</definedName>
    <definedName name="dfdjk_4_1" hidden="1">{"'vert'!$A$1:$T$117"}</definedName>
    <definedName name="dfdjk_5" hidden="1">{"'vert'!$A$1:$T$117"}</definedName>
    <definedName name="dfdslfj" hidden="1">{"'vert'!$A$1:$T$117"}</definedName>
    <definedName name="dfdslfj_1" hidden="1">{"'vert'!$A$1:$T$117"}</definedName>
    <definedName name="dfdslfj_1_1" hidden="1">{"'vert'!$A$1:$T$117"}</definedName>
    <definedName name="dfdslfj_1_1_1" hidden="1">{"'vert'!$A$1:$T$117"}</definedName>
    <definedName name="dfdslfj_1_2" hidden="1">{"'vert'!$A$1:$T$117"}</definedName>
    <definedName name="dfdslfj_2" hidden="1">{"'vert'!$A$1:$T$117"}</definedName>
    <definedName name="dfdslfj_2_1" hidden="1">{"'vert'!$A$1:$T$117"}</definedName>
    <definedName name="dfdslfj_3" hidden="1">{"'vert'!$A$1:$T$117"}</definedName>
    <definedName name="dfdslfj_3_1" hidden="1">{"'vert'!$A$1:$T$117"}</definedName>
    <definedName name="dfdslfj_4" hidden="1">{"'vert'!$A$1:$T$117"}</definedName>
    <definedName name="dfdslfj_4_1" hidden="1">{"'vert'!$A$1:$T$117"}</definedName>
    <definedName name="dfdslfj_5" hidden="1">{"'vert'!$A$1:$T$117"}</definedName>
    <definedName name="dfgdsfg" hidden="1">{"'vert'!$A$1:$T$117"}</definedName>
    <definedName name="dfgdsfg_1" hidden="1">{"'vert'!$A$1:$T$117"}</definedName>
    <definedName name="dirtydog" hidden="1">{"'weekly data'!$A$2:$AS$36"}</definedName>
    <definedName name="dirtydog_1" hidden="1">{"'weekly data'!$A$2:$AS$36"}</definedName>
    <definedName name="dirtydog_1_1" hidden="1">{"'weekly data'!$A$2:$AS$36"}</definedName>
    <definedName name="dirtydog_1_1_1" hidden="1">{"'weekly data'!$A$2:$AS$36"}</definedName>
    <definedName name="dirtydog_1_2" hidden="1">{"'weekly data'!$A$2:$AS$36"}</definedName>
    <definedName name="dirtydog_2" hidden="1">{"'weekly data'!$A$2:$AS$36"}</definedName>
    <definedName name="dirtydog_2_1" hidden="1">{"'weekly data'!$A$2:$AS$36"}</definedName>
    <definedName name="dirtydog_3" hidden="1">{"'weekly data'!$A$2:$AS$36"}</definedName>
    <definedName name="dirtydog_3_1" hidden="1">{"'weekly data'!$A$2:$AS$36"}</definedName>
    <definedName name="dirtydog_4" hidden="1">{"'weekly data'!$A$2:$AS$36"}</definedName>
    <definedName name="dirtydog_4_1" hidden="1">{"'weekly data'!$A$2:$AS$36"}</definedName>
    <definedName name="dirtydog_5" hidden="1">{"'weekly data'!$A$2:$AS$36"}</definedName>
    <definedName name="djfk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lfjds" hidden="1">{"'vert'!$A$1:$T$117"}</definedName>
    <definedName name="dlfjds_1" hidden="1">{"'vert'!$A$1:$T$117"}</definedName>
    <definedName name="dlfjds_1_1" hidden="1">{"'vert'!$A$1:$T$117"}</definedName>
    <definedName name="dlfjds_1_1_1" hidden="1">{"'vert'!$A$1:$T$117"}</definedName>
    <definedName name="dlfjds_1_2" hidden="1">{"'vert'!$A$1:$T$117"}</definedName>
    <definedName name="dlfjds_2" hidden="1">{"'vert'!$A$1:$T$117"}</definedName>
    <definedName name="dlfjds_2_1" hidden="1">{"'vert'!$A$1:$T$117"}</definedName>
    <definedName name="dlfjds_3" hidden="1">{"'vert'!$A$1:$T$117"}</definedName>
    <definedName name="dlfjds_3_1" hidden="1">{"'vert'!$A$1:$T$117"}</definedName>
    <definedName name="dlfjds_4" hidden="1">{"'vert'!$A$1:$T$117"}</definedName>
    <definedName name="dlfjds_4_1" hidden="1">{"'vert'!$A$1:$T$117"}</definedName>
    <definedName name="dlfjds_5" hidden="1">{"'vert'!$A$1:$T$117"}</definedName>
    <definedName name="dsdsds" hidden="1">{"'vert'!$A$1:$T$117"}</definedName>
    <definedName name="dsdsds_1" hidden="1">{"'vert'!$A$1:$T$117"}</definedName>
    <definedName name="dsdsds_1_1" hidden="1">{"'vert'!$A$1:$T$117"}</definedName>
    <definedName name="dsdsds_1_1_1" hidden="1">{"'vert'!$A$1:$T$117"}</definedName>
    <definedName name="dsdsds_1_2" hidden="1">{"'vert'!$A$1:$T$117"}</definedName>
    <definedName name="dsdsds_2" hidden="1">{"'vert'!$A$1:$T$117"}</definedName>
    <definedName name="dsdsds_2_1" hidden="1">{"'vert'!$A$1:$T$117"}</definedName>
    <definedName name="dsdsds_3" hidden="1">{"'vert'!$A$1:$T$117"}</definedName>
    <definedName name="dsdsds_3_1" hidden="1">{"'vert'!$A$1:$T$117"}</definedName>
    <definedName name="dsdsds_4" hidden="1">{"'vert'!$A$1:$T$117"}</definedName>
    <definedName name="dsdsds_4_1" hidden="1">{"'vert'!$A$1:$T$117"}</definedName>
    <definedName name="dsdsds_5" hidden="1">{"'vert'!$A$1:$T$117"}</definedName>
    <definedName name="dsfds" hidden="1">{"'vert'!$A$1:$T$117"}</definedName>
    <definedName name="dsfds_1" hidden="1">{"'vert'!$A$1:$T$117"}</definedName>
    <definedName name="dsfds_1_1" hidden="1">{"'vert'!$A$1:$T$117"}</definedName>
    <definedName name="dsfds_1_1_1" hidden="1">{"'vert'!$A$1:$T$117"}</definedName>
    <definedName name="dsfds_1_2" hidden="1">{"'vert'!$A$1:$T$117"}</definedName>
    <definedName name="dsfds_2" hidden="1">{"'vert'!$A$1:$T$117"}</definedName>
    <definedName name="dsfds_2_1" hidden="1">{"'vert'!$A$1:$T$117"}</definedName>
    <definedName name="dsfds_3" hidden="1">{"'vert'!$A$1:$T$117"}</definedName>
    <definedName name="dsfds_3_1" hidden="1">{"'vert'!$A$1:$T$117"}</definedName>
    <definedName name="dsfds_4" hidden="1">{"'vert'!$A$1:$T$117"}</definedName>
    <definedName name="dsfds_4_1" hidden="1">{"'vert'!$A$1:$T$117"}</definedName>
    <definedName name="dsfds_5" hidden="1">{"'vert'!$A$1:$T$117"}</definedName>
    <definedName name="dsfff" hidden="1">{"'vert'!$A$1:$T$117"}</definedName>
    <definedName name="dsfff_1" hidden="1">{"'vert'!$A$1:$T$117"}</definedName>
    <definedName name="dsfff_1_1" hidden="1">{"'vert'!$A$1:$T$117"}</definedName>
    <definedName name="dsfff_1_1_1" hidden="1">{"'vert'!$A$1:$T$117"}</definedName>
    <definedName name="dsfff_1_2" hidden="1">{"'vert'!$A$1:$T$117"}</definedName>
    <definedName name="dsfff_2" hidden="1">{"'vert'!$A$1:$T$117"}</definedName>
    <definedName name="dsfff_2_1" hidden="1">{"'vert'!$A$1:$T$117"}</definedName>
    <definedName name="dsfff_3" hidden="1">{"'vert'!$A$1:$T$117"}</definedName>
    <definedName name="dsfff_3_1" hidden="1">{"'vert'!$A$1:$T$117"}</definedName>
    <definedName name="dsfff_4" hidden="1">{"'vert'!$A$1:$T$117"}</definedName>
    <definedName name="dsfff_4_1" hidden="1">{"'vert'!$A$1:$T$117"}</definedName>
    <definedName name="dsfff_5" hidden="1">{"'vert'!$A$1:$T$117"}</definedName>
    <definedName name="dssd" hidden="1">{"'vert'!$A$1:$T$117"}</definedName>
    <definedName name="dssd_1" hidden="1">{"'vert'!$A$1:$T$117"}</definedName>
    <definedName name="dssd_1_1" hidden="1">{"'vert'!$A$1:$T$117"}</definedName>
    <definedName name="dssd_1_1_1" hidden="1">{"'vert'!$A$1:$T$117"}</definedName>
    <definedName name="dssd_1_2" hidden="1">{"'vert'!$A$1:$T$117"}</definedName>
    <definedName name="dssd_2" hidden="1">{"'vert'!$A$1:$T$117"}</definedName>
    <definedName name="dssd_2_1" hidden="1">{"'vert'!$A$1:$T$117"}</definedName>
    <definedName name="dssd_3" hidden="1">{"'vert'!$A$1:$T$117"}</definedName>
    <definedName name="dssd_3_1" hidden="1">{"'vert'!$A$1:$T$117"}</definedName>
    <definedName name="dssd_4" hidden="1">{"'vert'!$A$1:$T$117"}</definedName>
    <definedName name="dssd_4_1" hidden="1">{"'vert'!$A$1:$T$117"}</definedName>
    <definedName name="dssd_5" hidden="1">{"'vert'!$A$1:$T$117"}</definedName>
    <definedName name="ECon" hidden="1">{"'vert'!$A$1:$T$117"}</definedName>
    <definedName name="eeeee" hidden="1">{"'vert'!$A$1:$T$117"}</definedName>
    <definedName name="eeeee_1" hidden="1">{"'vert'!$A$1:$T$117"}</definedName>
    <definedName name="eeeee_1_1" hidden="1">{"'vert'!$A$1:$T$117"}</definedName>
    <definedName name="eeeee_1_1_1" hidden="1">{"'vert'!$A$1:$T$117"}</definedName>
    <definedName name="eeeee_1_2" hidden="1">{"'vert'!$A$1:$T$117"}</definedName>
    <definedName name="eeeee_2" hidden="1">{"'vert'!$A$1:$T$117"}</definedName>
    <definedName name="eeeee_2_1" hidden="1">{"'vert'!$A$1:$T$117"}</definedName>
    <definedName name="eeeee_3" hidden="1">{"'vert'!$A$1:$T$117"}</definedName>
    <definedName name="eeeee_3_1" hidden="1">{"'vert'!$A$1:$T$117"}</definedName>
    <definedName name="eeeee_4" hidden="1">{"'vert'!$A$1:$T$117"}</definedName>
    <definedName name="eeeee_4_1" hidden="1">{"'vert'!$A$1:$T$117"}</definedName>
    <definedName name="eeeee_5" hidden="1">{"'vert'!$A$1:$T$117"}</definedName>
    <definedName name="Entitlements">'[5]AMZL Data Entry'!$C$69</definedName>
    <definedName name="EnvironmentalCallouts">'[5]AMZL Data Entry'!$C$48</definedName>
    <definedName name="ete" hidden="1">{"'vert'!$A$1:$T$117"}</definedName>
    <definedName name="ete_1" hidden="1">{"'vert'!$A$1:$T$117"}</definedName>
    <definedName name="ete_1_1" hidden="1">{"'vert'!$A$1:$T$117"}</definedName>
    <definedName name="ete_1_1_1" hidden="1">{"'vert'!$A$1:$T$117"}</definedName>
    <definedName name="ete_1_2" hidden="1">{"'vert'!$A$1:$T$117"}</definedName>
    <definedName name="ete_2" hidden="1">{"'vert'!$A$1:$T$117"}</definedName>
    <definedName name="ete_2_1" hidden="1">{"'vert'!$A$1:$T$117"}</definedName>
    <definedName name="ete_3" hidden="1">{"'vert'!$A$1:$T$117"}</definedName>
    <definedName name="ete_3_1" hidden="1">{"'vert'!$A$1:$T$117"}</definedName>
    <definedName name="ete_4" hidden="1">{"'vert'!$A$1:$T$117"}</definedName>
    <definedName name="ete_4_1" hidden="1">{"'vert'!$A$1:$T$117"}</definedName>
    <definedName name="ete_5" hidden="1">{"'vert'!$A$1:$T$117"}</definedName>
    <definedName name="ExchangeRate">'[5]AMZL Data Entry'!$C$11</definedName>
    <definedName name="FCPP">'[5]AMZL Data Entry'!$C$111</definedName>
    <definedName name="fdfd" hidden="1">{"'vert'!$A$1:$T$117"}</definedName>
    <definedName name="fdfd_1" hidden="1">{"'vert'!$A$1:$T$117"}</definedName>
    <definedName name="fdfd_1_1" hidden="1">{"'vert'!$A$1:$T$117"}</definedName>
    <definedName name="fdfd_1_1_1" hidden="1">{"'vert'!$A$1:$T$117"}</definedName>
    <definedName name="fdfd_1_2" hidden="1">{"'vert'!$A$1:$T$117"}</definedName>
    <definedName name="fdfd_2" hidden="1">{"'vert'!$A$1:$T$117"}</definedName>
    <definedName name="fdfd_2_1" hidden="1">{"'vert'!$A$1:$T$117"}</definedName>
    <definedName name="fdfd_3" hidden="1">{"'vert'!$A$1:$T$117"}</definedName>
    <definedName name="fdfd_3_1" hidden="1">{"'vert'!$A$1:$T$117"}</definedName>
    <definedName name="fdfd_4" hidden="1">{"'vert'!$A$1:$T$117"}</definedName>
    <definedName name="fdfd_4_1" hidden="1">{"'vert'!$A$1:$T$117"}</definedName>
    <definedName name="fdfd_5" hidden="1">{"'vert'!$A$1:$T$117"}</definedName>
    <definedName name="fdfdfd" hidden="1">{"'vert'!$A$1:$T$117"}</definedName>
    <definedName name="fdfdfd_1" hidden="1">{"'vert'!$A$1:$T$117"}</definedName>
    <definedName name="fdfdfd_1_1" hidden="1">{"'vert'!$A$1:$T$117"}</definedName>
    <definedName name="fdfdfd_1_1_1" hidden="1">{"'vert'!$A$1:$T$117"}</definedName>
    <definedName name="fdfdfd_1_2" hidden="1">{"'vert'!$A$1:$T$117"}</definedName>
    <definedName name="fdfdfd_2" hidden="1">{"'vert'!$A$1:$T$117"}</definedName>
    <definedName name="fdfdfd_2_1" hidden="1">{"'vert'!$A$1:$T$117"}</definedName>
    <definedName name="fdfdfd_3" hidden="1">{"'vert'!$A$1:$T$117"}</definedName>
    <definedName name="fdfdfd_3_1" hidden="1">{"'vert'!$A$1:$T$117"}</definedName>
    <definedName name="fdfdfd_4" hidden="1">{"'vert'!$A$1:$T$117"}</definedName>
    <definedName name="fdfdfd_4_1" hidden="1">{"'vert'!$A$1:$T$117"}</definedName>
    <definedName name="fdfdfd_5" hidden="1">{"'vert'!$A$1:$T$117"}</definedName>
    <definedName name="fdfjsdk" hidden="1">{"'vert'!$A$1:$T$117"}</definedName>
    <definedName name="fdfjsdk_1" hidden="1">{"'vert'!$A$1:$T$117"}</definedName>
    <definedName name="fdfjsdk_1_1" hidden="1">{"'vert'!$A$1:$T$117"}</definedName>
    <definedName name="fdfjsdk_1_1_1" hidden="1">{"'vert'!$A$1:$T$117"}</definedName>
    <definedName name="fdfjsdk_1_2" hidden="1">{"'vert'!$A$1:$T$117"}</definedName>
    <definedName name="fdfjsdk_2" hidden="1">{"'vert'!$A$1:$T$117"}</definedName>
    <definedName name="fdfjsdk_2_1" hidden="1">{"'vert'!$A$1:$T$117"}</definedName>
    <definedName name="fdfjsdk_3" hidden="1">{"'vert'!$A$1:$T$117"}</definedName>
    <definedName name="fdfjsdk_3_1" hidden="1">{"'vert'!$A$1:$T$117"}</definedName>
    <definedName name="fdfjsdk_4" hidden="1">{"'vert'!$A$1:$T$117"}</definedName>
    <definedName name="fdfjsdk_4_1" hidden="1">{"'vert'!$A$1:$T$117"}</definedName>
    <definedName name="fdfjsdk_5" hidden="1">{"'vert'!$A$1:$T$117"}</definedName>
    <definedName name="fds" hidden="1">{"'vert'!$A$1:$T$117"}</definedName>
    <definedName name="fds_1" hidden="1">{"'vert'!$A$1:$T$117"}</definedName>
    <definedName name="fds_1_1" hidden="1">{"'vert'!$A$1:$T$117"}</definedName>
    <definedName name="fds_1_1_1" hidden="1">{"'vert'!$A$1:$T$117"}</definedName>
    <definedName name="fds_1_2" hidden="1">{"'vert'!$A$1:$T$117"}</definedName>
    <definedName name="fds_2" hidden="1">{"'vert'!$A$1:$T$117"}</definedName>
    <definedName name="fds_2_1" hidden="1">{"'vert'!$A$1:$T$117"}</definedName>
    <definedName name="fds_3" hidden="1">{"'vert'!$A$1:$T$117"}</definedName>
    <definedName name="fds_3_1" hidden="1">{"'vert'!$A$1:$T$117"}</definedName>
    <definedName name="fds_4" hidden="1">{"'vert'!$A$1:$T$117"}</definedName>
    <definedName name="fds_4_1" hidden="1">{"'vert'!$A$1:$T$117"}</definedName>
    <definedName name="fds_5" hidden="1">{"'vert'!$A$1:$T$117"}</definedName>
    <definedName name="fffff" hidden="1">{"'vert'!$A$1:$T$117"}</definedName>
    <definedName name="fffff_1" hidden="1">{"'vert'!$A$1:$T$117"}</definedName>
    <definedName name="fffff_1_1" hidden="1">{"'vert'!$A$1:$T$117"}</definedName>
    <definedName name="fffff_1_1_1" hidden="1">{"'vert'!$A$1:$T$117"}</definedName>
    <definedName name="fffff_1_2" hidden="1">{"'vert'!$A$1:$T$117"}</definedName>
    <definedName name="fffff_2" hidden="1">{"'vert'!$A$1:$T$117"}</definedName>
    <definedName name="fffff_2_1" hidden="1">{"'vert'!$A$1:$T$117"}</definedName>
    <definedName name="fffff_3" hidden="1">{"'vert'!$A$1:$T$117"}</definedName>
    <definedName name="fffff_3_1" hidden="1">{"'vert'!$A$1:$T$117"}</definedName>
    <definedName name="fffff_4" hidden="1">{"'vert'!$A$1:$T$117"}</definedName>
    <definedName name="fffff_4_1" hidden="1">{"'vert'!$A$1:$T$117"}</definedName>
    <definedName name="fffff_5" hidden="1">{"'vert'!$A$1:$T$117"}</definedName>
    <definedName name="ffffff" hidden="1">{"'vert'!$A$1:$T$117"}</definedName>
    <definedName name="ffffff_1" hidden="1">{"'vert'!$A$1:$T$117"}</definedName>
    <definedName name="ffffff_1_1" hidden="1">{"'vert'!$A$1:$T$117"}</definedName>
    <definedName name="ffffff_1_1_1" hidden="1">{"'vert'!$A$1:$T$117"}</definedName>
    <definedName name="ffffff_1_2" hidden="1">{"'vert'!$A$1:$T$117"}</definedName>
    <definedName name="ffffff_2" hidden="1">{"'vert'!$A$1:$T$117"}</definedName>
    <definedName name="ffffff_2_1" hidden="1">{"'vert'!$A$1:$T$117"}</definedName>
    <definedName name="ffffff_3" hidden="1">{"'vert'!$A$1:$T$117"}</definedName>
    <definedName name="ffffff_3_1" hidden="1">{"'vert'!$A$1:$T$117"}</definedName>
    <definedName name="ffffff_4" hidden="1">{"'vert'!$A$1:$T$117"}</definedName>
    <definedName name="ffffff_4_1" hidden="1">{"'vert'!$A$1:$T$117"}</definedName>
    <definedName name="ffffff_5" hidden="1">{"'vert'!$A$1:$T$117"}</definedName>
    <definedName name="fkdjfd" hidden="1">{"'vert'!$A$1:$T$117"}</definedName>
    <definedName name="fkdjfd_1" hidden="1">{"'vert'!$A$1:$T$117"}</definedName>
    <definedName name="fkdjfd_1_1" hidden="1">{"'vert'!$A$1:$T$117"}</definedName>
    <definedName name="fkdjfd_1_1_1" hidden="1">{"'vert'!$A$1:$T$117"}</definedName>
    <definedName name="fkdjfd_1_2" hidden="1">{"'vert'!$A$1:$T$117"}</definedName>
    <definedName name="fkdjfd_2" hidden="1">{"'vert'!$A$1:$T$117"}</definedName>
    <definedName name="fkdjfd_2_1" hidden="1">{"'vert'!$A$1:$T$117"}</definedName>
    <definedName name="fkdjfd_3" hidden="1">{"'vert'!$A$1:$T$117"}</definedName>
    <definedName name="fkdjfd_3_1" hidden="1">{"'vert'!$A$1:$T$117"}</definedName>
    <definedName name="fkdjfd_4" hidden="1">{"'vert'!$A$1:$T$117"}</definedName>
    <definedName name="fkdjfd_4_1" hidden="1">{"'vert'!$A$1:$T$117"}</definedName>
    <definedName name="fkdjfd_5" hidden="1">{"'vert'!$A$1:$T$117"}</definedName>
    <definedName name="FloodZone">'[5]AMZL Data Entry'!$C$39</definedName>
    <definedName name="foobar" hidden="1">{"'vert'!$A$1:$T$117"}</definedName>
    <definedName name="foobar_1" hidden="1">{"'vert'!$A$1:$T$117"}</definedName>
    <definedName name="foobar_1_1" hidden="1">{"'vert'!$A$1:$T$117"}</definedName>
    <definedName name="foobar_1_1_1" hidden="1">{"'vert'!$A$1:$T$117"}</definedName>
    <definedName name="foobar_1_2" hidden="1">{"'vert'!$A$1:$T$117"}</definedName>
    <definedName name="foobar_2" hidden="1">{"'vert'!$A$1:$T$117"}</definedName>
    <definedName name="foobar_2_1" hidden="1">{"'vert'!$A$1:$T$117"}</definedName>
    <definedName name="foobar_3" hidden="1">{"'vert'!$A$1:$T$117"}</definedName>
    <definedName name="foobar_3_1" hidden="1">{"'vert'!$A$1:$T$117"}</definedName>
    <definedName name="foobar_4" hidden="1">{"'vert'!$A$1:$T$117"}</definedName>
    <definedName name="foobar_4_1" hidden="1">{"'vert'!$A$1:$T$117"}</definedName>
    <definedName name="foobar_5" hidden="1">{"'vert'!$A$1:$T$117"}</definedName>
    <definedName name="foobar2" hidden="1">{"'weekly data'!$A$2:$AS$36"}</definedName>
    <definedName name="foobar2_1" hidden="1">{"'weekly data'!$A$2:$AS$36"}</definedName>
    <definedName name="foobar2_1_1" hidden="1">{"'weekly data'!$A$2:$AS$36"}</definedName>
    <definedName name="foobar2_1_1_1" hidden="1">{"'weekly data'!$A$2:$AS$36"}</definedName>
    <definedName name="foobar2_1_2" hidden="1">{"'weekly data'!$A$2:$AS$36"}</definedName>
    <definedName name="foobar2_2" hidden="1">{"'weekly data'!$A$2:$AS$36"}</definedName>
    <definedName name="foobar2_2_1" hidden="1">{"'weekly data'!$A$2:$AS$36"}</definedName>
    <definedName name="foobar2_3" hidden="1">{"'weekly data'!$A$2:$AS$36"}</definedName>
    <definedName name="foobar2_3_1" hidden="1">{"'weekly data'!$A$2:$AS$36"}</definedName>
    <definedName name="foobar2_4" hidden="1">{"'weekly data'!$A$2:$AS$36"}</definedName>
    <definedName name="foobar2_4_1" hidden="1">{"'weekly data'!$A$2:$AS$36"}</definedName>
    <definedName name="foobar2_5" hidden="1">{"'weekly data'!$A$2:$AS$36"}</definedName>
    <definedName name="foobar3" hidden="1">{"'weekly data'!$A$2:$AS$36"}</definedName>
    <definedName name="foobar3_1" hidden="1">{"'weekly data'!$A$2:$AS$36"}</definedName>
    <definedName name="foobar3_1_1" hidden="1">{"'weekly data'!$A$2:$AS$36"}</definedName>
    <definedName name="foobar3_1_1_1" hidden="1">{"'weekly data'!$A$2:$AS$36"}</definedName>
    <definedName name="foobar3_1_2" hidden="1">{"'weekly data'!$A$2:$AS$36"}</definedName>
    <definedName name="foobar3_2" hidden="1">{"'weekly data'!$A$2:$AS$36"}</definedName>
    <definedName name="foobar3_2_1" hidden="1">{"'weekly data'!$A$2:$AS$36"}</definedName>
    <definedName name="foobar3_3" hidden="1">{"'weekly data'!$A$2:$AS$36"}</definedName>
    <definedName name="foobar3_3_1" hidden="1">{"'weekly data'!$A$2:$AS$36"}</definedName>
    <definedName name="foobar3_4" hidden="1">{"'weekly data'!$A$2:$AS$36"}</definedName>
    <definedName name="foobar3_4_1" hidden="1">{"'weekly data'!$A$2:$AS$36"}</definedName>
    <definedName name="foobar3_5" hidden="1">{"'weekly data'!$A$2:$AS$36"}</definedName>
    <definedName name="foobar4" hidden="1">{"'vert'!$A$1:$T$117"}</definedName>
    <definedName name="foobar4_1" hidden="1">{"'vert'!$A$1:$T$117"}</definedName>
    <definedName name="foobar4_1_1" hidden="1">{"'vert'!$A$1:$T$117"}</definedName>
    <definedName name="foobar4_1_1_1" hidden="1">{"'vert'!$A$1:$T$117"}</definedName>
    <definedName name="foobar4_1_2" hidden="1">{"'vert'!$A$1:$T$117"}</definedName>
    <definedName name="foobar4_2" hidden="1">{"'vert'!$A$1:$T$117"}</definedName>
    <definedName name="foobar4_2_1" hidden="1">{"'vert'!$A$1:$T$117"}</definedName>
    <definedName name="foobar4_3" hidden="1">{"'vert'!$A$1:$T$117"}</definedName>
    <definedName name="foobar4_3_1" hidden="1">{"'vert'!$A$1:$T$117"}</definedName>
    <definedName name="foobar4_4" hidden="1">{"'vert'!$A$1:$T$117"}</definedName>
    <definedName name="foobar4_4_1" hidden="1">{"'vert'!$A$1:$T$117"}</definedName>
    <definedName name="foobar4_5" hidden="1">{"'vert'!$A$1:$T$117"}</definedName>
    <definedName name="FutureDevelopment">'[5]AMZL Data Entry'!$C$71</definedName>
    <definedName name="g" hidden="1">{"'vert'!$A$1:$T$117"}</definedName>
    <definedName name="g_1" hidden="1">{"'vert'!$A$1:$T$117"}</definedName>
    <definedName name="g_1_1" hidden="1">{"'vert'!$A$1:$T$117"}</definedName>
    <definedName name="g_1_1_1" hidden="1">{"'vert'!$A$1:$T$117"}</definedName>
    <definedName name="g_1_2" hidden="1">{"'vert'!$A$1:$T$117"}</definedName>
    <definedName name="g_2" hidden="1">{"'vert'!$A$1:$T$117"}</definedName>
    <definedName name="g_2_1" hidden="1">{"'vert'!$A$1:$T$117"}</definedName>
    <definedName name="g_3" hidden="1">{"'vert'!$A$1:$T$117"}</definedName>
    <definedName name="g_3_1" hidden="1">{"'vert'!$A$1:$T$117"}</definedName>
    <definedName name="g_4" hidden="1">{"'vert'!$A$1:$T$117"}</definedName>
    <definedName name="g_4_1" hidden="1">{"'vert'!$A$1:$T$117"}</definedName>
    <definedName name="g_5" hidden="1">{"'vert'!$A$1:$T$117"}</definedName>
    <definedName name="gre" hidden="1">{"'vert'!$A$1:$T$117"}</definedName>
    <definedName name="gre_1" hidden="1">{"'vert'!$A$1:$T$117"}</definedName>
    <definedName name="gre_1_1" hidden="1">{"'vert'!$A$1:$T$117"}</definedName>
    <definedName name="gre_1_1_1" hidden="1">{"'vert'!$A$1:$T$117"}</definedName>
    <definedName name="gre_1_2" hidden="1">{"'vert'!$A$1:$T$117"}</definedName>
    <definedName name="gre_2" hidden="1">{"'vert'!$A$1:$T$117"}</definedName>
    <definedName name="gre_2_1" hidden="1">{"'vert'!$A$1:$T$117"}</definedName>
    <definedName name="gre_3" hidden="1">{"'vert'!$A$1:$T$117"}</definedName>
    <definedName name="gre_3_1" hidden="1">{"'vert'!$A$1:$T$117"}</definedName>
    <definedName name="gre_4" hidden="1">{"'vert'!$A$1:$T$117"}</definedName>
    <definedName name="gre_4_1" hidden="1">{"'vert'!$A$1:$T$117"}</definedName>
    <definedName name="gre_5" hidden="1">{"'vert'!$A$1:$T$117"}</definedName>
    <definedName name="h" hidden="1">{"'vert'!$A$1:$T$117"}</definedName>
    <definedName name="h_1" hidden="1">{"'vert'!$A$1:$T$117"}</definedName>
    <definedName name="h_1_1" hidden="1">{"'vert'!$A$1:$T$117"}</definedName>
    <definedName name="h_1_1_1" hidden="1">{"'vert'!$A$1:$T$117"}</definedName>
    <definedName name="h_1_2" hidden="1">{"'vert'!$A$1:$T$117"}</definedName>
    <definedName name="h_2" hidden="1">{"'vert'!$A$1:$T$117"}</definedName>
    <definedName name="h_2_1" hidden="1">{"'vert'!$A$1:$T$117"}</definedName>
    <definedName name="h_3" hidden="1">{"'vert'!$A$1:$T$117"}</definedName>
    <definedName name="h_3_1" hidden="1">{"'vert'!$A$1:$T$117"}</definedName>
    <definedName name="h_4" hidden="1">{"'vert'!$A$1:$T$117"}</definedName>
    <definedName name="h_4_1" hidden="1">{"'vert'!$A$1:$T$117"}</definedName>
    <definedName name="h_5" hidden="1">{"'vert'!$A$1:$T$117"}</definedName>
    <definedName name="hack" hidden="1">{"'weekly data'!$A$2:$AS$36"}</definedName>
    <definedName name="hack_1" hidden="1">{"'weekly data'!$A$2:$AS$36"}</definedName>
    <definedName name="hack_1_1" hidden="1">{"'weekly data'!$A$2:$AS$36"}</definedName>
    <definedName name="hack_1_1_1" hidden="1">{"'weekly data'!$A$2:$AS$36"}</definedName>
    <definedName name="hack_1_2" hidden="1">{"'weekly data'!$A$2:$AS$36"}</definedName>
    <definedName name="hack_2" hidden="1">{"'weekly data'!$A$2:$AS$36"}</definedName>
    <definedName name="hack_2_1" hidden="1">{"'weekly data'!$A$2:$AS$36"}</definedName>
    <definedName name="hack_3" hidden="1">{"'weekly data'!$A$2:$AS$36"}</definedName>
    <definedName name="hack_3_1" hidden="1">{"'weekly data'!$A$2:$AS$36"}</definedName>
    <definedName name="hack_4" hidden="1">{"'weekly data'!$A$2:$AS$36"}</definedName>
    <definedName name="hack_4_1" hidden="1">{"'weekly data'!$A$2:$AS$36"}</definedName>
    <definedName name="hack_5" hidden="1">{"'weekly data'!$A$2:$AS$36"}</definedName>
    <definedName name="helmut" hidden="1">{"'vert'!$A$1:$T$117"}</definedName>
    <definedName name="helmut_1" hidden="1">{"'vert'!$A$1:$T$117"}</definedName>
    <definedName name="helmut_1_1" hidden="1">{"'vert'!$A$1:$T$117"}</definedName>
    <definedName name="helmut_1_1_1" hidden="1">{"'vert'!$A$1:$T$117"}</definedName>
    <definedName name="helmut_1_2" hidden="1">{"'vert'!$A$1:$T$117"}</definedName>
    <definedName name="helmut_2" hidden="1">{"'vert'!$A$1:$T$117"}</definedName>
    <definedName name="helmut_2_1" hidden="1">{"'vert'!$A$1:$T$117"}</definedName>
    <definedName name="helmut_3" hidden="1">{"'vert'!$A$1:$T$117"}</definedName>
    <definedName name="helmut_3_1" hidden="1">{"'vert'!$A$1:$T$117"}</definedName>
    <definedName name="helmut_4" hidden="1">{"'vert'!$A$1:$T$117"}</definedName>
    <definedName name="helmut_4_1" hidden="1">{"'vert'!$A$1:$T$117"}</definedName>
    <definedName name="helmut_5" hidden="1">{"'vert'!$A$1:$T$117"}</definedName>
    <definedName name="help" hidden="1">{"'vert'!$A$1:$T$117"}</definedName>
    <definedName name="help_1" hidden="1">{"'vert'!$A$1:$T$117"}</definedName>
    <definedName name="help_1_1" hidden="1">{"'vert'!$A$1:$T$117"}</definedName>
    <definedName name="help_1_1_1" hidden="1">{"'vert'!$A$1:$T$117"}</definedName>
    <definedName name="help_1_2" hidden="1">{"'vert'!$A$1:$T$117"}</definedName>
    <definedName name="help_2" hidden="1">{"'vert'!$A$1:$T$117"}</definedName>
    <definedName name="help_2_1" hidden="1">{"'vert'!$A$1:$T$117"}</definedName>
    <definedName name="help_3" hidden="1">{"'vert'!$A$1:$T$117"}</definedName>
    <definedName name="help_3_1" hidden="1">{"'vert'!$A$1:$T$117"}</definedName>
    <definedName name="help_4" hidden="1">{"'vert'!$A$1:$T$117"}</definedName>
    <definedName name="help_4_1" hidden="1">{"'vert'!$A$1:$T$117"}</definedName>
    <definedName name="help_5" hidden="1">{"'vert'!$A$1:$T$117"}</definedName>
    <definedName name="hhhhh" hidden="1">{"'vert'!$A$1:$T$117"}</definedName>
    <definedName name="hhhhh_1" hidden="1">{"'vert'!$A$1:$T$117"}</definedName>
    <definedName name="hhhhh_1_1" hidden="1">{"'vert'!$A$1:$T$117"}</definedName>
    <definedName name="hhhhh_1_1_1" hidden="1">{"'vert'!$A$1:$T$117"}</definedName>
    <definedName name="hhhhh_1_2" hidden="1">{"'vert'!$A$1:$T$117"}</definedName>
    <definedName name="hhhhh_2" hidden="1">{"'vert'!$A$1:$T$117"}</definedName>
    <definedName name="hhhhh_2_1" hidden="1">{"'vert'!$A$1:$T$117"}</definedName>
    <definedName name="hhhhh_3" hidden="1">{"'vert'!$A$1:$T$117"}</definedName>
    <definedName name="hhhhh_3_1" hidden="1">{"'vert'!$A$1:$T$117"}</definedName>
    <definedName name="hhhhh_4" hidden="1">{"'vert'!$A$1:$T$117"}</definedName>
    <definedName name="hhhhh_4_1" hidden="1">{"'vert'!$A$1:$T$117"}</definedName>
    <definedName name="hhhhh_5" hidden="1">{"'vert'!$A$1:$T$117"}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oldOver">'[5]AMZL Data Entry'!$C$72</definedName>
    <definedName name="htm" hidden="1">{"'vert'!$A$1:$T$117"}</definedName>
    <definedName name="htm_1" hidden="1">{"'vert'!$A$1:$T$117"}</definedName>
    <definedName name="htm_1_1" hidden="1">{"'vert'!$A$1:$T$117"}</definedName>
    <definedName name="htm_1_1_1" hidden="1">{"'vert'!$A$1:$T$117"}</definedName>
    <definedName name="htm_1_2" hidden="1">{"'vert'!$A$1:$T$117"}</definedName>
    <definedName name="htm_2" hidden="1">{"'vert'!$A$1:$T$117"}</definedName>
    <definedName name="htm_2_1" hidden="1">{"'vert'!$A$1:$T$117"}</definedName>
    <definedName name="htm_3" hidden="1">{"'vert'!$A$1:$T$117"}</definedName>
    <definedName name="htm_3_1" hidden="1">{"'vert'!$A$1:$T$117"}</definedName>
    <definedName name="htm_4" hidden="1">{"'vert'!$A$1:$T$117"}</definedName>
    <definedName name="htm_4_1" hidden="1">{"'vert'!$A$1:$T$117"}</definedName>
    <definedName name="htm_5" hidden="1">{"'vert'!$A$1:$T$117"}</definedName>
    <definedName name="HTML_CodePage" hidden="1">1252</definedName>
    <definedName name="HTML_Cont" hidden="1">{"'vert'!$A$1:$T$117"}</definedName>
    <definedName name="HTML_Cont_1" hidden="1">{"'vert'!$A$1:$T$117"}</definedName>
    <definedName name="HTML_Cont_1_1" hidden="1">{"'vert'!$A$1:$T$117"}</definedName>
    <definedName name="HTML_Cont_1_1_1" hidden="1">{"'vert'!$A$1:$T$117"}</definedName>
    <definedName name="HTML_Cont_1_2" hidden="1">{"'vert'!$A$1:$T$117"}</definedName>
    <definedName name="HTML_Cont_2" hidden="1">{"'vert'!$A$1:$T$117"}</definedName>
    <definedName name="HTML_Cont_2_1" hidden="1">{"'vert'!$A$1:$T$117"}</definedName>
    <definedName name="HTML_Cont_3" hidden="1">{"'vert'!$A$1:$T$117"}</definedName>
    <definedName name="HTML_Cont_3_1" hidden="1">{"'vert'!$A$1:$T$117"}</definedName>
    <definedName name="HTML_Cont_4" hidden="1">{"'vert'!$A$1:$T$117"}</definedName>
    <definedName name="HTML_Cont_4_1" hidden="1">{"'vert'!$A$1:$T$117"}</definedName>
    <definedName name="HTML_Cont_5" hidden="1">{"'vert'!$A$1:$T$117"}</definedName>
    <definedName name="HTML_Cont2" hidden="1">{"'vert'!$A$1:$T$117"}</definedName>
    <definedName name="HTML_Cont2_1" hidden="1">{"'vert'!$A$1:$T$117"}</definedName>
    <definedName name="HTML_Cont2_1_1" hidden="1">{"'vert'!$A$1:$T$117"}</definedName>
    <definedName name="HTML_Cont2_1_1_1" hidden="1">{"'vert'!$A$1:$T$117"}</definedName>
    <definedName name="HTML_Cont2_1_2" hidden="1">{"'vert'!$A$1:$T$117"}</definedName>
    <definedName name="HTML_Cont2_2" hidden="1">{"'vert'!$A$1:$T$117"}</definedName>
    <definedName name="HTML_Cont2_2_1" hidden="1">{"'vert'!$A$1:$T$117"}</definedName>
    <definedName name="HTML_Cont2_3" hidden="1">{"'vert'!$A$1:$T$117"}</definedName>
    <definedName name="HTML_Cont2_3_1" hidden="1">{"'vert'!$A$1:$T$117"}</definedName>
    <definedName name="HTML_Cont2_4" hidden="1">{"'vert'!$A$1:$T$117"}</definedName>
    <definedName name="HTML_Cont2_4_1" hidden="1">{"'vert'!$A$1:$T$117"}</definedName>
    <definedName name="HTML_Cont2_5" hidden="1">{"'vert'!$A$1:$T$117"}</definedName>
    <definedName name="HTML_Control" hidden="1">{"'weekly data'!$A$2:$AS$36"}</definedName>
    <definedName name="HTML_Control_1" hidden="1">{"'weekly data'!$A$2:$AS$36"}</definedName>
    <definedName name="HTML_Control_1_1" hidden="1">{"'weekly data'!$A$2:$AS$36"}</definedName>
    <definedName name="HTML_Control_1_1_1" hidden="1">{"'weekly data'!$A$2:$AS$36"}</definedName>
    <definedName name="HTML_Control_1_2" hidden="1">{"'weekly data'!$A$2:$AS$36"}</definedName>
    <definedName name="HTML_Control_2" hidden="1">{"'vert'!$A$1:$T$117"}</definedName>
    <definedName name="HTML_Control_2_1" hidden="1">{"'vert'!$A$1:$T$117"}</definedName>
    <definedName name="HTML_Control_2_1_1" hidden="1">{"'vert'!$A$1:$T$117"}</definedName>
    <definedName name="HTML_Control_2_1_1_1" hidden="1">{"'vert'!$A$1:$T$117"}</definedName>
    <definedName name="HTML_Control_2_1_2" hidden="1">{"'vert'!$A$1:$T$117"}</definedName>
    <definedName name="HTML_Control_2_2" hidden="1">{"'vert'!$A$1:$T$117"}</definedName>
    <definedName name="HTML_Control_2_2_1" hidden="1">{"'vert'!$A$1:$T$117"}</definedName>
    <definedName name="HTML_Control_2_3" hidden="1">{"'vert'!$A$1:$T$117"}</definedName>
    <definedName name="HTML_Control_2_3_1" hidden="1">{"'vert'!$A$1:$T$117"}</definedName>
    <definedName name="HTML_Control_2_4" hidden="1">{"'vert'!$A$1:$T$117"}</definedName>
    <definedName name="HTML_Control_2_4_1" hidden="1">{"'vert'!$A$1:$T$117"}</definedName>
    <definedName name="HTML_Control_2_5" hidden="1">{"'vert'!$A$1:$T$117"}</definedName>
    <definedName name="HTML_Control_3" hidden="1">{"'weekly data'!$A$2:$AS$36"}</definedName>
    <definedName name="HTML_Control_3_1" hidden="1">{"'weekly data'!$A$2:$AS$36"}</definedName>
    <definedName name="HTML_Control_4" hidden="1">{"'weekly data'!$A$2:$AS$36"}</definedName>
    <definedName name="HTML_Control_4_1" hidden="1">{"'weekly data'!$A$2:$AS$36"}</definedName>
    <definedName name="HTML_Control_5" hidden="1">{"'weekly data'!$A$2:$AS$36"}</definedName>
    <definedName name="HTML_Control_5_1" hidden="1">{"'weekly data'!$A$2:$AS$36"}</definedName>
    <definedName name="HTML_Control1" hidden="1">{"'vert'!$A$1:$T$117"}</definedName>
    <definedName name="HTML_Control1_1" hidden="1">{"'vert'!$A$1:$T$117"}</definedName>
    <definedName name="HTML_Control1_1_1" hidden="1">{"'vert'!$A$1:$T$117"}</definedName>
    <definedName name="HTML_Control1_1_1_1" hidden="1">{"'vert'!$A$1:$T$117"}</definedName>
    <definedName name="HTML_Control1_1_2" hidden="1">{"'vert'!$A$1:$T$117"}</definedName>
    <definedName name="HTML_Control1_2" hidden="1">{"'vert'!$A$1:$T$117"}</definedName>
    <definedName name="HTML_Control1_2_1" hidden="1">{"'vert'!$A$1:$T$117"}</definedName>
    <definedName name="HTML_Control1_3" hidden="1">{"'vert'!$A$1:$T$117"}</definedName>
    <definedName name="HTML_Control1_3_1" hidden="1">{"'vert'!$A$1:$T$117"}</definedName>
    <definedName name="HTML_Control1_4" hidden="1">{"'vert'!$A$1:$T$117"}</definedName>
    <definedName name="HTML_Control1_4_1" hidden="1">{"'vert'!$A$1:$T$117"}</definedName>
    <definedName name="HTML_Control1_5" hidden="1">{"'vert'!$A$1:$T$117"}</definedName>
    <definedName name="HTML_control2" hidden="1">{"'weekly data'!$A$2:$AS$36"}</definedName>
    <definedName name="HTML_control2_1" hidden="1">{"'weekly data'!$A$2:$AS$36"}</definedName>
    <definedName name="HTML_control2_1_1" hidden="1">{"'weekly data'!$A$2:$AS$36"}</definedName>
    <definedName name="HTML_control2_1_1_1" hidden="1">{"'weekly data'!$A$2:$AS$36"}</definedName>
    <definedName name="HTML_control2_1_2" hidden="1">{"'weekly data'!$A$2:$AS$36"}</definedName>
    <definedName name="HTML_control2_2" hidden="1">{"'weekly data'!$A$2:$AS$36"}</definedName>
    <definedName name="HTML_control2_2_1" hidden="1">{"'weekly data'!$A$2:$AS$36"}</definedName>
    <definedName name="HTML_control2_3" hidden="1">{"'weekly data'!$A$2:$AS$36"}</definedName>
    <definedName name="HTML_control2_3_1" hidden="1">{"'weekly data'!$A$2:$AS$36"}</definedName>
    <definedName name="HTML_control2_4" hidden="1">{"'weekly data'!$A$2:$AS$36"}</definedName>
    <definedName name="HTML_control2_4_1" hidden="1">{"'weekly data'!$A$2:$AS$36"}</definedName>
    <definedName name="HTML_control2_5" hidden="1">{"'weekly data'!$A$2:$AS$36"}</definedName>
    <definedName name="HTML_Control3" hidden="1">{"'weekly data'!$A$2:$AS$36"}</definedName>
    <definedName name="HTML_Control3_1" hidden="1">{"'weekly data'!$A$2:$AS$36"}</definedName>
    <definedName name="HTML_Control3_1_1" hidden="1">{"'weekly data'!$A$2:$AS$36"}</definedName>
    <definedName name="HTML_Control3_1_1_1" hidden="1">{"'weekly data'!$A$2:$AS$36"}</definedName>
    <definedName name="HTML_Control3_1_2" hidden="1">{"'weekly data'!$A$2:$AS$36"}</definedName>
    <definedName name="HTML_Control3_2" hidden="1">{"'weekly data'!$A$2:$AS$36"}</definedName>
    <definedName name="HTML_Control3_2_1" hidden="1">{"'weekly data'!$A$2:$AS$36"}</definedName>
    <definedName name="HTML_Control3_3" hidden="1">{"'weekly data'!$A$2:$AS$36"}</definedName>
    <definedName name="HTML_Control3_3_1" hidden="1">{"'weekly data'!$A$2:$AS$36"}</definedName>
    <definedName name="HTML_Control3_4" hidden="1">{"'weekly data'!$A$2:$AS$36"}</definedName>
    <definedName name="HTML_Control3_4_1" hidden="1">{"'weekly data'!$A$2:$AS$36"}</definedName>
    <definedName name="HTML_Control3_5" hidden="1">{"'weekly data'!$A$2:$AS$36"}</definedName>
    <definedName name="HTML_Control4" hidden="1">{"'weekly data'!$A$2:$AS$36"}</definedName>
    <definedName name="HTML_Control4_1" hidden="1">{"'weekly data'!$A$2:$AS$36"}</definedName>
    <definedName name="HTML_Control4_1_1" hidden="1">{"'weekly data'!$A$2:$AS$36"}</definedName>
    <definedName name="HTML_Control4_1_1_1" hidden="1">{"'weekly data'!$A$2:$AS$36"}</definedName>
    <definedName name="HTML_Control4_1_2" hidden="1">{"'weekly data'!$A$2:$AS$36"}</definedName>
    <definedName name="HTML_Control4_2" hidden="1">{"'weekly data'!$A$2:$AS$36"}</definedName>
    <definedName name="HTML_Control4_2_1" hidden="1">{"'weekly data'!$A$2:$AS$36"}</definedName>
    <definedName name="HTML_Control4_3" hidden="1">{"'weekly data'!$A$2:$AS$36"}</definedName>
    <definedName name="HTML_Control4_3_1" hidden="1">{"'weekly data'!$A$2:$AS$36"}</definedName>
    <definedName name="HTML_Control4_4" hidden="1">{"'weekly data'!$A$2:$AS$36"}</definedName>
    <definedName name="HTML_Control4_4_1" hidden="1">{"'weekly data'!$A$2:$AS$36"}</definedName>
    <definedName name="HTML_Control4_5" hidden="1">{"'weekly data'!$A$2:$AS$36"}</definedName>
    <definedName name="HTML_Description" hidden="1">""</definedName>
    <definedName name="HTML_Email" hidden="1">""</definedName>
    <definedName name="HTML_Header" hidden="1">"Sheet2"</definedName>
    <definedName name="HTML_LastUpdate" hidden="1">"3/8/99"</definedName>
    <definedName name="HTML_LineAfter" hidden="1">FALSE</definedName>
    <definedName name="HTML_LineBefore" hidden="1">FALSE</definedName>
    <definedName name="HTML_Name" hidden="1">"Rob Gannon"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"service level"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gnore" hidden="1">{"'weekly data'!$A$2:$AS$36"}</definedName>
    <definedName name="ignore_1" hidden="1">{"'weekly data'!$A$2:$AS$36"}</definedName>
    <definedName name="ignore_1_1" hidden="1">{"'weekly data'!$A$2:$AS$36"}</definedName>
    <definedName name="ignore_1_1_1" hidden="1">{"'weekly data'!$A$2:$AS$36"}</definedName>
    <definedName name="ignore_1_2" hidden="1">{"'weekly data'!$A$2:$AS$36"}</definedName>
    <definedName name="ignore_2" hidden="1">{"'weekly data'!$A$2:$AS$36"}</definedName>
    <definedName name="ignore_2_1" hidden="1">{"'weekly data'!$A$2:$AS$36"}</definedName>
    <definedName name="ignore_3" hidden="1">{"'weekly data'!$A$2:$AS$36"}</definedName>
    <definedName name="ignore_3_1" hidden="1">{"'weekly data'!$A$2:$AS$36"}</definedName>
    <definedName name="ignore_4" hidden="1">{"'weekly data'!$A$2:$AS$36"}</definedName>
    <definedName name="ignore_4_1" hidden="1">{"'weekly data'!$A$2:$AS$36"}</definedName>
    <definedName name="ignore_5" hidden="1">{"'weekly data'!$A$2:$AS$36"}</definedName>
    <definedName name="Incent_Risks">'[5]AMZL Data Entry'!$C$60</definedName>
    <definedName name="InitialBaseRent">'[5]AMZL Data Entry'!$C$90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"IQ_BONDRATING_FITCH"</definedName>
    <definedName name="IQ_BROKERED_DEPOSITS_FDIC" hidden="1">"c6486"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OTHER_NET_OPER_ASSETS_BR" hidden="1">"c3595"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HIGH_EST_CIQ" hidden="1">"c4977"</definedName>
    <definedName name="IQ_FFO_LOW_EST_CIQ" hidden="1">"c4978"</definedName>
    <definedName name="IQ_FFO_MEDIAN_EST_CIQ" hidden="1">"c4979"</definedName>
    <definedName name="IQ_FFO_NUM_EST_CIQ" hidden="1">"c4980"</definedName>
    <definedName name="IQ_FFO_STDDEV_EST_CIQ" hidden="1">"c4981"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40736.3821990741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CHANGE_EST_FFO_12MONTHS_CIQ" hidden="1">"c3769"</definedName>
    <definedName name="IQ_PERCENT_CHANGE_EST_FFO_18MONTHS_CIQ" hidden="1">"c3770"</definedName>
    <definedName name="IQ_PERCENT_CHANGE_EST_FFO_3MONTHS_CIQ" hidden="1">"c3766"</definedName>
    <definedName name="IQ_PERCENT_CHANGE_EST_FFO_6MONTHS_CIQ" hidden="1">"c3767"</definedName>
    <definedName name="IQ_PERCENT_CHANGE_EST_FFO_9MONTHS_CIQ" hidden="1">"c3768"</definedName>
    <definedName name="IQ_PERCENT_CHANGE_EST_FFO_DAY_CIQ" hidden="1">"c3764"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_CIQ" hidden="1">"c3795"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j" hidden="1">{"'vert'!$A$1:$T$117"}</definedName>
    <definedName name="j_1" hidden="1">{"'vert'!$A$1:$T$117"}</definedName>
    <definedName name="j_1_1" hidden="1">{"'vert'!$A$1:$T$117"}</definedName>
    <definedName name="j_1_1_1" hidden="1">{"'vert'!$A$1:$T$117"}</definedName>
    <definedName name="j_1_2" hidden="1">{"'vert'!$A$1:$T$117"}</definedName>
    <definedName name="j_2" hidden="1">{"'vert'!$A$1:$T$117"}</definedName>
    <definedName name="j_2_1" hidden="1">{"'vert'!$A$1:$T$117"}</definedName>
    <definedName name="j_3" hidden="1">{"'vert'!$A$1:$T$117"}</definedName>
    <definedName name="j_3_1" hidden="1">{"'vert'!$A$1:$T$117"}</definedName>
    <definedName name="j_4" hidden="1">{"'vert'!$A$1:$T$117"}</definedName>
    <definedName name="j_4_1" hidden="1">{"'vert'!$A$1:$T$117"}</definedName>
    <definedName name="j_5" hidden="1">{"'vert'!$A$1:$T$117"}</definedName>
    <definedName name="ja" hidden="1">{"'vert'!$A$1:$T$117"}</definedName>
    <definedName name="ja_1" hidden="1">{"'vert'!$A$1:$T$117"}</definedName>
    <definedName name="ja_1_1" hidden="1">{"'vert'!$A$1:$T$117"}</definedName>
    <definedName name="ja_1_1_1" hidden="1">{"'vert'!$A$1:$T$117"}</definedName>
    <definedName name="ja_1_2" hidden="1">{"'vert'!$A$1:$T$117"}</definedName>
    <definedName name="ja_2" hidden="1">{"'vert'!$A$1:$T$117"}</definedName>
    <definedName name="ja_2_1" hidden="1">{"'vert'!$A$1:$T$117"}</definedName>
    <definedName name="ja_3" hidden="1">{"'vert'!$A$1:$T$117"}</definedName>
    <definedName name="ja_3_1" hidden="1">{"'vert'!$A$1:$T$117"}</definedName>
    <definedName name="ja_4" hidden="1">{"'vert'!$A$1:$T$117"}</definedName>
    <definedName name="ja_4_1" hidden="1">{"'vert'!$A$1:$T$117"}</definedName>
    <definedName name="ja_5" hidden="1">{"'vert'!$A$1:$T$117"}</definedName>
    <definedName name="jjj" hidden="1">{"'vert'!$A$1:$T$117"}</definedName>
    <definedName name="jjj_1" hidden="1">{"'vert'!$A$1:$T$117"}</definedName>
    <definedName name="jjj_1_1" hidden="1">{"'vert'!$A$1:$T$117"}</definedName>
    <definedName name="jjj_1_1_1" hidden="1">{"'vert'!$A$1:$T$117"}</definedName>
    <definedName name="jjj_1_2" hidden="1">{"'vert'!$A$1:$T$117"}</definedName>
    <definedName name="jjj_2" hidden="1">{"'vert'!$A$1:$T$117"}</definedName>
    <definedName name="jjj_2_1" hidden="1">{"'vert'!$A$1:$T$117"}</definedName>
    <definedName name="jjj_3" hidden="1">{"'vert'!$A$1:$T$117"}</definedName>
    <definedName name="jjj_3_1" hidden="1">{"'vert'!$A$1:$T$117"}</definedName>
    <definedName name="jjj_4" hidden="1">{"'vert'!$A$1:$T$117"}</definedName>
    <definedName name="jjj_4_1" hidden="1">{"'vert'!$A$1:$T$117"}</definedName>
    <definedName name="jjj_5" hidden="1">{"'vert'!$A$1:$T$117"}</definedName>
    <definedName name="jjjjj" hidden="1">{"'vert'!$A$1:$T$117"}</definedName>
    <definedName name="jjjjj_1" hidden="1">{"'vert'!$A$1:$T$117"}</definedName>
    <definedName name="jjjjj_1_1" hidden="1">{"'vert'!$A$1:$T$117"}</definedName>
    <definedName name="jjjjj_1_1_1" hidden="1">{"'vert'!$A$1:$T$117"}</definedName>
    <definedName name="jjjjj_1_2" hidden="1">{"'vert'!$A$1:$T$117"}</definedName>
    <definedName name="jjjjj_2" hidden="1">{"'vert'!$A$1:$T$117"}</definedName>
    <definedName name="jjjjj_2_1" hidden="1">{"'vert'!$A$1:$T$117"}</definedName>
    <definedName name="jjjjj_3" hidden="1">{"'vert'!$A$1:$T$117"}</definedName>
    <definedName name="jjjjj_3_1" hidden="1">{"'vert'!$A$1:$T$117"}</definedName>
    <definedName name="jjjjj_4" hidden="1">{"'vert'!$A$1:$T$117"}</definedName>
    <definedName name="jjjjj_4_1" hidden="1">{"'vert'!$A$1:$T$117"}</definedName>
    <definedName name="jjjjj_5" hidden="1">{"'vert'!$A$1:$T$117"}</definedName>
    <definedName name="jkdjfdi" hidden="1">{"'vert'!$A$1:$T$117"}</definedName>
    <definedName name="jkdjfdi_1" hidden="1">{"'vert'!$A$1:$T$117"}</definedName>
    <definedName name="jkdjfdi_1_1" hidden="1">{"'vert'!$A$1:$T$117"}</definedName>
    <definedName name="jkdjfdi_1_1_1" hidden="1">{"'vert'!$A$1:$T$117"}</definedName>
    <definedName name="jkdjfdi_1_2" hidden="1">{"'vert'!$A$1:$T$117"}</definedName>
    <definedName name="jkdjfdi_2" hidden="1">{"'vert'!$A$1:$T$117"}</definedName>
    <definedName name="jkdjfdi_2_1" hidden="1">{"'vert'!$A$1:$T$117"}</definedName>
    <definedName name="jkdjfdi_3" hidden="1">{"'vert'!$A$1:$T$117"}</definedName>
    <definedName name="jkdjfdi_3_1" hidden="1">{"'vert'!$A$1:$T$117"}</definedName>
    <definedName name="jkdjfdi_4" hidden="1">{"'vert'!$A$1:$T$117"}</definedName>
    <definedName name="jkdjfdi_4_1" hidden="1">{"'vert'!$A$1:$T$117"}</definedName>
    <definedName name="jkdjfdi_5" hidden="1">{"'vert'!$A$1:$T$117"}</definedName>
    <definedName name="k" hidden="1">{"'vert'!$A$1:$T$117"}</definedName>
    <definedName name="k_1" hidden="1">{"'vert'!$A$1:$T$117"}</definedName>
    <definedName name="k_1_1" hidden="1">{"'vert'!$A$1:$T$117"}</definedName>
    <definedName name="k_1_1_1" hidden="1">{"'vert'!$A$1:$T$117"}</definedName>
    <definedName name="k_1_2" hidden="1">{"'vert'!$A$1:$T$117"}</definedName>
    <definedName name="k_2" hidden="1">{"'vert'!$A$1:$T$117"}</definedName>
    <definedName name="k_2_1" hidden="1">{"'vert'!$A$1:$T$117"}</definedName>
    <definedName name="k_3" hidden="1">{"'vert'!$A$1:$T$117"}</definedName>
    <definedName name="k_3_1" hidden="1">{"'vert'!$A$1:$T$117"}</definedName>
    <definedName name="k_4" hidden="1">{"'vert'!$A$1:$T$117"}</definedName>
    <definedName name="k_4_1" hidden="1">{"'vert'!$A$1:$T$117"}</definedName>
    <definedName name="k_5" hidden="1">{"'vert'!$A$1:$T$117"}</definedName>
    <definedName name="kakaw" hidden="1">{"'vert'!$A$1:$T$117"}</definedName>
    <definedName name="kdjfd" hidden="1">{"'vert'!$A$1:$T$117"}</definedName>
    <definedName name="kdjfd_1" hidden="1">{"'vert'!$A$1:$T$117"}</definedName>
    <definedName name="kdjfd_1_1" hidden="1">{"'vert'!$A$1:$T$117"}</definedName>
    <definedName name="kdjfd_1_1_1" hidden="1">{"'vert'!$A$1:$T$117"}</definedName>
    <definedName name="kdjfd_1_2" hidden="1">{"'vert'!$A$1:$T$117"}</definedName>
    <definedName name="kdjfd_2" hidden="1">{"'vert'!$A$1:$T$117"}</definedName>
    <definedName name="kdjfd_2_1" hidden="1">{"'vert'!$A$1:$T$117"}</definedName>
    <definedName name="kdjfd_3" hidden="1">{"'vert'!$A$1:$T$117"}</definedName>
    <definedName name="kdjfd_3_1" hidden="1">{"'vert'!$A$1:$T$117"}</definedName>
    <definedName name="kdjfd_4" hidden="1">{"'vert'!$A$1:$T$117"}</definedName>
    <definedName name="kdjfd_4_1" hidden="1">{"'vert'!$A$1:$T$117"}</definedName>
    <definedName name="kdjfd_5" hidden="1">{"'vert'!$A$1:$T$117"}</definedName>
    <definedName name="kljlkjkljlk" hidden="1">{"'vert'!$A$1:$T$117"}</definedName>
    <definedName name="kljlkjkljlk_1" hidden="1">{"'vert'!$A$1:$T$117"}</definedName>
    <definedName name="kljlkjkljlk_1_1" hidden="1">{"'vert'!$A$1:$T$117"}</definedName>
    <definedName name="kljlkjkljlk_1_1_1" hidden="1">{"'vert'!$A$1:$T$117"}</definedName>
    <definedName name="kljlkjkljlk_1_2" hidden="1">{"'vert'!$A$1:$T$117"}</definedName>
    <definedName name="kljlkjkljlk_2" hidden="1">{"'vert'!$A$1:$T$117"}</definedName>
    <definedName name="kljlkjkljlk_2_1" hidden="1">{"'vert'!$A$1:$T$117"}</definedName>
    <definedName name="kljlkjkljlk_3" hidden="1">{"'vert'!$A$1:$T$117"}</definedName>
    <definedName name="kljlkjkljlk_3_1" hidden="1">{"'vert'!$A$1:$T$117"}</definedName>
    <definedName name="kljlkjkljlk_4" hidden="1">{"'vert'!$A$1:$T$117"}</definedName>
    <definedName name="kljlkjkljlk_4_1" hidden="1">{"'vert'!$A$1:$T$117"}</definedName>
    <definedName name="kljlkjkljlk_5" hidden="1">{"'vert'!$A$1:$T$117"}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shfd" hidden="1">{"'vert'!$A$1:$T$117"}</definedName>
    <definedName name="kshfd_1" hidden="1">{"'vert'!$A$1:$T$117"}</definedName>
    <definedName name="kshfd_1_1" hidden="1">{"'vert'!$A$1:$T$117"}</definedName>
    <definedName name="kshfd_1_1_1" hidden="1">{"'vert'!$A$1:$T$117"}</definedName>
    <definedName name="kshfd_1_2" hidden="1">{"'vert'!$A$1:$T$117"}</definedName>
    <definedName name="kshfd_2" hidden="1">{"'vert'!$A$1:$T$117"}</definedName>
    <definedName name="kshfd_2_1" hidden="1">{"'vert'!$A$1:$T$117"}</definedName>
    <definedName name="kshfd_3" hidden="1">{"'vert'!$A$1:$T$117"}</definedName>
    <definedName name="kshfd_3_1" hidden="1">{"'vert'!$A$1:$T$117"}</definedName>
    <definedName name="kshfd_4" hidden="1">{"'vert'!$A$1:$T$117"}</definedName>
    <definedName name="kshfd_4_1" hidden="1">{"'vert'!$A$1:$T$117"}</definedName>
    <definedName name="kshfd_5" hidden="1">{"'vert'!$A$1:$T$117"}</definedName>
    <definedName name="LandCostTotalAcre">'[5]AMZL Data Entry'!$C$76</definedName>
    <definedName name="LandCostUseableAcre">'[5]AMZL Data Entry'!$C$77</definedName>
    <definedName name="laskdfj" hidden="1">{"'vert'!$A$1:$T$117"}</definedName>
    <definedName name="laskdfj_1" hidden="1">{"'vert'!$A$1:$T$117"}</definedName>
    <definedName name="laskdfj_1_1" hidden="1">{"'vert'!$A$1:$T$117"}</definedName>
    <definedName name="laskdfj_1_1_1" hidden="1">{"'vert'!$A$1:$T$117"}</definedName>
    <definedName name="laskdfj_1_2" hidden="1">{"'vert'!$A$1:$T$117"}</definedName>
    <definedName name="laskdfj_2" hidden="1">{"'vert'!$A$1:$T$117"}</definedName>
    <definedName name="laskdfj_2_1" hidden="1">{"'vert'!$A$1:$T$117"}</definedName>
    <definedName name="laskdfj_3" hidden="1">{"'vert'!$A$1:$T$117"}</definedName>
    <definedName name="laskdfj_3_1" hidden="1">{"'vert'!$A$1:$T$117"}</definedName>
    <definedName name="laskdfj_4" hidden="1">{"'vert'!$A$1:$T$117"}</definedName>
    <definedName name="laskdfj_4_1" hidden="1">{"'vert'!$A$1:$T$117"}</definedName>
    <definedName name="laskdfj_5" hidden="1">{"'vert'!$A$1:$T$117"}</definedName>
    <definedName name="Launch_Year">'[5]AMZL Data Entry'!$C$15</definedName>
    <definedName name="LaunchYear">'[5]AMZL Data Entry'!$C$15</definedName>
    <definedName name="ldjfdl" hidden="1">{"'vert'!$A$1:$T$117"}</definedName>
    <definedName name="ldjfdl_1" hidden="1">{"'vert'!$A$1:$T$117"}</definedName>
    <definedName name="ldjfdl_1_1" hidden="1">{"'vert'!$A$1:$T$117"}</definedName>
    <definedName name="ldjfdl_1_1_1" hidden="1">{"'vert'!$A$1:$T$117"}</definedName>
    <definedName name="ldjfdl_1_2" hidden="1">{"'vert'!$A$1:$T$117"}</definedName>
    <definedName name="ldjfdl_2" hidden="1">{"'vert'!$A$1:$T$117"}</definedName>
    <definedName name="ldjfdl_2_1" hidden="1">{"'vert'!$A$1:$T$117"}</definedName>
    <definedName name="ldjfdl_3" hidden="1">{"'vert'!$A$1:$T$117"}</definedName>
    <definedName name="ldjfdl_3_1" hidden="1">{"'vert'!$A$1:$T$117"}</definedName>
    <definedName name="ldjfdl_4" hidden="1">{"'vert'!$A$1:$T$117"}</definedName>
    <definedName name="ldjfdl_4_1" hidden="1">{"'vert'!$A$1:$T$117"}</definedName>
    <definedName name="ldjfdl_5" hidden="1">{"'vert'!$A$1:$T$117"}</definedName>
    <definedName name="Lease_or_Purchase">'[5]AMZL Data Entry'!$C$4</definedName>
    <definedName name="Lease_Term">'[5]AMZL Data Entry'!$C$92</definedName>
    <definedName name="LeaseIsuues">'[5]AMZL Data Entry'!$C$100</definedName>
    <definedName name="LeaseorPurchase">'[5]AMZL Data Entry'!$C$63</definedName>
    <definedName name="LeaseWillCurrentOwnerbeLL">'[5]AMZL Data Entry'!$C$65</definedName>
    <definedName name="ljdsfkld" hidden="1">{"'vert'!$A$1:$T$117"}</definedName>
    <definedName name="ljdsfkld_1" hidden="1">{"'vert'!$A$1:$T$117"}</definedName>
    <definedName name="ljdsfkld_1_1" hidden="1">{"'vert'!$A$1:$T$117"}</definedName>
    <definedName name="ljdsfkld_1_1_1" hidden="1">{"'vert'!$A$1:$T$117"}</definedName>
    <definedName name="ljdsfkld_1_2" hidden="1">{"'vert'!$A$1:$T$117"}</definedName>
    <definedName name="ljdsfkld_2" hidden="1">{"'vert'!$A$1:$T$117"}</definedName>
    <definedName name="ljdsfkld_2_1" hidden="1">{"'vert'!$A$1:$T$117"}</definedName>
    <definedName name="ljdsfkld_3" hidden="1">{"'vert'!$A$1:$T$117"}</definedName>
    <definedName name="ljdsfkld_3_1" hidden="1">{"'vert'!$A$1:$T$117"}</definedName>
    <definedName name="ljdsfkld_4" hidden="1">{"'vert'!$A$1:$T$117"}</definedName>
    <definedName name="ljdsfkld_4_1" hidden="1">{"'vert'!$A$1:$T$117"}</definedName>
    <definedName name="ljdsfkld_5" hidden="1">{"'vert'!$A$1:$T$117"}</definedName>
    <definedName name="LLorFeeDeveloper">'[5]AMZL Data Entry'!$C$66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" hidden="1">{"'vert'!$A$1:$T$117"}</definedName>
    <definedName name="me_1" hidden="1">{"'vert'!$A$1:$T$117"}</definedName>
    <definedName name="me_1_1" hidden="1">{"'vert'!$A$1:$T$117"}</definedName>
    <definedName name="me_1_1_1" hidden="1">{"'vert'!$A$1:$T$117"}</definedName>
    <definedName name="me_1_2" hidden="1">{"'vert'!$A$1:$T$117"}</definedName>
    <definedName name="me_2" hidden="1">{"'vert'!$A$1:$T$117"}</definedName>
    <definedName name="me_2_1" hidden="1">{"'vert'!$A$1:$T$117"}</definedName>
    <definedName name="me_3" hidden="1">{"'vert'!$A$1:$T$117"}</definedName>
    <definedName name="me_3_1" hidden="1">{"'vert'!$A$1:$T$117"}</definedName>
    <definedName name="me_4" hidden="1">{"'vert'!$A$1:$T$117"}</definedName>
    <definedName name="me_4_1" hidden="1">{"'vert'!$A$1:$T$117"}</definedName>
    <definedName name="me_5" hidden="1">{"'vert'!$A$1:$T$117"}</definedName>
    <definedName name="Misc" hidden="1">{"'vert'!$A$1:$T$117"}</definedName>
    <definedName name="Misc_1" hidden="1">{"'vert'!$A$1:$T$117"}</definedName>
    <definedName name="Misc_1_1" hidden="1">{"'vert'!$A$1:$T$117"}</definedName>
    <definedName name="Misc_1_1_1" hidden="1">{"'vert'!$A$1:$T$117"}</definedName>
    <definedName name="Misc_1_2" hidden="1">{"'vert'!$A$1:$T$117"}</definedName>
    <definedName name="Misc_2" hidden="1">{"'vert'!$A$1:$T$117"}</definedName>
    <definedName name="Misc_2_1" hidden="1">{"'vert'!$A$1:$T$117"}</definedName>
    <definedName name="Misc_3" hidden="1">{"'vert'!$A$1:$T$117"}</definedName>
    <definedName name="Misc_3_1" hidden="1">{"'vert'!$A$1:$T$117"}</definedName>
    <definedName name="Misc_4" hidden="1">{"'vert'!$A$1:$T$117"}</definedName>
    <definedName name="Misc_4_1" hidden="1">{"'vert'!$A$1:$T$117"}</definedName>
    <definedName name="Misc_5" hidden="1">{"'vert'!$A$1:$T$117"}</definedName>
    <definedName name="MSA_Rank">'[5]AMZL Data Entry'!$C$24</definedName>
    <definedName name="NearbyPursuitsandExisitingBuildings">'[5]AMZL Data Entry'!$C$25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nRefundable_Earnest_Money">'[5]AMZL Data Entry'!$C$79</definedName>
    <definedName name="NPV">'[5]AMZL Data Entry'!$C$109</definedName>
    <definedName name="Office_Improvement_Risk">'[5]AMZL Data Entry'!$C$58</definedName>
    <definedName name="OpexEstimate">'[5]AMZL Data Entry'!$C$97</definedName>
    <definedName name="Overall_Site_Evaluation">'[5]AMZL Data Entry'!$C$129</definedName>
    <definedName name="Overlays">'[5]AMZL Data Entry'!$C$47</definedName>
    <definedName name="owa" hidden="1">{"'weekly data'!$A$2:$AS$36"}</definedName>
    <definedName name="owa_1" hidden="1">{"'weekly data'!$A$2:$AS$36"}</definedName>
    <definedName name="owa_1_1" hidden="1">{"'weekly data'!$A$2:$AS$36"}</definedName>
    <definedName name="owa_1_1_1" hidden="1">{"'weekly data'!$A$2:$AS$36"}</definedName>
    <definedName name="owa_1_2" hidden="1">{"'weekly data'!$A$2:$AS$36"}</definedName>
    <definedName name="owa_2" hidden="1">{"'weekly data'!$A$2:$AS$36"}</definedName>
    <definedName name="owa_2_1" hidden="1">{"'weekly data'!$A$2:$AS$36"}</definedName>
    <definedName name="owa_3" hidden="1">{"'weekly data'!$A$2:$AS$36"}</definedName>
    <definedName name="owa_3_1" hidden="1">{"'weekly data'!$A$2:$AS$36"}</definedName>
    <definedName name="owa_4" hidden="1">{"'weekly data'!$A$2:$AS$36"}</definedName>
    <definedName name="owa_4_1" hidden="1">{"'weekly data'!$A$2:$AS$36"}</definedName>
    <definedName name="owa_5" hidden="1">{"'weekly data'!$A$2:$AS$36"}</definedName>
    <definedName name="page" hidden="1">{"'vert'!$A$1:$T$117"}</definedName>
    <definedName name="page_1" hidden="1">{"'vert'!$A$1:$T$117"}</definedName>
    <definedName name="page_1_1" hidden="1">{"'vert'!$A$1:$T$117"}</definedName>
    <definedName name="page_1_1_1" hidden="1">{"'vert'!$A$1:$T$117"}</definedName>
    <definedName name="page_1_2" hidden="1">{"'vert'!$A$1:$T$117"}</definedName>
    <definedName name="page_2" hidden="1">{"'vert'!$A$1:$T$117"}</definedName>
    <definedName name="page_2_1" hidden="1">{"'vert'!$A$1:$T$117"}</definedName>
    <definedName name="page_3" hidden="1">{"'vert'!$A$1:$T$117"}</definedName>
    <definedName name="page_3_1" hidden="1">{"'vert'!$A$1:$T$117"}</definedName>
    <definedName name="page_4" hidden="1">{"'vert'!$A$1:$T$117"}</definedName>
    <definedName name="page_4_1" hidden="1">{"'vert'!$A$1:$T$117"}</definedName>
    <definedName name="page_5" hidden="1">{"'vert'!$A$1:$T$117"}</definedName>
    <definedName name="param_org_1" hidden="1">"OPERATIONS &amp; CUSTOMER SERVICE"</definedName>
    <definedName name="param_org_2" hidden="1">"%"</definedName>
    <definedName name="param_recruiter" hidden="1">"All"</definedName>
    <definedName name="param_reg_region" hidden="1">"%"</definedName>
    <definedName name="Parking_Grade">'[5]AMZL Data Entry'!$C$126</definedName>
    <definedName name="Payback">'[5]AMZL Data Entry'!$C$110</definedName>
    <definedName name="PeakCapacity">'[5]AMZL Data Entry'!$C$22</definedName>
    <definedName name="PopCache_GL_INTERFACE_REFERENCE7" hidden="1">[6]PopCache!$A$1:$A$2</definedName>
    <definedName name="print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oposalSummaryStatement">'[5]AMZL Data Entry'!$C$9</definedName>
    <definedName name="Purchase_Price_of_Site">'[5]AMZL Data Entry'!$C$75</definedName>
    <definedName name="PY" hidden="1">{"'vert'!$A$1:$T$117"}</definedName>
    <definedName name="PY_1" hidden="1">{"'vert'!$A$1:$T$117"}</definedName>
    <definedName name="PY_1_1" hidden="1">{"'vert'!$A$1:$T$117"}</definedName>
    <definedName name="PY_1_1_1" hidden="1">{"'vert'!$A$1:$T$117"}</definedName>
    <definedName name="PY_1_2" hidden="1">{"'vert'!$A$1:$T$117"}</definedName>
    <definedName name="PY_2" hidden="1">{"'vert'!$A$1:$T$117"}</definedName>
    <definedName name="PY_2_1" hidden="1">{"'vert'!$A$1:$T$117"}</definedName>
    <definedName name="PY_3" hidden="1">{"'vert'!$A$1:$T$117"}</definedName>
    <definedName name="PY_3_1" hidden="1">{"'vert'!$A$1:$T$117"}</definedName>
    <definedName name="PY_4" hidden="1">{"'vert'!$A$1:$T$117"}</definedName>
    <definedName name="PY_4_1" hidden="1">{"'vert'!$A$1:$T$117"}</definedName>
    <definedName name="PY_5" hidden="1">{"'vert'!$A$1:$T$117"}</definedName>
    <definedName name="q" hidden="1">{"'vert'!$A$1:$T$117"}</definedName>
    <definedName name="q_1" hidden="1">{"'vert'!$A$1:$T$117"}</definedName>
    <definedName name="q_1_1" hidden="1">{"'vert'!$A$1:$T$117"}</definedName>
    <definedName name="q_1_1_1" hidden="1">{"'vert'!$A$1:$T$117"}</definedName>
    <definedName name="q_1_2" hidden="1">{"'vert'!$A$1:$T$117"}</definedName>
    <definedName name="q_2" hidden="1">{"'vert'!$A$1:$T$117"}</definedName>
    <definedName name="q_2_1" hidden="1">{"'vert'!$A$1:$T$117"}</definedName>
    <definedName name="q_3" hidden="1">{"'vert'!$A$1:$T$117"}</definedName>
    <definedName name="q_3_1" hidden="1">{"'vert'!$A$1:$T$117"}</definedName>
    <definedName name="q_4" hidden="1">{"'vert'!$A$1:$T$117"}</definedName>
    <definedName name="q_4_1" hidden="1">{"'vert'!$A$1:$T$117"}</definedName>
    <definedName name="q_5" hidden="1">{"'vert'!$A$1:$T$117"}</definedName>
    <definedName name="Q4TTMYr" hidden="1">{"'vert'!$A$1:$T$117"}</definedName>
    <definedName name="Q4TTMYr_1" hidden="1">{"'vert'!$A$1:$T$117"}</definedName>
    <definedName name="Q4TTMYr_1_1" hidden="1">{"'vert'!$A$1:$T$117"}</definedName>
    <definedName name="Q4TTMYr_1_1_1" hidden="1">{"'vert'!$A$1:$T$117"}</definedName>
    <definedName name="Q4TTMYr_1_2" hidden="1">{"'vert'!$A$1:$T$117"}</definedName>
    <definedName name="Q4TTMYr_2" hidden="1">{"'vert'!$A$1:$T$117"}</definedName>
    <definedName name="Q4TTMYr_2_1" hidden="1">{"'vert'!$A$1:$T$117"}</definedName>
    <definedName name="Q4TTMYr_3" hidden="1">{"'vert'!$A$1:$T$117"}</definedName>
    <definedName name="Q4TTMYr_3_1" hidden="1">{"'vert'!$A$1:$T$117"}</definedName>
    <definedName name="Q4TTMYr_4" hidden="1">{"'vert'!$A$1:$T$117"}</definedName>
    <definedName name="Q4TTMYr_4_1" hidden="1">{"'vert'!$A$1:$T$117"}</definedName>
    <definedName name="Q4TTMYr_5" hidden="1">{"'vert'!$A$1:$T$117"}</definedName>
    <definedName name="raeoasdn123" hidden="1">{"'vert'!$A$1:$T$117"}</definedName>
    <definedName name="raeoasdn123_1" hidden="1">{"'vert'!$A$1:$T$117"}</definedName>
    <definedName name="raeoasdn123_1_1" hidden="1">{"'vert'!$A$1:$T$117"}</definedName>
    <definedName name="raeoasdn123_1_1_1" hidden="1">{"'vert'!$A$1:$T$117"}</definedName>
    <definedName name="raeoasdn123_1_2" hidden="1">{"'vert'!$A$1:$T$117"}</definedName>
    <definedName name="raeoasdn123_2" hidden="1">{"'vert'!$A$1:$T$117"}</definedName>
    <definedName name="raeoasdn123_2_1" hidden="1">{"'vert'!$A$1:$T$117"}</definedName>
    <definedName name="raeoasdn123_3" hidden="1">{"'vert'!$A$1:$T$117"}</definedName>
    <definedName name="raeoasdn123_3_1" hidden="1">{"'vert'!$A$1:$T$117"}</definedName>
    <definedName name="raeoasdn123_4" hidden="1">{"'vert'!$A$1:$T$117"}</definedName>
    <definedName name="raeoasdn123_4_1" hidden="1">{"'vert'!$A$1:$T$117"}</definedName>
    <definedName name="raeoasdn123_5" hidden="1">{"'vert'!$A$1:$T$117"}</definedName>
    <definedName name="RenewalOptions">'[5]AMZL Data Entry'!$C$95</definedName>
    <definedName name="RentEscalation">'[5]AMZL Data Entry'!$C$91</definedName>
    <definedName name="reovn123" hidden="1">{"'vert'!$A$1:$T$117"}</definedName>
    <definedName name="reovn123_1" hidden="1">{"'vert'!$A$1:$T$117"}</definedName>
    <definedName name="reovn123_1_1" hidden="1">{"'vert'!$A$1:$T$117"}</definedName>
    <definedName name="reovn123_1_1_1" hidden="1">{"'vert'!$A$1:$T$117"}</definedName>
    <definedName name="reovn123_1_2" hidden="1">{"'vert'!$A$1:$T$117"}</definedName>
    <definedName name="reovn123_2" hidden="1">{"'vert'!$A$1:$T$117"}</definedName>
    <definedName name="reovn123_2_1" hidden="1">{"'vert'!$A$1:$T$117"}</definedName>
    <definedName name="reovn123_3" hidden="1">{"'vert'!$A$1:$T$117"}</definedName>
    <definedName name="reovn123_3_1" hidden="1">{"'vert'!$A$1:$T$117"}</definedName>
    <definedName name="reovn123_4" hidden="1">{"'vert'!$A$1:$T$117"}</definedName>
    <definedName name="reovn123_4_1" hidden="1">{"'vert'!$A$1:$T$117"}</definedName>
    <definedName name="reovn123_5" hidden="1">{"'vert'!$A$1:$T$117"}</definedName>
    <definedName name="RequestforPermit">'[5]AMZL Data Entry'!$C$70</definedName>
    <definedName name="Residences1000ft">'[5]AMZL Data Entry'!$C$49</definedName>
    <definedName name="RiskET_Manager">'[5]AMZL Data Entry'!$C$51</definedName>
    <definedName name="Roads">'[5]AMZL Data Entry'!$C$41</definedName>
    <definedName name="robert" hidden="1">{"'vert'!$A$1:$T$117"}</definedName>
    <definedName name="robert_1" hidden="1">{"'vert'!$A$1:$T$117"}</definedName>
    <definedName name="robert_1_1" hidden="1">{"'vert'!$A$1:$T$117"}</definedName>
    <definedName name="robert_1_1_1" hidden="1">{"'vert'!$A$1:$T$117"}</definedName>
    <definedName name="robert_1_2" hidden="1">{"'vert'!$A$1:$T$117"}</definedName>
    <definedName name="robert_2" hidden="1">{"'vert'!$A$1:$T$117"}</definedName>
    <definedName name="robert_2_1" hidden="1">{"'vert'!$A$1:$T$117"}</definedName>
    <definedName name="robert_3" hidden="1">{"'vert'!$A$1:$T$117"}</definedName>
    <definedName name="robert_3_1" hidden="1">{"'vert'!$A$1:$T$117"}</definedName>
    <definedName name="robert_4" hidden="1">{"'vert'!$A$1:$T$117"}</definedName>
    <definedName name="robert_4_1" hidden="1">{"'vert'!$A$1:$T$117"}</definedName>
    <definedName name="robert_5" hidden="1">{"'vert'!$A$1:$T$117"}</definedName>
    <definedName name="sadf" hidden="1">{"'vert'!$A$1:$T$117"}</definedName>
    <definedName name="sadf_1" hidden="1">{"'vert'!$A$1:$T$117"}</definedName>
    <definedName name="sadf_1_1" hidden="1">{"'vert'!$A$1:$T$117"}</definedName>
    <definedName name="sadf_1_1_1" hidden="1">{"'vert'!$A$1:$T$117"}</definedName>
    <definedName name="sadf_1_2" hidden="1">{"'vert'!$A$1:$T$117"}</definedName>
    <definedName name="sadf_2" hidden="1">{"'vert'!$A$1:$T$117"}</definedName>
    <definedName name="sadf_2_1" hidden="1">{"'vert'!$A$1:$T$117"}</definedName>
    <definedName name="sadf_3" hidden="1">{"'vert'!$A$1:$T$117"}</definedName>
    <definedName name="sadf_3_1" hidden="1">{"'vert'!$A$1:$T$117"}</definedName>
    <definedName name="sadf_4" hidden="1">{"'vert'!$A$1:$T$117"}</definedName>
    <definedName name="sadf_4_1" hidden="1">{"'vert'!$A$1:$T$117"}</definedName>
    <definedName name="sadf_5" hidden="1">{"'vert'!$A$1:$T$117"}</definedName>
    <definedName name="sadsadf" hidden="1">{"'vert'!$A$1:$T$117"}</definedName>
    <definedName name="sadsadf_1" hidden="1">{"'vert'!$A$1:$T$117"}</definedName>
    <definedName name="sadsadf_1_1" hidden="1">{"'vert'!$A$1:$T$117"}</definedName>
    <definedName name="sadsadf_1_1_1" hidden="1">{"'vert'!$A$1:$T$117"}</definedName>
    <definedName name="sadsadf_1_2" hidden="1">{"'vert'!$A$1:$T$117"}</definedName>
    <definedName name="sadsadf_2" hidden="1">{"'vert'!$A$1:$T$117"}</definedName>
    <definedName name="sadsadf_2_1" hidden="1">{"'vert'!$A$1:$T$117"}</definedName>
    <definedName name="sadsadf_3" hidden="1">{"'vert'!$A$1:$T$117"}</definedName>
    <definedName name="sadsadf_3_1" hidden="1">{"'vert'!$A$1:$T$117"}</definedName>
    <definedName name="sadsadf_4" hidden="1">{"'vert'!$A$1:$T$117"}</definedName>
    <definedName name="sadsadf_4_1" hidden="1">{"'vert'!$A$1:$T$117"}</definedName>
    <definedName name="sadsadf_5" hidden="1">{"'vert'!$A$1:$T$117"}</definedName>
    <definedName name="sdf" hidden="1">{"'vert'!$A$1:$T$117"}</definedName>
    <definedName name="sdf_1" hidden="1">{"'vert'!$A$1:$T$117"}</definedName>
    <definedName name="sdf_1_1" hidden="1">{"'vert'!$A$1:$T$117"}</definedName>
    <definedName name="sdf_1_1_1" hidden="1">{"'vert'!$A$1:$T$117"}</definedName>
    <definedName name="sdf_1_2" hidden="1">{"'vert'!$A$1:$T$117"}</definedName>
    <definedName name="sdf_2" hidden="1">{"'vert'!$A$1:$T$117"}</definedName>
    <definedName name="sdf_2_1" hidden="1">{"'vert'!$A$1:$T$117"}</definedName>
    <definedName name="sdf_3" hidden="1">{"'vert'!$A$1:$T$117"}</definedName>
    <definedName name="sdf_3_1" hidden="1">{"'vert'!$A$1:$T$117"}</definedName>
    <definedName name="sdf_4" hidden="1">{"'vert'!$A$1:$T$117"}</definedName>
    <definedName name="sdf_4_1" hidden="1">{"'vert'!$A$1:$T$117"}</definedName>
    <definedName name="sdf_5" hidden="1">{"'vert'!$A$1:$T$117"}</definedName>
    <definedName name="sdfdlk" hidden="1">{"'vert'!$A$1:$T$117"}</definedName>
    <definedName name="sdfdlk_1" hidden="1">{"'vert'!$A$1:$T$117"}</definedName>
    <definedName name="sdfdlk_1_1" hidden="1">{"'vert'!$A$1:$T$117"}</definedName>
    <definedName name="sdfdlk_1_1_1" hidden="1">{"'vert'!$A$1:$T$117"}</definedName>
    <definedName name="sdfdlk_1_2" hidden="1">{"'vert'!$A$1:$T$117"}</definedName>
    <definedName name="sdfdlk_2" hidden="1">{"'vert'!$A$1:$T$117"}</definedName>
    <definedName name="sdfdlk_2_1" hidden="1">{"'vert'!$A$1:$T$117"}</definedName>
    <definedName name="sdfdlk_3" hidden="1">{"'vert'!$A$1:$T$117"}</definedName>
    <definedName name="sdfdlk_3_1" hidden="1">{"'vert'!$A$1:$T$117"}</definedName>
    <definedName name="sdfdlk_4" hidden="1">{"'vert'!$A$1:$T$117"}</definedName>
    <definedName name="sdfdlk_4_1" hidden="1">{"'vert'!$A$1:$T$117"}</definedName>
    <definedName name="sdfdlk_5" hidden="1">{"'vert'!$A$1:$T$117"}</definedName>
    <definedName name="sdfds" hidden="1">{"'vert'!$A$1:$T$117"}</definedName>
    <definedName name="sdfds_1" hidden="1">{"'vert'!$A$1:$T$117"}</definedName>
    <definedName name="sdfds_1_1" hidden="1">{"'vert'!$A$1:$T$117"}</definedName>
    <definedName name="sdfds_1_1_1" hidden="1">{"'vert'!$A$1:$T$117"}</definedName>
    <definedName name="sdfds_1_2" hidden="1">{"'vert'!$A$1:$T$117"}</definedName>
    <definedName name="sdfds_2" hidden="1">{"'vert'!$A$1:$T$117"}</definedName>
    <definedName name="sdfds_2_1" hidden="1">{"'vert'!$A$1:$T$117"}</definedName>
    <definedName name="sdfds_3" hidden="1">{"'vert'!$A$1:$T$117"}</definedName>
    <definedName name="sdfds_3_1" hidden="1">{"'vert'!$A$1:$T$117"}</definedName>
    <definedName name="sdfds_4" hidden="1">{"'vert'!$A$1:$T$117"}</definedName>
    <definedName name="sdfds_4_1" hidden="1">{"'vert'!$A$1:$T$117"}</definedName>
    <definedName name="sdfds_5" hidden="1">{"'vert'!$A$1:$T$117"}</definedName>
    <definedName name="sdfdss" hidden="1">{"'vert'!$A$1:$T$117"}</definedName>
    <definedName name="sdfdss_1" hidden="1">{"'vert'!$A$1:$T$117"}</definedName>
    <definedName name="sdfdss_1_1" hidden="1">{"'vert'!$A$1:$T$117"}</definedName>
    <definedName name="sdfdss_1_1_1" hidden="1">{"'vert'!$A$1:$T$117"}</definedName>
    <definedName name="sdfdss_1_2" hidden="1">{"'vert'!$A$1:$T$117"}</definedName>
    <definedName name="sdfdss_2" hidden="1">{"'vert'!$A$1:$T$117"}</definedName>
    <definedName name="sdfdss_2_1" hidden="1">{"'vert'!$A$1:$T$117"}</definedName>
    <definedName name="sdfdss_3" hidden="1">{"'vert'!$A$1:$T$117"}</definedName>
    <definedName name="sdfdss_3_1" hidden="1">{"'vert'!$A$1:$T$117"}</definedName>
    <definedName name="sdfdss_4" hidden="1">{"'vert'!$A$1:$T$117"}</definedName>
    <definedName name="sdfdss_4_1" hidden="1">{"'vert'!$A$1:$T$117"}</definedName>
    <definedName name="sdfdss_5" hidden="1">{"'vert'!$A$1:$T$117"}</definedName>
    <definedName name="sdfsd" hidden="1">{"'vert'!$A$1:$T$117"}</definedName>
    <definedName name="sdfsd_1" hidden="1">{"'vert'!$A$1:$T$117"}</definedName>
    <definedName name="sdfsd_1_1" hidden="1">{"'vert'!$A$1:$T$117"}</definedName>
    <definedName name="sdfsd_1_1_1" hidden="1">{"'vert'!$A$1:$T$117"}</definedName>
    <definedName name="sdfsd_1_2" hidden="1">{"'vert'!$A$1:$T$117"}</definedName>
    <definedName name="sdfsd_2" hidden="1">{"'vert'!$A$1:$T$117"}</definedName>
    <definedName name="sdfsd_2_1" hidden="1">{"'vert'!$A$1:$T$117"}</definedName>
    <definedName name="sdfsd_3" hidden="1">{"'vert'!$A$1:$T$117"}</definedName>
    <definedName name="sdfsd_3_1" hidden="1">{"'vert'!$A$1:$T$117"}</definedName>
    <definedName name="sdfsd_4" hidden="1">{"'vert'!$A$1:$T$117"}</definedName>
    <definedName name="sdfsd_4_1" hidden="1">{"'vert'!$A$1:$T$117"}</definedName>
    <definedName name="sdfsd_5" hidden="1">{"'vert'!$A$1:$T$117"}</definedName>
    <definedName name="sdfsf" hidden="1">{"'vert'!$A$1:$T$117"}</definedName>
    <definedName name="sdfsf_1" hidden="1">{"'vert'!$A$1:$T$117"}</definedName>
    <definedName name="sdfsf_1_1" hidden="1">{"'vert'!$A$1:$T$117"}</definedName>
    <definedName name="sdfsf_1_1_1" hidden="1">{"'vert'!$A$1:$T$117"}</definedName>
    <definedName name="sdfsf_1_2" hidden="1">{"'vert'!$A$1:$T$117"}</definedName>
    <definedName name="sdfsf_2" hidden="1">{"'vert'!$A$1:$T$117"}</definedName>
    <definedName name="sdfsf_2_1" hidden="1">{"'vert'!$A$1:$T$117"}</definedName>
    <definedName name="sdfsf_3" hidden="1">{"'vert'!$A$1:$T$117"}</definedName>
    <definedName name="sdfsf_3_1" hidden="1">{"'vert'!$A$1:$T$117"}</definedName>
    <definedName name="sdfsf_4" hidden="1">{"'vert'!$A$1:$T$117"}</definedName>
    <definedName name="sdfsf_4_1" hidden="1">{"'vert'!$A$1:$T$117"}</definedName>
    <definedName name="sdfsf_5" hidden="1">{"'vert'!$A$1:$T$117"}</definedName>
    <definedName name="sds" hidden="1">{"'vert'!$A$1:$T$117"}</definedName>
    <definedName name="sds_1" hidden="1">{"'vert'!$A$1:$T$117"}</definedName>
    <definedName name="sds_1_1" hidden="1">{"'vert'!$A$1:$T$117"}</definedName>
    <definedName name="sds_1_1_1" hidden="1">{"'vert'!$A$1:$T$117"}</definedName>
    <definedName name="sds_1_2" hidden="1">{"'vert'!$A$1:$T$117"}</definedName>
    <definedName name="sds_2" hidden="1">{"'vert'!$A$1:$T$117"}</definedName>
    <definedName name="sds_2_1" hidden="1">{"'vert'!$A$1:$T$117"}</definedName>
    <definedName name="sds_3" hidden="1">{"'vert'!$A$1:$T$117"}</definedName>
    <definedName name="sds_3_1" hidden="1">{"'vert'!$A$1:$T$117"}</definedName>
    <definedName name="sds_4" hidden="1">{"'vert'!$A$1:$T$117"}</definedName>
    <definedName name="sds_4_1" hidden="1">{"'vert'!$A$1:$T$117"}</definedName>
    <definedName name="sds_5" hidden="1">{"'vert'!$A$1:$T$117"}</definedName>
    <definedName name="sdsd" hidden="1">{"'vert'!$A$1:$T$117"}</definedName>
    <definedName name="sdsd_1" hidden="1">{"'vert'!$A$1:$T$117"}</definedName>
    <definedName name="sdsd_1_1" hidden="1">{"'vert'!$A$1:$T$117"}</definedName>
    <definedName name="sdsd_1_1_1" hidden="1">{"'vert'!$A$1:$T$117"}</definedName>
    <definedName name="sdsd_1_2" hidden="1">{"'vert'!$A$1:$T$117"}</definedName>
    <definedName name="sdsd_2" hidden="1">{"'vert'!$A$1:$T$117"}</definedName>
    <definedName name="sdsd_2_1" hidden="1">{"'vert'!$A$1:$T$117"}</definedName>
    <definedName name="sdsd_3" hidden="1">{"'vert'!$A$1:$T$117"}</definedName>
    <definedName name="sdsd_3_1" hidden="1">{"'vert'!$A$1:$T$117"}</definedName>
    <definedName name="sdsd_4" hidden="1">{"'vert'!$A$1:$T$117"}</definedName>
    <definedName name="sdsd_4_1" hidden="1">{"'vert'!$A$1:$T$117"}</definedName>
    <definedName name="sdsd_5" hidden="1">{"'vert'!$A$1:$T$117"}</definedName>
    <definedName name="Security_Crime_Risk">'[5]AMZL Data Entry'!$C$59</definedName>
    <definedName name="sencount" hidden="1">1</definedName>
    <definedName name="SensitiveReceptors">'[5]AMZL Data Entry'!$C$50</definedName>
    <definedName name="sfda" hidden="1">{"'vert'!$A$1:$T$117"}</definedName>
    <definedName name="sfda_1" hidden="1">{"'vert'!$A$1:$T$117"}</definedName>
    <definedName name="sfda_1_1" hidden="1">{"'vert'!$A$1:$T$117"}</definedName>
    <definedName name="sfda_1_1_1" hidden="1">{"'vert'!$A$1:$T$117"}</definedName>
    <definedName name="sfda_1_2" hidden="1">{"'vert'!$A$1:$T$117"}</definedName>
    <definedName name="sfda_2" hidden="1">{"'vert'!$A$1:$T$117"}</definedName>
    <definedName name="sfda_2_1" hidden="1">{"'vert'!$A$1:$T$117"}</definedName>
    <definedName name="sfda_3" hidden="1">{"'vert'!$A$1:$T$117"}</definedName>
    <definedName name="sfda_3_1" hidden="1">{"'vert'!$A$1:$T$117"}</definedName>
    <definedName name="sfda_4" hidden="1">{"'vert'!$A$1:$T$117"}</definedName>
    <definedName name="sfda_4_1" hidden="1">{"'vert'!$A$1:$T$117"}</definedName>
    <definedName name="sfda_5" hidden="1">{"'vert'!$A$1:$T$117"}</definedName>
    <definedName name="Site_Conditions_Risk">'[5]AMZL Data Entry'!$C$57</definedName>
    <definedName name="SiteCode">'[5]AMZL Data Entry'!$C$5</definedName>
    <definedName name="solver_ntri" hidden="1">2500</definedName>
    <definedName name="Sourcing3" hidden="1">{"'vert'!$A$1:$T$117"}</definedName>
    <definedName name="Sourcing3_1" hidden="1">{"'vert'!$A$1:$T$117"}</definedName>
    <definedName name="Sourcing3_1_1" hidden="1">{"'vert'!$A$1:$T$117"}</definedName>
    <definedName name="Sourcing3_1_1_1" hidden="1">{"'vert'!$A$1:$T$117"}</definedName>
    <definedName name="Sourcing3_1_2" hidden="1">{"'vert'!$A$1:$T$117"}</definedName>
    <definedName name="Sourcing3_2" hidden="1">{"'vert'!$A$1:$T$117"}</definedName>
    <definedName name="Sourcing3_2_1" hidden="1">{"'vert'!$A$1:$T$117"}</definedName>
    <definedName name="Sourcing3_3" hidden="1">{"'vert'!$A$1:$T$117"}</definedName>
    <definedName name="Sourcing3_3_1" hidden="1">{"'vert'!$A$1:$T$117"}</definedName>
    <definedName name="Sourcing3_4" hidden="1">{"'vert'!$A$1:$T$117"}</definedName>
    <definedName name="Sourcing3_4_1" hidden="1">{"'vert'!$A$1:$T$117"}</definedName>
    <definedName name="Sourcing3_5" hidden="1">{"'vert'!$A$1:$T$117"}</definedName>
    <definedName name="SPR">'[5]AMZL Data Entry'!$C$27</definedName>
    <definedName name="States">[7]Sheet1!$A$1:$A$104</definedName>
    <definedName name="Stem_Time">'[5]AMZL Data Entry'!$C$28</definedName>
    <definedName name="Table1" hidden="1">#REF!</definedName>
    <definedName name="te" hidden="1">{"'vert'!$A$1:$T$117"}</definedName>
    <definedName name="te_1" hidden="1">{"'vert'!$A$1:$T$117"}</definedName>
    <definedName name="te_1_1" hidden="1">{"'vert'!$A$1:$T$117"}</definedName>
    <definedName name="te_1_1_1" hidden="1">{"'vert'!$A$1:$T$117"}</definedName>
    <definedName name="te_1_2" hidden="1">{"'vert'!$A$1:$T$117"}</definedName>
    <definedName name="te_2" hidden="1">{"'vert'!$A$1:$T$117"}</definedName>
    <definedName name="te_2_1" hidden="1">{"'vert'!$A$1:$T$117"}</definedName>
    <definedName name="te_3" hidden="1">{"'vert'!$A$1:$T$117"}</definedName>
    <definedName name="te_3_1" hidden="1">{"'vert'!$A$1:$T$117"}</definedName>
    <definedName name="te_4" hidden="1">{"'vert'!$A$1:$T$117"}</definedName>
    <definedName name="te_4_1" hidden="1">{"'vert'!$A$1:$T$117"}</definedName>
    <definedName name="te_5" hidden="1">{"'vert'!$A$1:$T$117"}</definedName>
    <definedName name="tesrt" hidden="1">{"'vert'!$A$1:$T$117"}</definedName>
    <definedName name="Test" hidden="1">{"'vert'!$A$1:$T$117"}</definedName>
    <definedName name="Test_1" hidden="1">{"'vert'!$A$1:$T$117"}</definedName>
    <definedName name="Test_1_1" hidden="1">{"'vert'!$A$1:$T$117"}</definedName>
    <definedName name="Test_1_1_1" hidden="1">{"'vert'!$A$1:$T$117"}</definedName>
    <definedName name="Test_1_2" hidden="1">{"'vert'!$A$1:$T$117"}</definedName>
    <definedName name="Test_2" hidden="1">{"'vert'!$A$1:$T$117"}</definedName>
    <definedName name="Test_2_1" hidden="1">{"'vert'!$A$1:$T$117"}</definedName>
    <definedName name="Test_3" hidden="1">{"'vert'!$A$1:$T$117"}</definedName>
    <definedName name="Test_3_1" hidden="1">{"'vert'!$A$1:$T$117"}</definedName>
    <definedName name="Test_4" hidden="1">{"'vert'!$A$1:$T$117"}</definedName>
    <definedName name="Test_4_1" hidden="1">{"'vert'!$A$1:$T$117"}</definedName>
    <definedName name="Test_5" hidden="1">{"'vert'!$A$1:$T$117"}</definedName>
    <definedName name="test2" hidden="1">{"'vert'!$A$1:$T$117"}</definedName>
    <definedName name="test2_1" hidden="1">{"'vert'!$A$1:$T$117"}</definedName>
    <definedName name="test2_1_1" hidden="1">{"'vert'!$A$1:$T$117"}</definedName>
    <definedName name="test2_1_1_1" hidden="1">{"'vert'!$A$1:$T$117"}</definedName>
    <definedName name="test2_1_2" hidden="1">{"'vert'!$A$1:$T$117"}</definedName>
    <definedName name="test2_2" hidden="1">{"'vert'!$A$1:$T$117"}</definedName>
    <definedName name="test2_2_1" hidden="1">{"'vert'!$A$1:$T$117"}</definedName>
    <definedName name="test2_3" hidden="1">{"'vert'!$A$1:$T$117"}</definedName>
    <definedName name="test2_3_1" hidden="1">{"'vert'!$A$1:$T$117"}</definedName>
    <definedName name="test2_4" hidden="1">{"'vert'!$A$1:$T$117"}</definedName>
    <definedName name="test2_4_1" hidden="1">{"'vert'!$A$1:$T$117"}</definedName>
    <definedName name="test2_5" hidden="1">{"'vert'!$A$1:$T$117"}</definedName>
    <definedName name="test3" hidden="1">{"'vert'!$A$1:$T$117"}</definedName>
    <definedName name="test3_1" hidden="1">{"'vert'!$A$1:$T$117"}</definedName>
    <definedName name="test3_1_1" hidden="1">{"'vert'!$A$1:$T$117"}</definedName>
    <definedName name="test3_1_1_1" hidden="1">{"'vert'!$A$1:$T$117"}</definedName>
    <definedName name="test3_1_2" hidden="1">{"'vert'!$A$1:$T$117"}</definedName>
    <definedName name="test3_2" hidden="1">{"'vert'!$A$1:$T$117"}</definedName>
    <definedName name="test3_2_1" hidden="1">{"'vert'!$A$1:$T$117"}</definedName>
    <definedName name="test3_3" hidden="1">{"'vert'!$A$1:$T$117"}</definedName>
    <definedName name="test3_3_1" hidden="1">{"'vert'!$A$1:$T$117"}</definedName>
    <definedName name="test3_4" hidden="1">{"'vert'!$A$1:$T$117"}</definedName>
    <definedName name="test3_4_1" hidden="1">{"'vert'!$A$1:$T$117"}</definedName>
    <definedName name="test3_5" hidden="1">{"'vert'!$A$1:$T$117"}</definedName>
    <definedName name="test4" hidden="1">{"'vert'!$A$1:$T$117"}</definedName>
    <definedName name="test4_1" hidden="1">{"'vert'!$A$1:$T$117"}</definedName>
    <definedName name="test4_1_1" hidden="1">{"'vert'!$A$1:$T$117"}</definedName>
    <definedName name="test4_1_1_1" hidden="1">{"'vert'!$A$1:$T$117"}</definedName>
    <definedName name="test4_1_2" hidden="1">{"'vert'!$A$1:$T$117"}</definedName>
    <definedName name="test4_2" hidden="1">{"'vert'!$A$1:$T$117"}</definedName>
    <definedName name="test4_2_1" hidden="1">{"'vert'!$A$1:$T$117"}</definedName>
    <definedName name="test4_3" hidden="1">{"'vert'!$A$1:$T$117"}</definedName>
    <definedName name="test4_3_1" hidden="1">{"'vert'!$A$1:$T$117"}</definedName>
    <definedName name="test4_4" hidden="1">{"'vert'!$A$1:$T$117"}</definedName>
    <definedName name="test4_4_1" hidden="1">{"'vert'!$A$1:$T$117"}</definedName>
    <definedName name="test4_5" hidden="1">{"'vert'!$A$1:$T$117"}</definedName>
    <definedName name="test5" hidden="1">{"'vert'!$A$1:$T$117"}</definedName>
    <definedName name="test5_1" hidden="1">{"'vert'!$A$1:$T$117"}</definedName>
    <definedName name="test5_1_1" hidden="1">{"'vert'!$A$1:$T$117"}</definedName>
    <definedName name="test5_1_1_1" hidden="1">{"'vert'!$A$1:$T$117"}</definedName>
    <definedName name="test5_1_2" hidden="1">{"'vert'!$A$1:$T$117"}</definedName>
    <definedName name="test5_2" hidden="1">{"'vert'!$A$1:$T$117"}</definedName>
    <definedName name="test5_2_1" hidden="1">{"'vert'!$A$1:$T$117"}</definedName>
    <definedName name="test5_3" hidden="1">{"'vert'!$A$1:$T$117"}</definedName>
    <definedName name="test5_3_1" hidden="1">{"'vert'!$A$1:$T$117"}</definedName>
    <definedName name="test5_4" hidden="1">{"'vert'!$A$1:$T$117"}</definedName>
    <definedName name="test5_4_1" hidden="1">{"'vert'!$A$1:$T$117"}</definedName>
    <definedName name="test5_5" hidden="1">{"'vert'!$A$1:$T$117"}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M1REBUILDOPTION">1</definedName>
    <definedName name="Total_Construction_Cost">'[5]AMZL Data Entry'!$C$84</definedName>
    <definedName name="Total_Construction_Cost_BTS">'[5]AMZL Data Entry'!$C$103</definedName>
    <definedName name="TotalSiteAcres">'[5]AMZL Data Entry'!$C$32</definedName>
    <definedName name="trhktrkh" hidden="1">{"'vert'!$A$1:$T$117"}</definedName>
    <definedName name="trhktrkh_1" hidden="1">{"'vert'!$A$1:$T$117"}</definedName>
    <definedName name="trhktrkh_1_1" hidden="1">{"'vert'!$A$1:$T$117"}</definedName>
    <definedName name="trhktrkh_1_1_1" hidden="1">{"'vert'!$A$1:$T$117"}</definedName>
    <definedName name="trhktrkh_1_2" hidden="1">{"'vert'!$A$1:$T$117"}</definedName>
    <definedName name="trhktrkh_2" hidden="1">{"'vert'!$A$1:$T$117"}</definedName>
    <definedName name="trhktrkh_2_1" hidden="1">{"'vert'!$A$1:$T$117"}</definedName>
    <definedName name="trhktrkh_3" hidden="1">{"'vert'!$A$1:$T$117"}</definedName>
    <definedName name="trhktrkh_3_1" hidden="1">{"'vert'!$A$1:$T$117"}</definedName>
    <definedName name="trhktrkh_4" hidden="1">{"'vert'!$A$1:$T$117"}</definedName>
    <definedName name="trhktrkh_4_1" hidden="1">{"'vert'!$A$1:$T$117"}</definedName>
    <definedName name="trhktrkh_5" hidden="1">{"'vert'!$A$1:$T$117"}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" hidden="1">{"'vert'!$A$1:$T$117"}</definedName>
    <definedName name="u_1" hidden="1">{"'vert'!$A$1:$T$117"}</definedName>
    <definedName name="u_1_1" hidden="1">{"'vert'!$A$1:$T$117"}</definedName>
    <definedName name="u_1_1_1" hidden="1">{"'vert'!$A$1:$T$117"}</definedName>
    <definedName name="u_1_2" hidden="1">{"'vert'!$A$1:$T$117"}</definedName>
    <definedName name="u_2" hidden="1">{"'vert'!$A$1:$T$117"}</definedName>
    <definedName name="u_2_1" hidden="1">{"'vert'!$A$1:$T$117"}</definedName>
    <definedName name="u_3" hidden="1">{"'vert'!$A$1:$T$117"}</definedName>
    <definedName name="u_3_1" hidden="1">{"'vert'!$A$1:$T$117"}</definedName>
    <definedName name="u_4" hidden="1">{"'vert'!$A$1:$T$117"}</definedName>
    <definedName name="u_4_1" hidden="1">{"'vert'!$A$1:$T$117"}</definedName>
    <definedName name="u_5" hidden="1">{"'vert'!$A$1:$T$117"}</definedName>
    <definedName name="UseableAcreage">'[5]AMZL Data Entry'!$C$33</definedName>
    <definedName name="USFC_Inventory_2" hidden="1">{"'vert'!$A$1:$T$117"}</definedName>
    <definedName name="USFC_Inventory_2_1" hidden="1">{"'vert'!$A$1:$T$117"}</definedName>
    <definedName name="USFC_Inventory_2_1_1" hidden="1">{"'vert'!$A$1:$T$117"}</definedName>
    <definedName name="USFC_Inventory_2_1_1_1" hidden="1">{"'vert'!$A$1:$T$117"}</definedName>
    <definedName name="USFC_Inventory_2_1_2" hidden="1">{"'vert'!$A$1:$T$117"}</definedName>
    <definedName name="USFC_Inventory_2_2" hidden="1">{"'vert'!$A$1:$T$117"}</definedName>
    <definedName name="USFC_Inventory_2_2_1" hidden="1">{"'vert'!$A$1:$T$117"}</definedName>
    <definedName name="USFC_Inventory_2_3" hidden="1">{"'vert'!$A$1:$T$117"}</definedName>
    <definedName name="USFC_Inventory_2_3_1" hidden="1">{"'vert'!$A$1:$T$117"}</definedName>
    <definedName name="USFC_Inventory_2_4" hidden="1">{"'vert'!$A$1:$T$117"}</definedName>
    <definedName name="USFC_Inventory_2_4_1" hidden="1">{"'vert'!$A$1:$T$117"}</definedName>
    <definedName name="USFC_Inventory_2_5" hidden="1">{"'vert'!$A$1:$T$117"}</definedName>
    <definedName name="Utilization_Yr1">'[5]AMZL Data Entry'!$C$26</definedName>
    <definedName name="version3" hidden="1">{"'vert'!$A$1:$T$117"}</definedName>
    <definedName name="Waterfall" hidden="1">{"'vert'!$A$1:$T$117"}</definedName>
    <definedName name="Waterfall_1" hidden="1">{"'vert'!$A$1:$T$117"}</definedName>
    <definedName name="Waterfall_1_1" hidden="1">{"'vert'!$A$1:$T$117"}</definedName>
    <definedName name="Waterfall_1_1_1" hidden="1">{"'vert'!$A$1:$T$117"}</definedName>
    <definedName name="Waterfall_1_2" hidden="1">{"'vert'!$A$1:$T$117"}</definedName>
    <definedName name="Waterfall_2" hidden="1">{"'vert'!$A$1:$T$117"}</definedName>
    <definedName name="Waterfall_2_1" hidden="1">{"'vert'!$A$1:$T$117"}</definedName>
    <definedName name="Waterfall_3" hidden="1">{"'vert'!$A$1:$T$117"}</definedName>
    <definedName name="Waterfall_3_1" hidden="1">{"'vert'!$A$1:$T$117"}</definedName>
    <definedName name="Waterfall_4" hidden="1">{"'vert'!$A$1:$T$117"}</definedName>
    <definedName name="Waterfall_4_1" hidden="1">{"'vert'!$A$1:$T$117"}</definedName>
    <definedName name="Waterfall_5" hidden="1">{"'vert'!$A$1:$T$117"}</definedName>
    <definedName name="Waterfall1" hidden="1">{"'vert'!$A$1:$T$117"}</definedName>
    <definedName name="Waterfall1_1" hidden="1">{"'vert'!$A$1:$T$117"}</definedName>
    <definedName name="Waterfall1_1_1" hidden="1">{"'vert'!$A$1:$T$117"}</definedName>
    <definedName name="Waterfall1_1_1_1" hidden="1">{"'vert'!$A$1:$T$117"}</definedName>
    <definedName name="Waterfall1_1_2" hidden="1">{"'vert'!$A$1:$T$117"}</definedName>
    <definedName name="Waterfall1_2" hidden="1">{"'vert'!$A$1:$T$117"}</definedName>
    <definedName name="Waterfall1_2_1" hidden="1">{"'vert'!$A$1:$T$117"}</definedName>
    <definedName name="Waterfall1_3" hidden="1">{"'vert'!$A$1:$T$117"}</definedName>
    <definedName name="Waterfall1_3_1" hidden="1">{"'vert'!$A$1:$T$117"}</definedName>
    <definedName name="Waterfall1_4" hidden="1">{"'vert'!$A$1:$T$117"}</definedName>
    <definedName name="Waterfall1_4_1" hidden="1">{"'vert'!$A$1:$T$117"}</definedName>
    <definedName name="Waterfall1_5" hidden="1">{"'vert'!$A$1:$T$117"}</definedName>
    <definedName name="Waterfall2" hidden="1">{"'vert'!$A$1:$T$117"}</definedName>
    <definedName name="Waterfall2_1" hidden="1">{"'vert'!$A$1:$T$117"}</definedName>
    <definedName name="Waterfall2_1_1" hidden="1">{"'vert'!$A$1:$T$117"}</definedName>
    <definedName name="Waterfall2_1_1_1" hidden="1">{"'vert'!$A$1:$T$117"}</definedName>
    <definedName name="Waterfall2_1_2" hidden="1">{"'vert'!$A$1:$T$117"}</definedName>
    <definedName name="Waterfall2_2" hidden="1">{"'vert'!$A$1:$T$117"}</definedName>
    <definedName name="Waterfall2_2_1" hidden="1">{"'vert'!$A$1:$T$117"}</definedName>
    <definedName name="Waterfall2_3" hidden="1">{"'vert'!$A$1:$T$117"}</definedName>
    <definedName name="Waterfall2_3_1" hidden="1">{"'vert'!$A$1:$T$117"}</definedName>
    <definedName name="Waterfall2_4" hidden="1">{"'vert'!$A$1:$T$117"}</definedName>
    <definedName name="Waterfall2_4_1" hidden="1">{"'vert'!$A$1:$T$117"}</definedName>
    <definedName name="Waterfall2_5" hidden="1">{"'vert'!$A$1:$T$117"}</definedName>
    <definedName name="Waterfall3" hidden="1">{"'vert'!$A$1:$T$117"}</definedName>
    <definedName name="Waterfall3_1" hidden="1">{"'vert'!$A$1:$T$117"}</definedName>
    <definedName name="Waterfall3_1_1" hidden="1">{"'vert'!$A$1:$T$117"}</definedName>
    <definedName name="Waterfall3_1_1_1" hidden="1">{"'vert'!$A$1:$T$117"}</definedName>
    <definedName name="Waterfall3_1_2" hidden="1">{"'vert'!$A$1:$T$117"}</definedName>
    <definedName name="Waterfall3_2" hidden="1">{"'vert'!$A$1:$T$117"}</definedName>
    <definedName name="Waterfall3_2_1" hidden="1">{"'vert'!$A$1:$T$117"}</definedName>
    <definedName name="Waterfall3_3" hidden="1">{"'vert'!$A$1:$T$117"}</definedName>
    <definedName name="Waterfall3_3_1" hidden="1">{"'vert'!$A$1:$T$117"}</definedName>
    <definedName name="Waterfall3_4" hidden="1">{"'vert'!$A$1:$T$117"}</definedName>
    <definedName name="Waterfall3_4_1" hidden="1">{"'vert'!$A$1:$T$117"}</definedName>
    <definedName name="Waterfall3_5" hidden="1">{"'vert'!$A$1:$T$117"}</definedName>
    <definedName name="Waterfall4" hidden="1">{"'vert'!$A$1:$T$117"}</definedName>
    <definedName name="Waterfall4_1" hidden="1">{"'vert'!$A$1:$T$117"}</definedName>
    <definedName name="Waterfall4_1_1" hidden="1">{"'vert'!$A$1:$T$117"}</definedName>
    <definedName name="Waterfall4_1_1_1" hidden="1">{"'vert'!$A$1:$T$117"}</definedName>
    <definedName name="Waterfall4_1_2" hidden="1">{"'vert'!$A$1:$T$117"}</definedName>
    <definedName name="Waterfall4_2" hidden="1">{"'vert'!$A$1:$T$117"}</definedName>
    <definedName name="Waterfall4_2_1" hidden="1">{"'vert'!$A$1:$T$117"}</definedName>
    <definedName name="Waterfall4_3" hidden="1">{"'vert'!$A$1:$T$117"}</definedName>
    <definedName name="Waterfall4_3_1" hidden="1">{"'vert'!$A$1:$T$117"}</definedName>
    <definedName name="Waterfall4_4" hidden="1">{"'vert'!$A$1:$T$117"}</definedName>
    <definedName name="Waterfall4_4_1" hidden="1">{"'vert'!$A$1:$T$117"}</definedName>
    <definedName name="Waterfall4_5" hidden="1">{"'vert'!$A$1:$T$117"}</definedName>
    <definedName name="Wetlands">'[5]AMZL Data Entry'!$C$40</definedName>
    <definedName name="whoa" hidden="1">{"'weekly data'!$A$2:$AS$36"}</definedName>
    <definedName name="whoa_1" hidden="1">{"'weekly data'!$A$2:$AS$36"}</definedName>
    <definedName name="whoa_1_1" hidden="1">{"'weekly data'!$A$2:$AS$36"}</definedName>
    <definedName name="whoa_1_1_1" hidden="1">{"'weekly data'!$A$2:$AS$36"}</definedName>
    <definedName name="whoa_1_2" hidden="1">{"'weekly data'!$A$2:$AS$36"}</definedName>
    <definedName name="whoa_2" hidden="1">{"'weekly data'!$A$2:$AS$36"}</definedName>
    <definedName name="whoa_2_1" hidden="1">{"'weekly data'!$A$2:$AS$36"}</definedName>
    <definedName name="whoa_3" hidden="1">{"'weekly data'!$A$2:$AS$36"}</definedName>
    <definedName name="whoa_3_1" hidden="1">{"'weekly data'!$A$2:$AS$36"}</definedName>
    <definedName name="whoa_4" hidden="1">{"'weekly data'!$A$2:$AS$36"}</definedName>
    <definedName name="whoa_4_1" hidden="1">{"'weekly data'!$A$2:$AS$36"}</definedName>
    <definedName name="whoa_5" hidden="1">{"'weekly data'!$A$2:$AS$36"}</definedName>
    <definedName name="WHS_Risk">'[5]AMZL Data Entry'!$C$55</definedName>
    <definedName name="wk.07" hidden="1">{"'vert'!$A$1:$T$117"}</definedName>
    <definedName name="wk.07_1" hidden="1">{"'vert'!$A$1:$T$117"}</definedName>
    <definedName name="wk.07_1_1" hidden="1">{"'vert'!$A$1:$T$117"}</definedName>
    <definedName name="wk.07_1_1_1" hidden="1">{"'vert'!$A$1:$T$117"}</definedName>
    <definedName name="wk.07_1_2" hidden="1">{"'vert'!$A$1:$T$117"}</definedName>
    <definedName name="wk.07_2" hidden="1">{"'vert'!$A$1:$T$117"}</definedName>
    <definedName name="wk.07_2_1" hidden="1">{"'vert'!$A$1:$T$117"}</definedName>
    <definedName name="wk.07_3" hidden="1">{"'vert'!$A$1:$T$117"}</definedName>
    <definedName name="wk.07_3_1" hidden="1">{"'vert'!$A$1:$T$117"}</definedName>
    <definedName name="wk.07_4" hidden="1">{"'vert'!$A$1:$T$117"}</definedName>
    <definedName name="wk.07_4_1" hidden="1">{"'vert'!$A$1:$T$117"}</definedName>
    <definedName name="wk.07_5" hidden="1">{"'vert'!$A$1:$T$117"}</definedName>
    <definedName name="wk15l" hidden="1">{"'vert'!$A$1:$T$117"}</definedName>
    <definedName name="wk15l_1" hidden="1">{"'vert'!$A$1:$T$117"}</definedName>
    <definedName name="wk15l_1_1" hidden="1">{"'vert'!$A$1:$T$117"}</definedName>
    <definedName name="wk15l_1_1_1" hidden="1">{"'vert'!$A$1:$T$117"}</definedName>
    <definedName name="wk15l_1_2" hidden="1">{"'vert'!$A$1:$T$117"}</definedName>
    <definedName name="wk15l_2" hidden="1">{"'vert'!$A$1:$T$117"}</definedName>
    <definedName name="wk15l_2_1" hidden="1">{"'vert'!$A$1:$T$117"}</definedName>
    <definedName name="wk15l_3" hidden="1">{"'vert'!$A$1:$T$117"}</definedName>
    <definedName name="wk15l_3_1" hidden="1">{"'vert'!$A$1:$T$117"}</definedName>
    <definedName name="wk15l_4" hidden="1">{"'vert'!$A$1:$T$117"}</definedName>
    <definedName name="wk15l_4_1" hidden="1">{"'vert'!$A$1:$T$117"}</definedName>
    <definedName name="wk15l_5" hidden="1">{"'vert'!$A$1:$T$117"}</definedName>
    <definedName name="wkfaj" hidden="1">{"'vert'!$A$1:$T$117"}</definedName>
    <definedName name="wkfaj_1" hidden="1">{"'vert'!$A$1:$T$117"}</definedName>
    <definedName name="wkfaj_1_1" hidden="1">{"'vert'!$A$1:$T$117"}</definedName>
    <definedName name="wkfaj_1_1_1" hidden="1">{"'vert'!$A$1:$T$117"}</definedName>
    <definedName name="wkfaj_1_2" hidden="1">{"'vert'!$A$1:$T$117"}</definedName>
    <definedName name="wkfaj_2" hidden="1">{"'vert'!$A$1:$T$117"}</definedName>
    <definedName name="wkfaj_2_1" hidden="1">{"'vert'!$A$1:$T$117"}</definedName>
    <definedName name="wkfaj_3" hidden="1">{"'vert'!$A$1:$T$117"}</definedName>
    <definedName name="wkfaj_3_1" hidden="1">{"'vert'!$A$1:$T$117"}</definedName>
    <definedName name="wkfaj_4" hidden="1">{"'vert'!$A$1:$T$117"}</definedName>
    <definedName name="wkfaj_4_1" hidden="1">{"'vert'!$A$1:$T$117"}</definedName>
    <definedName name="wkfaj_5" hidden="1">{"'vert'!$A$1:$T$117"}</definedName>
    <definedName name="wkx" hidden="1">{"'vert'!$A$1:$T$117"}</definedName>
    <definedName name="wkx_1" hidden="1">{"'vert'!$A$1:$T$117"}</definedName>
    <definedName name="wkx_1_1" hidden="1">{"'vert'!$A$1:$T$117"}</definedName>
    <definedName name="wkx_1_1_1" hidden="1">{"'vert'!$A$1:$T$117"}</definedName>
    <definedName name="wkx_1_2" hidden="1">{"'vert'!$A$1:$T$117"}</definedName>
    <definedName name="wkx_2" hidden="1">{"'vert'!$A$1:$T$117"}</definedName>
    <definedName name="wkx_2_1" hidden="1">{"'vert'!$A$1:$T$117"}</definedName>
    <definedName name="wkx_3" hidden="1">{"'vert'!$A$1:$T$117"}</definedName>
    <definedName name="wkx_3_1" hidden="1">{"'vert'!$A$1:$T$117"}</definedName>
    <definedName name="wkx_4" hidden="1">{"'vert'!$A$1:$T$117"}</definedName>
    <definedName name="wkx_4_1" hidden="1">{"'vert'!$A$1:$T$117"}</definedName>
    <definedName name="wkx_5" hidden="1">{"'vert'!$A$1:$T$117"}</definedName>
    <definedName name="wrn.Accounts." hidden="1">{"turnover",#N/A,FALSE;"profits",#N/A,FALSE;"cash",#N/A,FALSE}</definedName>
    <definedName name="wrn.Accounts._1" hidden="1">{"turnover",#N/A,FALSE;"profits",#N/A,FALSE;"cash",#N/A,FALSE}</definedName>
    <definedName name="wrn.Accounts._1_1" hidden="1">{"turnover",#N/A,FALSE;"profits",#N/A,FALSE;"cash",#N/A,FALSE}</definedName>
    <definedName name="wrn.Accounts._1_1_1" hidden="1">{"turnover",#N/A,FALSE;"profits",#N/A,FALSE;"cash",#N/A,FALSE}</definedName>
    <definedName name="wrn.Accounts._1_2" hidden="1">{"turnover",#N/A,FALSE;"profits",#N/A,FALSE;"cash",#N/A,FALSE}</definedName>
    <definedName name="wrn.Accounts._2" hidden="1">{"turnover",#N/A,FALSE;"profits",#N/A,FALSE;"cash",#N/A,FALSE}</definedName>
    <definedName name="wrn.Accounts._2_1" hidden="1">{"turnover",#N/A,FALSE;"profits",#N/A,FALSE;"cash",#N/A,FALSE}</definedName>
    <definedName name="wrn.Accounts._3" hidden="1">{"turnover",#N/A,FALSE;"profits",#N/A,FALSE;"cash",#N/A,FALSE}</definedName>
    <definedName name="wrn.Accounts._3_1" hidden="1">{"turnover",#N/A,FALSE;"profits",#N/A,FALSE;"cash",#N/A,FALSE}</definedName>
    <definedName name="wrn.Accounts._4" hidden="1">{"turnover",#N/A,FALSE;"profits",#N/A,FALSE;"cash",#N/A,FALSE}</definedName>
    <definedName name="wrn.Accounts._4_1" hidden="1">{"turnover",#N/A,FALSE;"profits",#N/A,FALSE;"cash",#N/A,FALSE}</definedName>
    <definedName name="wrn.Accounts._5" hidden="1">{"turnover",#N/A,FALSE;"profits",#N/A,FALSE;"cash",#N/A,FALSE}</definedName>
    <definedName name="wrn.Covers." hidden="1">{#N/A,#N/A,FALSE,"FrntPg";#N/A,#N/A,FALSE,"IncACvr";#N/A,#N/A,FALSE,"CashACvr";#N/A,#N/A,FALSE,"CapxCvr";#N/A,#N/A,FALSE,"OtherCvr";#N/A,#N/A,FALSE,"RevCvr";#N/A,#N/A,FALSE,"ExpCvr";#N/A,#N/A,FALSE,"BegCvr"}</definedName>
    <definedName name="wrn.Covers._1" hidden="1">{#N/A,#N/A,FALSE,"FrntPg";#N/A,#N/A,FALSE,"IncACvr";#N/A,#N/A,FALSE,"CashACvr";#N/A,#N/A,FALSE,"CapxCvr";#N/A,#N/A,FALSE,"OtherCvr";#N/A,#N/A,FALSE,"RevCvr";#N/A,#N/A,FALSE,"ExpCvr";#N/A,#N/A,FALSE,"BegCvr"}</definedName>
    <definedName name="wrn.Covers._1_1" hidden="1">{#N/A,#N/A,FALSE,"FrntPg";#N/A,#N/A,FALSE,"IncACvr";#N/A,#N/A,FALSE,"CashACvr";#N/A,#N/A,FALSE,"CapxCvr";#N/A,#N/A,FALSE,"OtherCvr";#N/A,#N/A,FALSE,"RevCvr";#N/A,#N/A,FALSE,"ExpCvr";#N/A,#N/A,FALSE,"BegCvr"}</definedName>
    <definedName name="wrn.Covers._1_1_1" hidden="1">{#N/A,#N/A,FALSE,"FrntPg";#N/A,#N/A,FALSE,"IncACvr";#N/A,#N/A,FALSE,"CashACvr";#N/A,#N/A,FALSE,"CapxCvr";#N/A,#N/A,FALSE,"OtherCvr";#N/A,#N/A,FALSE,"RevCvr";#N/A,#N/A,FALSE,"ExpCvr";#N/A,#N/A,FALSE,"BegCvr"}</definedName>
    <definedName name="wrn.Covers._1_2" hidden="1">{#N/A,#N/A,FALSE,"FrntPg";#N/A,#N/A,FALSE,"IncACvr";#N/A,#N/A,FALSE,"CashACvr";#N/A,#N/A,FALSE,"CapxCvr";#N/A,#N/A,FALSE,"OtherCvr";#N/A,#N/A,FALSE,"RevCvr";#N/A,#N/A,FALSE,"ExpCvr";#N/A,#N/A,FALSE,"BegCvr"}</definedName>
    <definedName name="wrn.Covers._2" hidden="1">{#N/A,#N/A,FALSE,"FrntPg";#N/A,#N/A,FALSE,"IncACvr";#N/A,#N/A,FALSE,"CashACvr";#N/A,#N/A,FALSE,"CapxCvr";#N/A,#N/A,FALSE,"OtherCvr";#N/A,#N/A,FALSE,"RevCvr";#N/A,#N/A,FALSE,"ExpCvr";#N/A,#N/A,FALSE,"BegCvr"}</definedName>
    <definedName name="wrn.Covers._2_1" hidden="1">{#N/A,#N/A,FALSE,"FrntPg";#N/A,#N/A,FALSE,"IncACvr";#N/A,#N/A,FALSE,"CashACvr";#N/A,#N/A,FALSE,"CapxCvr";#N/A,#N/A,FALSE,"OtherCvr";#N/A,#N/A,FALSE,"RevCvr";#N/A,#N/A,FALSE,"ExpCvr";#N/A,#N/A,FALSE,"BegCvr"}</definedName>
    <definedName name="wrn.Covers._3" hidden="1">{#N/A,#N/A,FALSE,"FrntPg";#N/A,#N/A,FALSE,"IncACvr";#N/A,#N/A,FALSE,"CashACvr";#N/A,#N/A,FALSE,"CapxCvr";#N/A,#N/A,FALSE,"OtherCvr";#N/A,#N/A,FALSE,"RevCvr";#N/A,#N/A,FALSE,"ExpCvr";#N/A,#N/A,FALSE,"BegCvr"}</definedName>
    <definedName name="wrn.Covers._3_1" hidden="1">{#N/A,#N/A,FALSE,"FrntPg";#N/A,#N/A,FALSE,"IncACvr";#N/A,#N/A,FALSE,"CashACvr";#N/A,#N/A,FALSE,"CapxCvr";#N/A,#N/A,FALSE,"OtherCvr";#N/A,#N/A,FALSE,"RevCvr";#N/A,#N/A,FALSE,"ExpCvr";#N/A,#N/A,FALSE,"BegCvr"}</definedName>
    <definedName name="wrn.Covers._4" hidden="1">{#N/A,#N/A,FALSE,"FrntPg";#N/A,#N/A,FALSE,"IncACvr";#N/A,#N/A,FALSE,"CashACvr";#N/A,#N/A,FALSE,"CapxCvr";#N/A,#N/A,FALSE,"OtherCvr";#N/A,#N/A,FALSE,"RevCvr";#N/A,#N/A,FALSE,"ExpCvr";#N/A,#N/A,FALSE,"BegCvr"}</definedName>
    <definedName name="wrn.Covers._4_1" hidden="1">{#N/A,#N/A,FALSE,"FrntPg";#N/A,#N/A,FALSE,"IncACvr";#N/A,#N/A,FALSE,"CashACvr";#N/A,#N/A,FALSE,"CapxCvr";#N/A,#N/A,FALSE,"OtherCvr";#N/A,#N/A,FALSE,"RevCvr";#N/A,#N/A,FALSE,"ExpCvr";#N/A,#N/A,FALSE,"BegCvr"}</definedName>
    <definedName name="wrn.Covers._5" hidden="1">{#N/A,#N/A,FALSE,"FrntPg";#N/A,#N/A,FALSE,"IncACvr";#N/A,#N/A,FALSE,"CashACvr";#N/A,#N/A,FALSE,"CapxCvr";#N/A,#N/A,FALSE,"OtherCvr";#N/A,#N/A,FALSE,"RevCvr";#N/A,#N/A,FALSE,"ExpCvr";#N/A,#N/A,FALSE,"BegCvr"}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Financial._.Forecast.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OUTPUT.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{"DCF","UPSIDE CASE",FALSE,"Sheet1";"DCF","BASE CASE",FALSE,"Sheet1";"DCF","DOWNSIDE CASE",FALSE,"Sheet1"}</definedName>
    <definedName name="wrn.OUTPUT._1_1_1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2_1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3_1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_4_1" hidden="1">{"DCF","UPSIDE CASE",FALSE,"Sheet1";"DCF","BASE CASE",FALSE,"Sheet1";"DCF","DOWNSIDE CASE",FALSE,"Sheet1"}</definedName>
    <definedName name="wrn.OUTPUT._5" hidden="1">{"DCF","UPSIDE CASE",FALSE,"Sheet1";"DCF","BASE CASE",FALSE,"Sheet1";"DCF","DOWNSIDE CASE",FALSE,"Sheet1"}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1_1" hidden="1">{"twx1",#N/A,FALSE,"twltm.xls";"twx2",#N/A,FALSE,"twltm.xls";"twx3",#N/A,FALSE,"twltm.xls"}</definedName>
    <definedName name="wrn.twxmodel._1_1_1" hidden="1">{"twx1",#N/A,FALSE,"twltm.xls";"twx2",#N/A,FALSE,"twltm.xls";"twx3",#N/A,FALSE,"twltm.xls"}</definedName>
    <definedName name="wrn.twxmodel._1_2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wxmodel._2_1" hidden="1">{"twx1",#N/A,FALSE,"twltm.xls";"twx2",#N/A,FALSE,"twltm.xls";"twx3",#N/A,FALSE,"twltm.xls"}</definedName>
    <definedName name="wrn.twxmodel._3" hidden="1">{"twx1",#N/A,FALSE,"twltm.xls";"twx2",#N/A,FALSE,"twltm.xls";"twx3",#N/A,FALSE,"twltm.xls"}</definedName>
    <definedName name="wrn.twxmodel._3_1" hidden="1">{"twx1",#N/A,FALSE,"twltm.xls";"twx2",#N/A,FALSE,"twltm.xls";"twx3",#N/A,FALSE,"twltm.xls"}</definedName>
    <definedName name="wrn.twxmodel._4" hidden="1">{"twx1",#N/A,FALSE,"twltm.xls";"twx2",#N/A,FALSE,"twltm.xls";"twx3",#N/A,FALSE,"twltm.xls"}</definedName>
    <definedName name="wrn.twxmodel._4_1" hidden="1">{"twx1",#N/A,FALSE,"twltm.xls";"twx2",#N/A,FALSE,"twltm.xls";"twx3",#N/A,FALSE,"twltm.xls"}</definedName>
    <definedName name="wrn.twxmodel._5" hidden="1">{"twx1",#N/A,FALSE,"twltm.xls";"twx2",#N/A,FALSE,"twltm.xls";"twx3",#N/A,FALSE,"twltm.xls"}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xx" hidden="1">{"'vert'!$A$1:$T$117"}</definedName>
    <definedName name="xxx_1" hidden="1">{"'vert'!$A$1:$T$117"}</definedName>
    <definedName name="xxx_1_1" hidden="1">{"'vert'!$A$1:$T$117"}</definedName>
    <definedName name="xxx_1_1_1" hidden="1">{"'vert'!$A$1:$T$117"}</definedName>
    <definedName name="xxx_1_2" hidden="1">{"'vert'!$A$1:$T$117"}</definedName>
    <definedName name="xxx_2" hidden="1">{"'vert'!$A$1:$T$117"}</definedName>
    <definedName name="xxx_2_1" hidden="1">{"'vert'!$A$1:$T$117"}</definedName>
    <definedName name="xxx_3" hidden="1">{"'vert'!$A$1:$T$117"}</definedName>
    <definedName name="xxx_3_1" hidden="1">{"'vert'!$A$1:$T$117"}</definedName>
    <definedName name="xxx_4" hidden="1">{"'vert'!$A$1:$T$117"}</definedName>
    <definedName name="xxx_4_1" hidden="1">{"'vert'!$A$1:$T$117"}</definedName>
    <definedName name="xxx_5" hidden="1">{"'vert'!$A$1:$T$117"}</definedName>
    <definedName name="Year_1_Rent">'[5]AMZL Data Entry'!$C$93</definedName>
    <definedName name="yo" hidden="1">{"'vert'!$A$1:$T$117"}</definedName>
    <definedName name="yo_1" hidden="1">{"'vert'!$A$1:$T$117"}</definedName>
    <definedName name="yo_1_1" hidden="1">{"'vert'!$A$1:$T$117"}</definedName>
    <definedName name="yo_1_1_1" hidden="1">{"'vert'!$A$1:$T$117"}</definedName>
    <definedName name="yo_1_2" hidden="1">{"'vert'!$A$1:$T$117"}</definedName>
    <definedName name="yo_2" hidden="1">{"'vert'!$A$1:$T$117"}</definedName>
    <definedName name="yo_2_1" hidden="1">{"'vert'!$A$1:$T$117"}</definedName>
    <definedName name="yo_3" hidden="1">{"'vert'!$A$1:$T$117"}</definedName>
    <definedName name="yo_3_1" hidden="1">{"'vert'!$A$1:$T$117"}</definedName>
    <definedName name="yo_4" hidden="1">{"'vert'!$A$1:$T$117"}</definedName>
    <definedName name="yo_4_1" hidden="1">{"'vert'!$A$1:$T$117"}</definedName>
    <definedName name="yo_5" hidden="1">{"'vert'!$A$1:$T$117"}</definedName>
    <definedName name="z" hidden="1">{"'vert'!$A$1:$T$117"}</definedName>
    <definedName name="z_1" hidden="1">{"'vert'!$A$1:$T$117"}</definedName>
    <definedName name="z_1_1" hidden="1">{"'vert'!$A$1:$T$117"}</definedName>
    <definedName name="z_1_1_1" hidden="1">{"'vert'!$A$1:$T$117"}</definedName>
    <definedName name="z_1_2" hidden="1">{"'vert'!$A$1:$T$117"}</definedName>
    <definedName name="z_2" hidden="1">{"'vert'!$A$1:$T$117"}</definedName>
    <definedName name="z_2_1" hidden="1">{"'vert'!$A$1:$T$117"}</definedName>
    <definedName name="z_3" hidden="1">{"'vert'!$A$1:$T$117"}</definedName>
    <definedName name="z_3_1" hidden="1">{"'vert'!$A$1:$T$117"}</definedName>
    <definedName name="z_4" hidden="1">{"'vert'!$A$1:$T$117"}</definedName>
    <definedName name="z_4_1" hidden="1">{"'vert'!$A$1:$T$117"}</definedName>
    <definedName name="z_5" hidden="1">{"'vert'!$A$1:$T$117"}</definedName>
    <definedName name="Zoning">'[5]AMZL Data Entry'!$C$46</definedName>
    <definedName name="元データー" hidden="1">{"'vert'!$A$1:$T$117"}</definedName>
    <definedName name="元データー_1" hidden="1">{"'vert'!$A$1:$T$117"}</definedName>
    <definedName name="元データー_1_1" hidden="1">{"'vert'!$A$1:$T$117"}</definedName>
    <definedName name="元データー_1_1_1" hidden="1">{"'vert'!$A$1:$T$117"}</definedName>
    <definedName name="元データー_1_2" hidden="1">{"'vert'!$A$1:$T$117"}</definedName>
    <definedName name="元データー_2" hidden="1">{"'vert'!$A$1:$T$117"}</definedName>
    <definedName name="元データー_2_1" hidden="1">{"'vert'!$A$1:$T$117"}</definedName>
    <definedName name="元データー_3" hidden="1">{"'vert'!$A$1:$T$117"}</definedName>
    <definedName name="元データー_3_1" hidden="1">{"'vert'!$A$1:$T$117"}</definedName>
    <definedName name="元データー_4" hidden="1">{"'vert'!$A$1:$T$117"}</definedName>
    <definedName name="元データー_4_1" hidden="1">{"'vert'!$A$1:$T$117"}</definedName>
    <definedName name="元データー_5" hidden="1">{"'vert'!$A$1:$T$117"}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Z21" i="1"/>
  <c r="Z22" i="1"/>
  <c r="Z23" i="1"/>
  <c r="Z24" i="1"/>
  <c r="Z20" i="1"/>
  <c r="Z6" i="1"/>
  <c r="X6" i="1"/>
  <c r="X21" i="1"/>
  <c r="X22" i="1"/>
  <c r="X23" i="1"/>
  <c r="X24" i="1"/>
  <c r="X20" i="1"/>
  <c r="X8" i="1"/>
  <c r="X9" i="1"/>
  <c r="X10" i="1"/>
  <c r="X11" i="1"/>
  <c r="X7" i="1"/>
  <c r="R6" i="1" l="1"/>
  <c r="Q6" i="1"/>
  <c r="Z7" i="1"/>
  <c r="Z8" i="1"/>
  <c r="Z9" i="1"/>
  <c r="Z10" i="1"/>
  <c r="Z11" i="1"/>
  <c r="N7" i="1"/>
  <c r="N8" i="1"/>
  <c r="N9" i="1"/>
  <c r="N21" i="1"/>
  <c r="N22" i="1"/>
  <c r="N23" i="1"/>
  <c r="N24" i="1"/>
  <c r="N20" i="1"/>
  <c r="N10" i="1"/>
  <c r="N11" i="1"/>
  <c r="M12" i="1"/>
  <c r="B8" i="1"/>
  <c r="B9" i="1" s="1"/>
  <c r="B10" i="1" s="1"/>
  <c r="B11" i="1" s="1"/>
  <c r="N12" i="1" l="1"/>
  <c r="O11" i="1" l="1"/>
  <c r="P11" i="1" s="1"/>
  <c r="N6" i="1"/>
  <c r="O9" i="1"/>
  <c r="P9" i="1" s="1"/>
  <c r="O20" i="1"/>
  <c r="P20" i="1" s="1"/>
  <c r="O23" i="1"/>
  <c r="P23" i="1" s="1"/>
  <c r="O24" i="1"/>
  <c r="P24" i="1" s="1"/>
  <c r="O21" i="1"/>
  <c r="P21" i="1" s="1"/>
  <c r="O8" i="1"/>
  <c r="P8" i="1" s="1"/>
  <c r="O10" i="1"/>
  <c r="P10" i="1" s="1"/>
  <c r="O22" i="1"/>
  <c r="P22" i="1" s="1"/>
  <c r="P7" i="1"/>
  <c r="R7" i="1" s="1"/>
  <c r="O6" i="1"/>
  <c r="P6" i="1" l="1"/>
  <c r="Q23" i="1"/>
  <c r="R23" i="1"/>
  <c r="Q22" i="1"/>
  <c r="R22" i="1"/>
  <c r="Q21" i="1"/>
  <c r="R21" i="1"/>
  <c r="Q24" i="1"/>
  <c r="R24" i="1"/>
  <c r="Q20" i="1"/>
  <c r="R20" i="1"/>
  <c r="Q8" i="1"/>
  <c r="R8" i="1"/>
  <c r="Q11" i="1"/>
  <c r="R11" i="1"/>
  <c r="Q10" i="1"/>
  <c r="R10" i="1"/>
  <c r="Q9" i="1"/>
  <c r="R9" i="1"/>
  <c r="Q7" i="1"/>
  <c r="O12" i="1"/>
  <c r="P12" i="1"/>
  <c r="Q12" i="1" l="1"/>
  <c r="R12" i="1"/>
</calcChain>
</file>

<file path=xl/sharedStrings.xml><?xml version="1.0" encoding="utf-8"?>
<sst xmlns="http://schemas.openxmlformats.org/spreadsheetml/2006/main" count="64" uniqueCount="35">
  <si>
    <t>Lease Comparables Table</t>
  </si>
  <si>
    <t>Address</t>
  </si>
  <si>
    <t xml:space="preserve">City </t>
  </si>
  <si>
    <t>State</t>
  </si>
  <si>
    <t>Distance from Subject Site (miles)</t>
  </si>
  <si>
    <t>Latitude</t>
  </si>
  <si>
    <t>Longitude</t>
  </si>
  <si>
    <t>Building Class</t>
  </si>
  <si>
    <t>Property Owner/
Company</t>
  </si>
  <si>
    <t>Current Tenant
(Company)</t>
  </si>
  <si>
    <t>Leased Area
(SF)</t>
  </si>
  <si>
    <t>Annual Lease Rate 
(per SF)</t>
  </si>
  <si>
    <t>Lease Structure</t>
  </si>
  <si>
    <t>Term (mo)</t>
  </si>
  <si>
    <t>Free Rent (mo)</t>
  </si>
  <si>
    <t>Annual Escalations</t>
  </si>
  <si>
    <t>Tenant Improvement (per SF)</t>
  </si>
  <si>
    <t>Year Commenced</t>
  </si>
  <si>
    <t>Lease Commencement Date</t>
  </si>
  <si>
    <t>Lease Expiration Date</t>
  </si>
  <si>
    <t>Comments</t>
  </si>
  <si>
    <t>S</t>
  </si>
  <si>
    <t>AVERAGE</t>
  </si>
  <si>
    <t>Below The Line Transactions - For Area Reference / Context</t>
  </si>
  <si>
    <t>Zip Code</t>
  </si>
  <si>
    <t>Transaction Type</t>
  </si>
  <si>
    <t>Clear Height</t>
  </si>
  <si>
    <t>Year Built</t>
  </si>
  <si>
    <t>Net Effective Rent (PSF)</t>
  </si>
  <si>
    <t>Discounted Net Effective Rent (PSF)</t>
  </si>
  <si>
    <t>Discount Rate</t>
  </si>
  <si>
    <t>Market Growth Rate</t>
  </si>
  <si>
    <t>Months Between Commencement &amp; Today</t>
  </si>
  <si>
    <t>Months between Today &amp; Subject Commencement</t>
  </si>
  <si>
    <t>Commencement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</si>
</sst>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FFFF0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/>
    </xf>
    <xf numFmtId="10" fontId="0" fillId="0" borderId="4" xfId="3" applyNumberFormat="1" applyFont="1" applyFill="1" applyBorder="1" applyAlignment="1">
      <alignment horizontal="center"/>
    </xf>
    <xf numFmtId="0" fontId="0" fillId="5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10" fontId="0" fillId="9" borderId="4" xfId="3" applyNumberFormat="1" applyFont="1" applyFill="1" applyBorder="1" applyAlignment="1">
      <alignment horizontal="center"/>
    </xf>
    <xf numFmtId="0" fontId="0" fillId="4" borderId="0" xfId="0" applyFont="1" applyFill="1"/>
    <xf numFmtId="0" fontId="0" fillId="5" borderId="0" xfId="0" applyFont="1" applyFill="1"/>
    <xf numFmtId="0" fontId="2" fillId="2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49" fontId="5" fillId="7" borderId="4" xfId="0" applyNumberFormat="1" applyFont="1" applyFill="1" applyBorder="1" applyAlignment="1">
      <alignment horizontal="center" vertical="center"/>
    </xf>
    <xf numFmtId="165" fontId="5" fillId="7" borderId="4" xfId="1" applyNumberFormat="1" applyFont="1" applyFill="1" applyBorder="1" applyAlignment="1">
      <alignment horizontal="center" vertical="center"/>
    </xf>
    <xf numFmtId="44" fontId="5" fillId="7" borderId="4" xfId="2" applyFont="1" applyFill="1" applyBorder="1" applyAlignment="1">
      <alignment horizontal="center" vertical="center"/>
    </xf>
    <xf numFmtId="1" fontId="5" fillId="7" borderId="4" xfId="2" applyNumberFormat="1" applyFont="1" applyFill="1" applyBorder="1" applyAlignment="1">
      <alignment horizontal="center" vertical="center"/>
    </xf>
    <xf numFmtId="1" fontId="5" fillId="7" borderId="4" xfId="0" applyNumberFormat="1" applyFont="1" applyFill="1" applyBorder="1" applyAlignment="1">
      <alignment horizontal="center" vertical="center"/>
    </xf>
    <xf numFmtId="10" fontId="5" fillId="7" borderId="4" xfId="3" applyNumberFormat="1" applyFont="1" applyFill="1" applyBorder="1" applyAlignment="1">
      <alignment horizontal="center" vertical="center"/>
    </xf>
    <xf numFmtId="14" fontId="5" fillId="7" borderId="4" xfId="0" applyNumberFormat="1" applyFont="1" applyFill="1" applyBorder="1" applyAlignment="1">
      <alignment horizontal="center" vertical="center"/>
    </xf>
    <xf numFmtId="49" fontId="5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2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165" fontId="5" fillId="4" borderId="4" xfId="1" applyNumberFormat="1" applyFont="1" applyFill="1" applyBorder="1" applyAlignment="1">
      <alignment horizontal="center" vertical="center"/>
    </xf>
    <xf numFmtId="44" fontId="5" fillId="4" borderId="4" xfId="2" applyFont="1" applyFill="1" applyBorder="1" applyAlignment="1">
      <alignment horizontal="center" vertical="center"/>
    </xf>
    <xf numFmtId="1" fontId="5" fillId="4" borderId="4" xfId="2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0" fontId="5" fillId="0" borderId="4" xfId="3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4" fontId="2" fillId="0" borderId="0" xfId="2" applyNumberFormat="1" applyFont="1" applyFill="1" applyBorder="1" applyAlignment="1">
      <alignment horizontal="center" vertical="center" wrapText="1" readingOrder="1"/>
    </xf>
    <xf numFmtId="4" fontId="0" fillId="0" borderId="0" xfId="0" applyNumberFormat="1" applyFont="1"/>
    <xf numFmtId="4" fontId="2" fillId="6" borderId="4" xfId="2" applyNumberFormat="1" applyFont="1" applyFill="1" applyBorder="1" applyAlignment="1">
      <alignment horizontal="center" vertical="center" wrapText="1" readingOrder="1"/>
    </xf>
    <xf numFmtId="2" fontId="5" fillId="4" borderId="4" xfId="2" applyNumberFormat="1" applyFont="1" applyFill="1" applyBorder="1" applyAlignment="1">
      <alignment horizontal="center" vertical="center"/>
    </xf>
    <xf numFmtId="44" fontId="0" fillId="0" borderId="0" xfId="2" applyFont="1" applyFill="1" applyBorder="1"/>
    <xf numFmtId="0" fontId="0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t.amazon.com\finance\Dept\Documents%20and%20Settings\pablo\Local%20Settings\Temporary%20Internet%20Files\OLKE\216530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t.amazon.com\finance\Dept\Documents%20and%20Settings\pablo\Local%20Settings\Temporary%20Internet%20Files\OLKE\218593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t.amazon.com\finance\Dept\Documents%20and%20Settings\pablo\Local%20Settings\Temporary%20Internet%20Files\OLKE\209500_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t.amazon.com\finance\Dept\Documents%20and%20Settings\pablo\Local%20Settings\Temporary%20Internet%20Files\OLKE\216530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sites/WWRE%20StDev/Shared%20Documents/Tools%20and%20Templates/05%20SDP%20Templates/01%20Scorecard%20Working%20Area/Working_Version+Realty_Scorecard_v1.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ant.amazon.com/Gen_Ledger/G&amp;A/GLDI%20Files/08-Aug-12/Fixed%20Assets/FA115B_HVAC_Depreciation%20Accrual_AUG_SC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mmuchin\Box\Shared%20Files%20-%20Final\KBC%20Survey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WC"/>
      <sheetName val="MP Graphs"/>
      <sheetName val="Performance Graphs"/>
      <sheetName val="CAGRs"/>
      <sheetName val="List"/>
      <sheetName val="FX"/>
      <sheetName val="Mappings"/>
      <sheetName val="LOOKUP"/>
      <sheetName val="MAPPING"/>
      <sheetName val="Constant"/>
      <sheetName val="USD"/>
      <sheetName val="Inputs"/>
      <sheetName val="Notes"/>
      <sheetName val="PL-list"/>
      <sheetName val="CONTROL"/>
      <sheetName val="Gross Margin Lookups"/>
      <sheetName val="DO NOT DELETE"/>
      <sheetName val="DO NOTE DELETE"/>
      <sheetName val="Lists"/>
      <sheetName val="Admin"/>
      <sheetName val="GL PG"/>
      <sheetName val="Month"/>
      <sheetName val="GL List"/>
      <sheetName val="LOOKUP (2)"/>
      <sheetName val="Lookups"/>
      <sheetName val="MAP"/>
      <sheetName val="Master Data"/>
      <sheetName val="-&gt;"/>
      <sheetName val="New Q3 Whiteboard"/>
      <sheetName val="Index"/>
      <sheetName val="Capex Summary by FC"/>
      <sheetName val="MP"/>
      <sheetName val="Data Val"/>
      <sheetName val="2015-2016 Volume By Month"/>
      <sheetName val="Sheet12"/>
      <sheetName val="Acct listing"/>
      <sheetName val="List (Finance)"/>
      <sheetName val="Summary"/>
      <sheetName val="COGNOS"/>
      <sheetName val="How to"/>
      <sheetName val="IB forecast"/>
      <sheetName val="Others"/>
      <sheetName val="Update"/>
      <sheetName val="Scenarios"/>
      <sheetName val="Ref"/>
      <sheetName val="EDISON-2"/>
      <sheetName val="ステータスリスト"/>
      <sheetName val="DD"/>
      <sheetName val="List_validation"/>
      <sheetName val="Controls"/>
      <sheetName val="有效值"/>
      <sheetName val="DropDown"/>
      <sheetName val="Global AdHoc Results"/>
      <sheetName val="Pre_set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order_data"/>
      <sheetName val="Pull Set Up MX"/>
      <sheetName val="Tables"/>
      <sheetName val="Source"/>
      <sheetName val="Monthly"/>
      <sheetName val="Lists_2"/>
      <sheetName val="Channels"/>
      <sheetName val="DE"/>
      <sheetName val="Sheet4"/>
      <sheetName val="Lookup Page"/>
      <sheetName val="vendor"/>
      <sheetName val="VALUES-don't open"/>
      <sheetName val="Z Ref"/>
      <sheetName val="Retail &gt;&gt;"/>
      <sheetName val="Sheet1"/>
      <sheetName val="Account"/>
      <sheetName val="MERCH"/>
      <sheetName val="Key"/>
      <sheetName val="Menu"/>
      <sheetName val="Comparative"/>
      <sheetName val="Actual vs Plan"/>
      <sheetName val="Definitions"/>
      <sheetName val="Display_Ads_Detail_Mth"/>
      <sheetName val="Revenue Summary - WW"/>
      <sheetName val="City List"/>
      <sheetName val="Data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CLOSE"/>
      <sheetName val="Date Ref"/>
      <sheetName val="WK18_No1"/>
      <sheetName val="Fortune P&amp;L by Category Rates"/>
      <sheetName val="Options"/>
      <sheetName val="Maker List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Global_AdHoc_Results"/>
      <sheetName val="Killer_Table"/>
      <sheetName val="By_Category"/>
      <sheetName val="Retail_&gt;&gt;"/>
      <sheetName val="Lookup_Page"/>
      <sheetName val="Pull_Set_Up_MX"/>
      <sheetName val="VALUES-don't_open"/>
      <sheetName val="Z_Ref"/>
      <sheetName val="Actual_vs_Plan"/>
      <sheetName val="Revenue_Summary_-_WW"/>
      <sheetName val="City_List"/>
      <sheetName val="Date_Ref"/>
      <sheetName val="Fortune_P&amp;L_by_Category_Rates"/>
      <sheetName val="Maker_List"/>
      <sheetName val="Master_List_ACES"/>
      <sheetName val="Master_List_SCT"/>
      <sheetName val="216530_3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irarchy"/>
      <sheetName val="(管理用)プルダウンリスト"/>
      <sheetName val="Feuil1"/>
      <sheetName val="Content Asset Expense"/>
      <sheetName val="Helper"/>
      <sheetName val="Content Asset Expense04"/>
      <sheetName val="Driver_lookup"/>
      <sheetName val="Amort Trends Essbase"/>
      <sheetName val="IVSA"/>
      <sheetName val="GoBigP&amp;L_50K"/>
      <sheetName val="Annexure"/>
      <sheetName val="Cat Dump"/>
      <sheetName val="comment"/>
      <sheetName val="Assumptions"/>
      <sheetName val="Daily Curve"/>
      <sheetName val="1171 SPR"/>
      <sheetName val="DS Org Structure"/>
      <sheetName val="Other 1172 &amp; 1173"/>
      <sheetName val="Week Level"/>
      <sheetName val="C"/>
      <sheetName val="setup"/>
      <sheetName val="Graph by Product Type"/>
      <sheetName val="Balance Summary"/>
      <sheetName val="SGA"/>
      <sheetName val="PopCache"/>
      <sheetName val="weekly_metrics"/>
      <sheetName val="top_customers"/>
      <sheetName val="gainer_loser"/>
      <sheetName val="weekly_credits"/>
      <sheetName val="new_customers"/>
      <sheetName val="dropped_customers"/>
      <sheetName val="Content_Asset_Exp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F7" t="str">
            <v>Estimated</v>
          </cell>
          <cell r="G7" t="str">
            <v>Projected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Estimated</v>
          </cell>
          <cell r="V7" t="str">
            <v>Projected</v>
          </cell>
        </row>
        <row r="8">
          <cell r="B8">
            <v>2000</v>
          </cell>
          <cell r="C8">
            <v>2001</v>
          </cell>
          <cell r="D8">
            <v>2002</v>
          </cell>
          <cell r="E8">
            <v>2003</v>
          </cell>
          <cell r="F8" t="str">
            <v>2004E</v>
          </cell>
          <cell r="G8">
            <v>2005</v>
          </cell>
          <cell r="H8">
            <v>2006</v>
          </cell>
          <cell r="I8">
            <v>2007</v>
          </cell>
          <cell r="J8">
            <v>2008</v>
          </cell>
          <cell r="K8">
            <v>2009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2000</v>
          </cell>
          <cell r="R8">
            <v>2001</v>
          </cell>
          <cell r="S8">
            <v>2002</v>
          </cell>
          <cell r="T8">
            <v>2003</v>
          </cell>
          <cell r="U8" t="str">
            <v>2004E</v>
          </cell>
          <cell r="V8" t="str">
            <v>2005P</v>
          </cell>
          <cell r="W8" t="str">
            <v>2006P</v>
          </cell>
          <cell r="X8" t="str">
            <v>2007P</v>
          </cell>
          <cell r="Y8" t="str">
            <v>2008P</v>
          </cell>
          <cell r="Z8" t="str">
            <v>2009P</v>
          </cell>
        </row>
        <row r="9">
          <cell r="A9" t="str">
            <v>A/R (in thousands)</v>
          </cell>
          <cell r="B9">
            <v>13086.076999999999</v>
          </cell>
          <cell r="C9">
            <v>13983.385</v>
          </cell>
          <cell r="D9">
            <v>14404.438</v>
          </cell>
          <cell r="E9">
            <v>18073.323</v>
          </cell>
          <cell r="F9">
            <v>21073.981589999999</v>
          </cell>
          <cell r="G9">
            <v>23773.7446253698</v>
          </cell>
          <cell r="H9">
            <v>26580.549951973393</v>
          </cell>
          <cell r="I9">
            <v>29759.355631119397</v>
          </cell>
          <cell r="J9">
            <v>33357.868012041559</v>
          </cell>
          <cell r="K9">
            <v>37433.351651941477</v>
          </cell>
          <cell r="L9">
            <v>0</v>
          </cell>
          <cell r="M9">
            <v>0</v>
          </cell>
          <cell r="N9">
            <v>0</v>
          </cell>
          <cell r="O9" t="str">
            <v>Accounts Payable (in thousands)</v>
          </cell>
          <cell r="P9">
            <v>0</v>
          </cell>
          <cell r="Q9">
            <v>10063.054</v>
          </cell>
          <cell r="R9">
            <v>19429.564999999999</v>
          </cell>
          <cell r="S9">
            <v>11375.518</v>
          </cell>
          <cell r="T9">
            <v>22673.196</v>
          </cell>
          <cell r="U9">
            <v>25242.880719999997</v>
          </cell>
          <cell r="V9">
            <v>28173.921353357404</v>
          </cell>
          <cell r="W9">
            <v>31385.78352053422</v>
          </cell>
          <cell r="X9">
            <v>34997.94536195961</v>
          </cell>
          <cell r="Y9">
            <v>39063.8026546908</v>
          </cell>
          <cell r="Z9">
            <v>43642.354756750232</v>
          </cell>
        </row>
        <row r="10">
          <cell r="A10" t="str">
            <v>Days of A/R</v>
          </cell>
          <cell r="B10">
            <v>31.667011739255404</v>
          </cell>
          <cell r="C10">
            <v>28.212251911826407</v>
          </cell>
          <cell r="D10">
            <v>26.60540495147983</v>
          </cell>
          <cell r="E10">
            <v>31.108179522704994</v>
          </cell>
          <cell r="F10">
            <v>31.172184756205265</v>
          </cell>
          <cell r="G10">
            <v>31.172184756205265</v>
          </cell>
          <cell r="H10">
            <v>31.172184756205265</v>
          </cell>
          <cell r="I10">
            <v>31.172184756205265</v>
          </cell>
          <cell r="J10">
            <v>31.172184756205265</v>
          </cell>
          <cell r="K10">
            <v>31.172184756205265</v>
          </cell>
          <cell r="L10">
            <v>0</v>
          </cell>
          <cell r="M10">
            <v>0</v>
          </cell>
          <cell r="N10">
            <v>0</v>
          </cell>
          <cell r="O10" t="str">
            <v>Days of A/P</v>
          </cell>
          <cell r="P10">
            <v>0</v>
          </cell>
          <cell r="Q10">
            <v>17.194740355184329</v>
          </cell>
          <cell r="R10">
            <v>27.277131807070813</v>
          </cell>
          <cell r="S10">
            <v>13.718941702103107</v>
          </cell>
          <cell r="T10">
            <v>24.121055499360864</v>
          </cell>
          <cell r="U10">
            <v>24.412594094419362</v>
          </cell>
          <cell r="V10">
            <v>24.412594094419362</v>
          </cell>
          <cell r="W10">
            <v>24.412594094419362</v>
          </cell>
          <cell r="X10">
            <v>24.412594094419362</v>
          </cell>
          <cell r="Y10">
            <v>24.412594094419362</v>
          </cell>
          <cell r="Z10">
            <v>24.412594094419362</v>
          </cell>
        </row>
        <row r="28">
          <cell r="A28" t="str">
            <v>Days of A/R</v>
          </cell>
          <cell r="B28">
            <v>31.667011739255404</v>
          </cell>
          <cell r="C28">
            <v>28.212251911826407</v>
          </cell>
          <cell r="D28">
            <v>26.60540495147983</v>
          </cell>
          <cell r="E28">
            <v>31.108179522704994</v>
          </cell>
          <cell r="F28">
            <v>31.172184756205265</v>
          </cell>
          <cell r="G28">
            <v>31.172184756205265</v>
          </cell>
          <cell r="H28">
            <v>31.172184756205265</v>
          </cell>
          <cell r="I28">
            <v>31.172184756205265</v>
          </cell>
          <cell r="J28">
            <v>31.172184756205265</v>
          </cell>
          <cell r="K28">
            <v>31.172184756205265</v>
          </cell>
          <cell r="L28">
            <v>0</v>
          </cell>
          <cell r="M28">
            <v>0</v>
          </cell>
          <cell r="N28">
            <v>0</v>
          </cell>
          <cell r="O28" t="str">
            <v>Days of A/P</v>
          </cell>
          <cell r="P28">
            <v>0</v>
          </cell>
          <cell r="Q28">
            <v>17.194740355184329</v>
          </cell>
          <cell r="R28">
            <v>27.277131807070813</v>
          </cell>
          <cell r="S28">
            <v>13.718941702103107</v>
          </cell>
          <cell r="T28">
            <v>24.121055499360864</v>
          </cell>
          <cell r="U28">
            <v>24.412594094419362</v>
          </cell>
          <cell r="V28">
            <v>24.412594094419362</v>
          </cell>
          <cell r="W28">
            <v>24.412594094419362</v>
          </cell>
          <cell r="X28">
            <v>24.412594094419362</v>
          </cell>
          <cell r="Y28">
            <v>24.412594094419362</v>
          </cell>
          <cell r="Z28">
            <v>24.412594094419362</v>
          </cell>
        </row>
        <row r="29">
          <cell r="F29" t="str">
            <v>Estimated</v>
          </cell>
          <cell r="G29" t="str">
            <v>Projected</v>
          </cell>
        </row>
        <row r="30">
          <cell r="B30">
            <v>2000</v>
          </cell>
          <cell r="C30">
            <v>2001</v>
          </cell>
          <cell r="D30">
            <v>2002</v>
          </cell>
          <cell r="E30">
            <v>2003</v>
          </cell>
          <cell r="F30" t="str">
            <v>2004E</v>
          </cell>
          <cell r="G30">
            <v>2005</v>
          </cell>
          <cell r="H30">
            <v>2006</v>
          </cell>
          <cell r="I30">
            <v>2007</v>
          </cell>
          <cell r="J30">
            <v>2008</v>
          </cell>
          <cell r="K30">
            <v>2009</v>
          </cell>
        </row>
        <row r="31">
          <cell r="A31" t="str">
            <v>Inventory (in thousands)</v>
          </cell>
          <cell r="B31">
            <v>50837.459000000003</v>
          </cell>
          <cell r="C31">
            <v>64021.527999999998</v>
          </cell>
          <cell r="D31">
            <v>63759.16113</v>
          </cell>
          <cell r="E31">
            <v>69169.13</v>
          </cell>
          <cell r="F31">
            <v>95214.199309999996</v>
          </cell>
          <cell r="G31">
            <v>91356.893996571089</v>
          </cell>
          <cell r="H31">
            <v>94238.996112733847</v>
          </cell>
          <cell r="I31">
            <v>103965.40548920688</v>
          </cell>
          <cell r="J31">
            <v>114855.98999448562</v>
          </cell>
          <cell r="K31">
            <v>127059.08318397104</v>
          </cell>
        </row>
        <row r="32">
          <cell r="A32" t="str">
            <v>Inventory turns</v>
          </cell>
          <cell r="B32">
            <v>4.2018757898580255</v>
          </cell>
          <cell r="C32">
            <v>4.0609833083021698</v>
          </cell>
          <cell r="D32">
            <v>4.7467989908960444</v>
          </cell>
          <cell r="E32">
            <v>4.9601748462066819</v>
          </cell>
          <cell r="F32">
            <v>3.9638401262106884</v>
          </cell>
          <cell r="G32">
            <v>4.6108915379295503</v>
          </cell>
          <cell r="H32">
            <v>4.9804742351373772</v>
          </cell>
          <cell r="I32">
            <v>5.0330660675342047</v>
          </cell>
          <cell r="J32">
            <v>5.0851035607475668</v>
          </cell>
          <cell r="K32">
            <v>5.1354841385190442</v>
          </cell>
        </row>
        <row r="54">
          <cell r="A54" t="str">
            <v>Inventory turns</v>
          </cell>
          <cell r="B54">
            <v>4.2018757898580255</v>
          </cell>
          <cell r="C54">
            <v>4.0609833083021698</v>
          </cell>
          <cell r="D54">
            <v>4.7467989908960444</v>
          </cell>
          <cell r="E54">
            <v>4.9601748462066819</v>
          </cell>
          <cell r="F54">
            <v>3.9638401262106884</v>
          </cell>
          <cell r="G54">
            <v>4.6108915379295503</v>
          </cell>
          <cell r="H54">
            <v>4.9804742351373772</v>
          </cell>
          <cell r="I54">
            <v>5.0330660675342047</v>
          </cell>
          <cell r="J54">
            <v>5.0851035607475668</v>
          </cell>
          <cell r="K54">
            <v>5.1354841385190442</v>
          </cell>
        </row>
        <row r="55">
          <cell r="F55" t="str">
            <v>Estimated</v>
          </cell>
          <cell r="G55" t="str">
            <v>Projected</v>
          </cell>
        </row>
        <row r="56">
          <cell r="B56">
            <v>2002</v>
          </cell>
          <cell r="C56">
            <v>2003</v>
          </cell>
          <cell r="D56" t="str">
            <v>2004E</v>
          </cell>
          <cell r="E56">
            <v>2005</v>
          </cell>
          <cell r="F56">
            <v>2006</v>
          </cell>
          <cell r="G56">
            <v>2007</v>
          </cell>
          <cell r="H56">
            <v>2008</v>
          </cell>
          <cell r="I56">
            <v>2009</v>
          </cell>
        </row>
        <row r="57">
          <cell r="A57" t="str">
            <v>Tire Inventory (in thousands)</v>
          </cell>
          <cell r="B57">
            <v>43581.983950000002</v>
          </cell>
          <cell r="C57">
            <v>48073</v>
          </cell>
          <cell r="D57">
            <v>61500</v>
          </cell>
          <cell r="E57">
            <v>61682.814977008973</v>
          </cell>
          <cell r="F57">
            <v>69273.283785155683</v>
          </cell>
          <cell r="G57">
            <v>77841.868648319316</v>
          </cell>
          <cell r="H57">
            <v>87517.166505032263</v>
          </cell>
          <cell r="I57">
            <v>98444.698679738285</v>
          </cell>
        </row>
        <row r="58">
          <cell r="A58" t="str">
            <v>Tire Inventory turns</v>
          </cell>
          <cell r="B58">
            <v>5.72020123099513</v>
          </cell>
          <cell r="C58">
            <v>5.9024407763193478</v>
          </cell>
          <cell r="D58">
            <v>5.2547132401626016</v>
          </cell>
          <cell r="E58">
            <v>5.9</v>
          </cell>
          <cell r="F58">
            <v>5.9</v>
          </cell>
          <cell r="G58">
            <v>5.9</v>
          </cell>
          <cell r="H58">
            <v>5.9</v>
          </cell>
          <cell r="I58">
            <v>5.9</v>
          </cell>
        </row>
        <row r="81">
          <cell r="A81" t="str">
            <v>Tire Inventory turns</v>
          </cell>
          <cell r="B81">
            <v>5.72020123099513</v>
          </cell>
          <cell r="C81">
            <v>5.9024407763193478</v>
          </cell>
          <cell r="D81">
            <v>5.2547132401626016</v>
          </cell>
          <cell r="E81">
            <v>5.9</v>
          </cell>
          <cell r="F81">
            <v>5.9</v>
          </cell>
          <cell r="G81">
            <v>5.9</v>
          </cell>
          <cell r="H81">
            <v>5.9</v>
          </cell>
          <cell r="I81">
            <v>5.9</v>
          </cell>
        </row>
        <row r="82">
          <cell r="F82" t="str">
            <v>Estimated</v>
          </cell>
          <cell r="G82" t="str">
            <v>Projected</v>
          </cell>
        </row>
        <row r="83">
          <cell r="B83">
            <v>2002</v>
          </cell>
          <cell r="C83">
            <v>2003</v>
          </cell>
          <cell r="D83" t="str">
            <v>2004E</v>
          </cell>
          <cell r="E83">
            <v>2005</v>
          </cell>
          <cell r="F83">
            <v>2006</v>
          </cell>
          <cell r="G83">
            <v>2007</v>
          </cell>
          <cell r="H83">
            <v>2008</v>
          </cell>
          <cell r="I83">
            <v>2009</v>
          </cell>
        </row>
        <row r="84">
          <cell r="A84" t="str">
            <v>Wheel Inventory (in thousands)</v>
          </cell>
          <cell r="B84">
            <v>17305.899069999999</v>
          </cell>
          <cell r="C84">
            <v>17222.553</v>
          </cell>
          <cell r="D84">
            <v>29428.19931</v>
          </cell>
          <cell r="E84">
            <v>25210.795132564155</v>
          </cell>
          <cell r="F84">
            <v>20280.992631574736</v>
          </cell>
          <cell r="G84">
            <v>21206.394236310276</v>
          </cell>
          <cell r="H84">
            <v>22177.725671608605</v>
          </cell>
          <cell r="I84">
            <v>23197.226906388278</v>
          </cell>
        </row>
        <row r="85">
          <cell r="A85" t="str">
            <v>Wheel Inventory turns</v>
          </cell>
          <cell r="B85">
            <v>2.0461708793367586</v>
          </cell>
          <cell r="C85">
            <v>2.20074983192097</v>
          </cell>
          <cell r="D85">
            <v>1.2598958638084607</v>
          </cell>
          <cell r="E85">
            <v>1.54</v>
          </cell>
          <cell r="F85">
            <v>2</v>
          </cell>
          <cell r="G85">
            <v>2</v>
          </cell>
          <cell r="H85">
            <v>2</v>
          </cell>
          <cell r="I85">
            <v>2</v>
          </cell>
        </row>
        <row r="110">
          <cell r="A110" t="str">
            <v>Wheel Inventory turns</v>
          </cell>
          <cell r="B110">
            <v>2.0461708793367586</v>
          </cell>
          <cell r="C110">
            <v>2.20074983192097</v>
          </cell>
          <cell r="D110">
            <v>1.2598958638084607</v>
          </cell>
          <cell r="E110">
            <v>1.54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</row>
        <row r="111">
          <cell r="F111" t="str">
            <v>Estimated</v>
          </cell>
          <cell r="G111" t="str">
            <v>Projected</v>
          </cell>
        </row>
        <row r="112">
          <cell r="F112" t="str">
            <v>2004E</v>
          </cell>
          <cell r="G112" t="str">
            <v>2005P</v>
          </cell>
          <cell r="H112" t="str">
            <v>2006P</v>
          </cell>
          <cell r="I112" t="str">
            <v>2007P</v>
          </cell>
          <cell r="J112" t="str">
            <v>2008P</v>
          </cell>
          <cell r="K112" t="str">
            <v>2009P</v>
          </cell>
        </row>
        <row r="113">
          <cell r="E113" t="str">
            <v>Decrease / (Increase) in A/R</v>
          </cell>
          <cell r="F113">
            <v>-2936.6769999999997</v>
          </cell>
          <cell r="G113">
            <v>-2681.9524357227165</v>
          </cell>
          <cell r="H113">
            <v>-2806.5131312635531</v>
          </cell>
          <cell r="I113">
            <v>-3178.2312024048988</v>
          </cell>
          <cell r="J113">
            <v>-3600.4069871315332</v>
          </cell>
          <cell r="K113">
            <v>-4080.5835235560226</v>
          </cell>
        </row>
        <row r="114">
          <cell r="E114" t="str">
            <v>Decrease / (Increase) in Inventory</v>
          </cell>
          <cell r="F114">
            <v>-26724.11</v>
          </cell>
          <cell r="G114">
            <v>4624.2914458120649</v>
          </cell>
          <cell r="H114">
            <v>-2127.5462488768389</v>
          </cell>
          <cell r="I114">
            <v>-9452.9200839252735</v>
          </cell>
          <cell r="J114">
            <v>-10575.329640823242</v>
          </cell>
          <cell r="K114">
            <v>-11840.387336022774</v>
          </cell>
        </row>
        <row r="115">
          <cell r="E115" t="str">
            <v>Increase / (Decrease) in A/P</v>
          </cell>
          <cell r="F115">
            <v>12625.804</v>
          </cell>
          <cell r="G115">
            <v>3889.8384335224837</v>
          </cell>
          <cell r="H115">
            <v>4391.3171376010359</v>
          </cell>
          <cell r="I115">
            <v>4935.9682044830406</v>
          </cell>
          <cell r="J115">
            <v>5550.1218620352738</v>
          </cell>
          <cell r="K115">
            <v>6243.7872602662319</v>
          </cell>
        </row>
        <row r="116">
          <cell r="E116" t="str">
            <v>Total</v>
          </cell>
          <cell r="F116">
            <v>-17034.983</v>
          </cell>
          <cell r="G116">
            <v>5832.1774436118321</v>
          </cell>
          <cell r="H116">
            <v>-542.74224253935608</v>
          </cell>
          <cell r="I116">
            <v>-7695.1830818471317</v>
          </cell>
          <cell r="J116">
            <v>-8625.6147659195012</v>
          </cell>
          <cell r="K116">
            <v>-9677.1835993125642</v>
          </cell>
        </row>
      </sheetData>
      <sheetData sheetId="14" refreshError="1">
        <row r="1">
          <cell r="A1" t="str">
            <v>Sales</v>
          </cell>
        </row>
        <row r="2">
          <cell r="B2">
            <v>1994</v>
          </cell>
          <cell r="C2">
            <v>1995</v>
          </cell>
          <cell r="D2">
            <v>1996</v>
          </cell>
          <cell r="E2">
            <v>1997</v>
          </cell>
          <cell r="F2">
            <v>1998</v>
          </cell>
          <cell r="G2">
            <v>1999</v>
          </cell>
          <cell r="H2">
            <v>2000</v>
          </cell>
          <cell r="I2">
            <v>2001</v>
          </cell>
          <cell r="J2">
            <v>2002</v>
          </cell>
          <cell r="K2">
            <v>2003</v>
          </cell>
          <cell r="L2" t="str">
            <v>2004E</v>
          </cell>
        </row>
        <row r="3">
          <cell r="A3" t="str">
            <v>Tires</v>
          </cell>
          <cell r="B3">
            <v>68422.822</v>
          </cell>
          <cell r="C3">
            <v>81802.369000000006</v>
          </cell>
          <cell r="D3">
            <v>100249.84899999999</v>
          </cell>
          <cell r="E3">
            <v>111727.95699999999</v>
          </cell>
          <cell r="F3">
            <v>123852.72899999999</v>
          </cell>
          <cell r="G3">
            <v>159278.90299999999</v>
          </cell>
          <cell r="H3">
            <v>205792.86249</v>
          </cell>
          <cell r="I3">
            <v>253552.89049000002</v>
          </cell>
          <cell r="J3">
            <v>292126.35200000001</v>
          </cell>
          <cell r="K3">
            <v>331419.24836999999</v>
          </cell>
          <cell r="L3">
            <v>374959.97161000001</v>
          </cell>
        </row>
        <row r="4">
          <cell r="A4" t="str">
            <v>Wheels</v>
          </cell>
          <cell r="B4">
            <v>16682.366999999998</v>
          </cell>
          <cell r="C4">
            <v>18211.904000000002</v>
          </cell>
          <cell r="D4">
            <v>20478.745000000003</v>
          </cell>
          <cell r="E4">
            <v>20795.241999999998</v>
          </cell>
          <cell r="F4">
            <v>23678.703000000001</v>
          </cell>
          <cell r="G4">
            <v>28841.605</v>
          </cell>
          <cell r="H4">
            <v>39194.410749999995</v>
          </cell>
          <cell r="I4">
            <v>43001.088775931632</v>
          </cell>
          <cell r="J4">
            <v>50443.445988682884</v>
          </cell>
          <cell r="K4">
            <v>52272.845580000001</v>
          </cell>
          <cell r="L4">
            <v>52335.303069999994</v>
          </cell>
        </row>
        <row r="5">
          <cell r="A5" t="str">
            <v>Accessories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5150.2028840683706</v>
          </cell>
          <cell r="J5">
            <v>8022.9831113171158</v>
          </cell>
          <cell r="K5">
            <v>12202.759460000001</v>
          </cell>
          <cell r="L5">
            <v>13390.323399999997</v>
          </cell>
        </row>
        <row r="18">
          <cell r="A18" t="str">
            <v>Accessories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5150.2028840683706</v>
          </cell>
          <cell r="J18">
            <v>8022.9831113171158</v>
          </cell>
          <cell r="K18">
            <v>12202.759460000001</v>
          </cell>
          <cell r="L18">
            <v>13390.323399999997</v>
          </cell>
        </row>
        <row r="19">
          <cell r="A19" t="str">
            <v>Margins</v>
          </cell>
        </row>
        <row r="20">
          <cell r="B20">
            <v>1994</v>
          </cell>
          <cell r="C20">
            <v>1995</v>
          </cell>
          <cell r="D20">
            <v>1996</v>
          </cell>
          <cell r="E20">
            <v>1997</v>
          </cell>
          <cell r="F20">
            <v>1998</v>
          </cell>
          <cell r="G20">
            <v>1999</v>
          </cell>
          <cell r="H20">
            <v>2000</v>
          </cell>
          <cell r="I20">
            <v>2001</v>
          </cell>
          <cell r="J20">
            <v>2002</v>
          </cell>
          <cell r="K20">
            <v>2003</v>
          </cell>
          <cell r="L20" t="str">
            <v>2004E</v>
          </cell>
        </row>
        <row r="21">
          <cell r="A21" t="str">
            <v>Tires</v>
          </cell>
          <cell r="B21">
            <v>0.13121005152345225</v>
          </cell>
          <cell r="C21">
            <v>0.12480823140953302</v>
          </cell>
          <cell r="D21">
            <v>0.14080166843942071</v>
          </cell>
          <cell r="E21">
            <v>0.15034698969748458</v>
          </cell>
          <cell r="F21">
            <v>0.15016923317046968</v>
          </cell>
          <cell r="G21">
            <v>0.14515975791219499</v>
          </cell>
          <cell r="H21">
            <v>0.15122623604845509</v>
          </cell>
          <cell r="I21">
            <v>0.16000862806807595</v>
          </cell>
          <cell r="J21">
            <v>0.15885292727716657</v>
          </cell>
          <cell r="K21">
            <v>0.16063312955367548</v>
          </cell>
          <cell r="L21">
            <v>0.15778213094579349</v>
          </cell>
        </row>
        <row r="22">
          <cell r="A22" t="str">
            <v>Wheels</v>
          </cell>
          <cell r="B22">
            <v>0.2866636371205597</v>
          </cell>
          <cell r="C22">
            <v>0.26998599377637839</v>
          </cell>
          <cell r="D22">
            <v>0.2669044904851347</v>
          </cell>
          <cell r="E22">
            <v>0.28858529273186634</v>
          </cell>
          <cell r="F22">
            <v>0.29424580898708846</v>
          </cell>
          <cell r="G22">
            <v>0.30241014673073841</v>
          </cell>
          <cell r="H22">
            <v>0.33043835287152529</v>
          </cell>
          <cell r="I22">
            <v>0.32986158498352314</v>
          </cell>
          <cell r="J22">
            <v>0.29995642058836414</v>
          </cell>
          <cell r="K22">
            <v>0.27511790434271594</v>
          </cell>
          <cell r="L22">
            <v>0.29175555665698755</v>
          </cell>
        </row>
        <row r="23">
          <cell r="A23" t="str">
            <v>Accessories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0.28053811332820233</v>
          </cell>
          <cell r="J23">
            <v>0.32262562106618636</v>
          </cell>
          <cell r="K23">
            <v>0.34646121919049949</v>
          </cell>
          <cell r="L23">
            <v>0.33304408540274683</v>
          </cell>
        </row>
        <row r="39">
          <cell r="A39" t="str">
            <v>Accessories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0.28053811332820233</v>
          </cell>
          <cell r="J39">
            <v>0.32262562106618636</v>
          </cell>
          <cell r="K39">
            <v>0.34646121919049949</v>
          </cell>
          <cell r="L39">
            <v>0.33304408540274683</v>
          </cell>
        </row>
        <row r="40">
          <cell r="E40" t="str">
            <v>2000A</v>
          </cell>
          <cell r="F40" t="str">
            <v>2001A</v>
          </cell>
          <cell r="G40" t="str">
            <v>2002A</v>
          </cell>
          <cell r="H40" t="str">
            <v>2003A</v>
          </cell>
          <cell r="I40" t="str">
            <v>2004E</v>
          </cell>
          <cell r="J40" t="str">
            <v>2005P</v>
          </cell>
          <cell r="K40" t="str">
            <v>2006P</v>
          </cell>
          <cell r="L40" t="str">
            <v>2007P</v>
          </cell>
          <cell r="M40" t="str">
            <v>2008P</v>
          </cell>
          <cell r="N40" t="str">
            <v>2009P</v>
          </cell>
        </row>
        <row r="41">
          <cell r="D41" t="str">
            <v>Tire Sales (in thousands)</v>
          </cell>
          <cell r="E41">
            <v>205792.86249</v>
          </cell>
          <cell r="F41">
            <v>253552.89049000002</v>
          </cell>
          <cell r="G41">
            <v>292126.35200000001</v>
          </cell>
          <cell r="H41">
            <v>331419.24836999999</v>
          </cell>
          <cell r="I41">
            <v>374959.97161000001</v>
          </cell>
          <cell r="J41">
            <v>421507.67326104181</v>
          </cell>
          <cell r="K41">
            <v>473246.23135272268</v>
          </cell>
          <cell r="L41">
            <v>531629.14286623208</v>
          </cell>
          <cell r="M41">
            <v>597526.91058935411</v>
          </cell>
          <cell r="N41">
            <v>671924.25188649341</v>
          </cell>
          <cell r="O41">
            <v>0</v>
          </cell>
          <cell r="P41">
            <v>0</v>
          </cell>
          <cell r="Q41">
            <v>0</v>
          </cell>
          <cell r="R41">
            <v>1994</v>
          </cell>
          <cell r="S41">
            <v>1995</v>
          </cell>
          <cell r="T41">
            <v>1996</v>
          </cell>
          <cell r="U41">
            <v>1997</v>
          </cell>
          <cell r="V41">
            <v>1998</v>
          </cell>
          <cell r="W41">
            <v>1999</v>
          </cell>
          <cell r="X41">
            <v>2000</v>
          </cell>
          <cell r="Y41">
            <v>2001</v>
          </cell>
          <cell r="Z41">
            <v>2002</v>
          </cell>
          <cell r="AA41">
            <v>2003</v>
          </cell>
          <cell r="AB41" t="str">
            <v>2004E</v>
          </cell>
        </row>
        <row r="42">
          <cell r="D42" t="str">
            <v>Gross Margin</v>
          </cell>
          <cell r="E42">
            <v>0.15122623604845509</v>
          </cell>
          <cell r="F42">
            <v>0.16000862806807595</v>
          </cell>
          <cell r="G42">
            <v>0.15885292727716657</v>
          </cell>
          <cell r="H42">
            <v>0.16063312955367548</v>
          </cell>
          <cell r="I42">
            <v>0.15778213094579349</v>
          </cell>
          <cell r="J42">
            <v>0.15184246113842781</v>
          </cell>
          <cell r="K42">
            <v>0.15160202660252839</v>
          </cell>
          <cell r="L42">
            <v>0.15134920926345544</v>
          </cell>
          <cell r="M42">
            <v>0.15108504168601744</v>
          </cell>
          <cell r="N42">
            <v>0.15081056811534091</v>
          </cell>
          <cell r="O42">
            <v>0</v>
          </cell>
          <cell r="P42">
            <v>0</v>
          </cell>
          <cell r="Q42" t="str">
            <v>Revenue (in thousands)</v>
          </cell>
          <cell r="R42">
            <v>91643.911999999997</v>
          </cell>
          <cell r="S42">
            <v>107131.27700000002</v>
          </cell>
          <cell r="T42">
            <v>130345.81699999998</v>
          </cell>
          <cell r="U42">
            <v>147488.01300000001</v>
          </cell>
          <cell r="V42">
            <v>163953.95300000001</v>
          </cell>
          <cell r="W42">
            <v>207988.50599999999</v>
          </cell>
          <cell r="X42">
            <v>267828.31935000001</v>
          </cell>
          <cell r="Y42">
            <v>327527.75358000002</v>
          </cell>
          <cell r="Z42">
            <v>382154.50950999995</v>
          </cell>
          <cell r="AA42">
            <v>431620.73093999998</v>
          </cell>
          <cell r="AB42">
            <v>478909.20870000002</v>
          </cell>
        </row>
        <row r="59">
          <cell r="D59" t="str">
            <v>Gross Margin</v>
          </cell>
          <cell r="E59">
            <v>0.15122623604845509</v>
          </cell>
          <cell r="F59">
            <v>0.16000862806807595</v>
          </cell>
          <cell r="G59">
            <v>0.15885292727716657</v>
          </cell>
          <cell r="H59">
            <v>0.16063312955367548</v>
          </cell>
          <cell r="I59">
            <v>0.15778213094579349</v>
          </cell>
          <cell r="J59">
            <v>0.15184246113842781</v>
          </cell>
          <cell r="K59">
            <v>0.15160202660252839</v>
          </cell>
          <cell r="L59">
            <v>0.15134920926345544</v>
          </cell>
          <cell r="M59">
            <v>0.15108504168601744</v>
          </cell>
          <cell r="N59">
            <v>0.15081056811534091</v>
          </cell>
          <cell r="O59">
            <v>0</v>
          </cell>
          <cell r="P59">
            <v>0</v>
          </cell>
          <cell r="Q59" t="str">
            <v>Revenue (in thousands)</v>
          </cell>
          <cell r="R59">
            <v>91643.911999999997</v>
          </cell>
          <cell r="S59">
            <v>107131.27700000002</v>
          </cell>
          <cell r="T59">
            <v>130345.81699999998</v>
          </cell>
          <cell r="U59">
            <v>147488.01300000001</v>
          </cell>
          <cell r="V59">
            <v>163953.95300000001</v>
          </cell>
          <cell r="W59">
            <v>207988.50599999999</v>
          </cell>
          <cell r="X59">
            <v>267828.31935000001</v>
          </cell>
          <cell r="Y59">
            <v>327527.75358000002</v>
          </cell>
          <cell r="Z59">
            <v>382154.50950999995</v>
          </cell>
          <cell r="AA59">
            <v>431620.73093999998</v>
          </cell>
          <cell r="AB59">
            <v>478909.20870000002</v>
          </cell>
        </row>
        <row r="60">
          <cell r="E60" t="str">
            <v>2000A</v>
          </cell>
          <cell r="F60" t="str">
            <v>2001A</v>
          </cell>
          <cell r="G60" t="str">
            <v>2002A</v>
          </cell>
          <cell r="H60" t="str">
            <v>2003A</v>
          </cell>
          <cell r="I60" t="str">
            <v>2004E</v>
          </cell>
          <cell r="J60" t="str">
            <v>2005P</v>
          </cell>
          <cell r="K60" t="str">
            <v>2006P</v>
          </cell>
          <cell r="L60" t="str">
            <v>2007P</v>
          </cell>
          <cell r="M60" t="str">
            <v>2008P</v>
          </cell>
          <cell r="N60" t="str">
            <v>2009P</v>
          </cell>
        </row>
        <row r="61">
          <cell r="D61" t="str">
            <v>Wholesale tire sales (in thousands)</v>
          </cell>
          <cell r="E61">
            <v>132962.2691</v>
          </cell>
          <cell r="F61">
            <v>159544.67511000001</v>
          </cell>
          <cell r="G61">
            <v>172127.19077000002</v>
          </cell>
          <cell r="H61">
            <v>185427.47263999999</v>
          </cell>
          <cell r="I61">
            <v>220034.91929999998</v>
          </cell>
          <cell r="J61">
            <v>250495.4098765722</v>
          </cell>
          <cell r="K61">
            <v>282096.73300076806</v>
          </cell>
          <cell r="L61">
            <v>317958.45090935129</v>
          </cell>
          <cell r="M61">
            <v>358667.47507736832</v>
          </cell>
          <cell r="N61">
            <v>404891.05054981646</v>
          </cell>
        </row>
        <row r="62">
          <cell r="D62" t="str">
            <v>Wholesale tire margin</v>
          </cell>
          <cell r="E62">
            <v>0.12532438490100958</v>
          </cell>
          <cell r="F62">
            <v>0.13038497768799384</v>
          </cell>
          <cell r="G62">
            <v>0.1251822145217712</v>
          </cell>
          <cell r="H62">
            <v>0.12268164153952184</v>
          </cell>
          <cell r="I62">
            <v>0.1224211507534476</v>
          </cell>
          <cell r="J62">
            <v>0.11496843147439322</v>
          </cell>
          <cell r="K62">
            <v>0.1148375280994169</v>
          </cell>
          <cell r="L62">
            <v>0.11471572749339955</v>
          </cell>
          <cell r="M62">
            <v>0.11460257034405964</v>
          </cell>
          <cell r="N62">
            <v>0.11449759099252621</v>
          </cell>
        </row>
        <row r="76">
          <cell r="D76" t="str">
            <v>Wholesale tire margin</v>
          </cell>
          <cell r="E76">
            <v>0.12532438490100958</v>
          </cell>
          <cell r="F76">
            <v>0.13038497768799384</v>
          </cell>
          <cell r="G76">
            <v>0.1251822145217712</v>
          </cell>
          <cell r="H76">
            <v>0.12268164153952184</v>
          </cell>
          <cell r="I76">
            <v>0.1224211507534476</v>
          </cell>
          <cell r="J76">
            <v>0.11496843147439322</v>
          </cell>
          <cell r="K76">
            <v>0.1148375280994169</v>
          </cell>
          <cell r="L76">
            <v>0.11471572749339955</v>
          </cell>
          <cell r="M76">
            <v>0.11460257034405964</v>
          </cell>
          <cell r="N76">
            <v>0.11449759099252621</v>
          </cell>
        </row>
        <row r="77">
          <cell r="E77" t="str">
            <v>2000A</v>
          </cell>
          <cell r="F77" t="str">
            <v>2001A</v>
          </cell>
          <cell r="G77" t="str">
            <v>2002A</v>
          </cell>
          <cell r="H77" t="str">
            <v>2003A</v>
          </cell>
          <cell r="I77" t="str">
            <v>2004E</v>
          </cell>
          <cell r="J77" t="str">
            <v>2005P</v>
          </cell>
          <cell r="K77" t="str">
            <v>2006P</v>
          </cell>
          <cell r="L77" t="str">
            <v>2007P</v>
          </cell>
          <cell r="M77" t="str">
            <v>2008P</v>
          </cell>
          <cell r="N77" t="str">
            <v>2009P</v>
          </cell>
        </row>
        <row r="78">
          <cell r="D78" t="str">
            <v>Retail tire sales (in thousands)</v>
          </cell>
          <cell r="E78">
            <v>72830.593389999995</v>
          </cell>
          <cell r="F78">
            <v>94008.215380000009</v>
          </cell>
          <cell r="G78">
            <v>119999.16122999998</v>
          </cell>
          <cell r="H78">
            <v>145991.77572999999</v>
          </cell>
          <cell r="I78">
            <v>154925.05231</v>
          </cell>
          <cell r="J78">
            <v>171012.26338446961</v>
          </cell>
          <cell r="K78">
            <v>191149.49835195462</v>
          </cell>
          <cell r="L78">
            <v>213670.69195688082</v>
          </cell>
          <cell r="M78">
            <v>238859.43551198579</v>
          </cell>
          <cell r="N78">
            <v>267033.20133667695</v>
          </cell>
        </row>
        <row r="79">
          <cell r="D79" t="str">
            <v>Retail tire margin</v>
          </cell>
          <cell r="E79">
            <v>0.19851362919123391</v>
          </cell>
          <cell r="F79">
            <v>0.21028397534871313</v>
          </cell>
          <cell r="G79">
            <v>0.20715030817886651</v>
          </cell>
          <cell r="H79">
            <v>0.20883617708976818</v>
          </cell>
          <cell r="I79">
            <v>0.20800415964275881</v>
          </cell>
          <cell r="J79">
            <v>0.20585481669521685</v>
          </cell>
          <cell r="K79">
            <v>0.20585874716709637</v>
          </cell>
          <cell r="L79">
            <v>0.20586265239571958</v>
          </cell>
          <cell r="M79">
            <v>0.20586653211680186</v>
          </cell>
          <cell r="N79">
            <v>0.20587038607898991</v>
          </cell>
        </row>
        <row r="80">
          <cell r="P80">
            <v>4862.0809999999956</v>
          </cell>
          <cell r="Q80">
            <v>0</v>
          </cell>
          <cell r="R80">
            <v>1994</v>
          </cell>
          <cell r="S80">
            <v>1995</v>
          </cell>
          <cell r="T80">
            <v>1996</v>
          </cell>
          <cell r="U80">
            <v>1997</v>
          </cell>
          <cell r="V80">
            <v>1998</v>
          </cell>
          <cell r="W80">
            <v>1999</v>
          </cell>
          <cell r="X80">
            <v>2000</v>
          </cell>
          <cell r="Y80">
            <v>2001</v>
          </cell>
          <cell r="Z80">
            <v>2002</v>
          </cell>
          <cell r="AA80">
            <v>2003</v>
          </cell>
          <cell r="AB80" t="str">
            <v>2004E</v>
          </cell>
        </row>
        <row r="81">
          <cell r="Q81" t="str">
            <v>EBITDA (in thousands)</v>
          </cell>
          <cell r="R81">
            <v>6517.6380000000026</v>
          </cell>
          <cell r="S81">
            <v>6408.4420000000246</v>
          </cell>
          <cell r="T81">
            <v>9829.3629999999848</v>
          </cell>
          <cell r="U81">
            <v>11838.001000000004</v>
          </cell>
          <cell r="V81">
            <v>13103.910709999995</v>
          </cell>
          <cell r="W81">
            <v>17070.70594999997</v>
          </cell>
          <cell r="X81">
            <v>26136.231840000015</v>
          </cell>
          <cell r="Y81">
            <v>31918.366660000022</v>
          </cell>
          <cell r="Z81">
            <v>38999.712519999928</v>
          </cell>
          <cell r="AA81">
            <v>45724.60121999996</v>
          </cell>
          <cell r="AB81">
            <v>57717.065960000007</v>
          </cell>
        </row>
        <row r="94">
          <cell r="Q94" t="str">
            <v>EBITDA (in thousands)</v>
          </cell>
          <cell r="R94">
            <v>6517.6380000000026</v>
          </cell>
          <cell r="S94">
            <v>6408.4420000000246</v>
          </cell>
          <cell r="T94">
            <v>9829.3629999999848</v>
          </cell>
          <cell r="U94">
            <v>11838.001000000004</v>
          </cell>
          <cell r="V94">
            <v>13103.910709999995</v>
          </cell>
          <cell r="W94">
            <v>17070.70594999997</v>
          </cell>
          <cell r="X94">
            <v>26136.231840000015</v>
          </cell>
          <cell r="Y94">
            <v>31918.366660000022</v>
          </cell>
          <cell r="Z94">
            <v>38999.712519999928</v>
          </cell>
          <cell r="AA94">
            <v>45724.60121999996</v>
          </cell>
          <cell r="AB94">
            <v>57717.065960000007</v>
          </cell>
        </row>
        <row r="95">
          <cell r="E95" t="str">
            <v>2000A</v>
          </cell>
          <cell r="F95" t="str">
            <v>2001A</v>
          </cell>
          <cell r="G95" t="str">
            <v>2002A</v>
          </cell>
          <cell r="H95" t="str">
            <v>2003A</v>
          </cell>
          <cell r="I95" t="str">
            <v>2004E</v>
          </cell>
          <cell r="J95" t="str">
            <v>2005P</v>
          </cell>
          <cell r="K95" t="str">
            <v>2006P</v>
          </cell>
          <cell r="L95" t="str">
            <v>2007P</v>
          </cell>
          <cell r="M95" t="str">
            <v>2008P</v>
          </cell>
          <cell r="N95" t="str">
            <v>2009P</v>
          </cell>
        </row>
        <row r="96">
          <cell r="D96" t="str">
            <v>Wheel sales (in thousands)</v>
          </cell>
          <cell r="E96">
            <v>39194.410749999995</v>
          </cell>
          <cell r="F96">
            <v>43001.088775931632</v>
          </cell>
          <cell r="G96">
            <v>50443.445988682884</v>
          </cell>
          <cell r="H96">
            <v>52272.845580000001</v>
          </cell>
          <cell r="I96">
            <v>52335.303069999994</v>
          </cell>
          <cell r="J96">
            <v>54787.233671967508</v>
          </cell>
          <cell r="K96">
            <v>57204.419904019043</v>
          </cell>
          <cell r="L96">
            <v>59773.999126126277</v>
          </cell>
          <cell r="M96">
            <v>62471.387808903448</v>
          </cell>
          <cell r="N96">
            <v>65302.810067314989</v>
          </cell>
        </row>
        <row r="97">
          <cell r="D97" t="str">
            <v>Wheel margins</v>
          </cell>
          <cell r="E97">
            <v>0.33043835287152529</v>
          </cell>
          <cell r="F97">
            <v>0.32986158498352314</v>
          </cell>
          <cell r="G97">
            <v>0.29995642058836414</v>
          </cell>
          <cell r="H97">
            <v>0.27511790434271594</v>
          </cell>
          <cell r="I97">
            <v>0.29175555665698755</v>
          </cell>
          <cell r="J97">
            <v>0.29135636348046084</v>
          </cell>
          <cell r="K97">
            <v>0.29092917415810227</v>
          </cell>
          <cell r="L97">
            <v>0.29044753416736691</v>
          </cell>
          <cell r="M97">
            <v>0.28998773840436992</v>
          </cell>
          <cell r="N97">
            <v>0.28954889131183559</v>
          </cell>
        </row>
        <row r="111">
          <cell r="D111" t="str">
            <v>Wheel margins</v>
          </cell>
          <cell r="E111">
            <v>0.33043835287152529</v>
          </cell>
          <cell r="F111">
            <v>0.32986158498352314</v>
          </cell>
          <cell r="G111">
            <v>0.29995642058836414</v>
          </cell>
          <cell r="H111">
            <v>0.27511790434271594</v>
          </cell>
          <cell r="I111">
            <v>0.29175555665698755</v>
          </cell>
          <cell r="J111">
            <v>0.29135636348046084</v>
          </cell>
          <cell r="K111">
            <v>0.29092917415810227</v>
          </cell>
          <cell r="L111">
            <v>0.29044753416736691</v>
          </cell>
          <cell r="M111">
            <v>0.28998773840436992</v>
          </cell>
          <cell r="N111">
            <v>0.28954889131183559</v>
          </cell>
        </row>
        <row r="112">
          <cell r="E112" t="str">
            <v>2000A</v>
          </cell>
          <cell r="F112" t="str">
            <v>2001A</v>
          </cell>
          <cell r="G112" t="str">
            <v>2002A</v>
          </cell>
          <cell r="H112" t="str">
            <v>2003A</v>
          </cell>
          <cell r="I112" t="str">
            <v>2004E</v>
          </cell>
          <cell r="J112" t="str">
            <v>2005P</v>
          </cell>
          <cell r="K112" t="str">
            <v>2006P</v>
          </cell>
          <cell r="L112" t="str">
            <v>2007P</v>
          </cell>
          <cell r="M112" t="str">
            <v>2008P</v>
          </cell>
          <cell r="N112" t="str">
            <v>2009P</v>
          </cell>
        </row>
        <row r="113">
          <cell r="D113" t="str">
            <v>Wholesale wheel sales (in thousands)</v>
          </cell>
          <cell r="E113">
            <v>17870.343219999999</v>
          </cell>
          <cell r="F113">
            <v>19349.260534886409</v>
          </cell>
          <cell r="G113">
            <v>22797.895476852831</v>
          </cell>
          <cell r="H113">
            <v>22996.387039999998</v>
          </cell>
          <cell r="I113">
            <v>22507.44414</v>
          </cell>
          <cell r="J113">
            <v>23375.711843686502</v>
          </cell>
          <cell r="K113">
            <v>24419.242733452687</v>
          </cell>
          <cell r="L113">
            <v>25547.386289654441</v>
          </cell>
          <cell r="M113">
            <v>26731.302814290633</v>
          </cell>
          <cell r="N113">
            <v>27973.711657460219</v>
          </cell>
        </row>
        <row r="114">
          <cell r="D114" t="str">
            <v>Wholesale wheel margins</v>
          </cell>
          <cell r="E114">
            <v>0.24984094121948275</v>
          </cell>
          <cell r="F114">
            <v>0.24408598821129637</v>
          </cell>
          <cell r="G114">
            <v>0.21276183934379148</v>
          </cell>
          <cell r="H114">
            <v>0.17967675934541083</v>
          </cell>
          <cell r="I114">
            <v>0.19996870564528701</v>
          </cell>
          <cell r="J114">
            <v>0.1990154354451531</v>
          </cell>
          <cell r="K114">
            <v>0.19866506148188218</v>
          </cell>
          <cell r="L114">
            <v>0.19830295112008509</v>
          </cell>
          <cell r="M114">
            <v>0.19795732844667413</v>
          </cell>
          <cell r="N114">
            <v>0.19762744595789913</v>
          </cell>
        </row>
        <row r="116">
          <cell r="D116" t="str">
            <v>Wholesale wheel margins</v>
          </cell>
          <cell r="E116">
            <v>0.24984094121948275</v>
          </cell>
          <cell r="F116">
            <v>0.24408598821129637</v>
          </cell>
          <cell r="G116">
            <v>0.21276183934379148</v>
          </cell>
          <cell r="H116">
            <v>0.17967675934541083</v>
          </cell>
          <cell r="I116">
            <v>0.19996870564528701</v>
          </cell>
          <cell r="J116">
            <v>0.1990154354451531</v>
          </cell>
          <cell r="K116">
            <v>0.19866506148188218</v>
          </cell>
          <cell r="L116">
            <v>0.19830295112008509</v>
          </cell>
          <cell r="M116">
            <v>0.19795732844667413</v>
          </cell>
          <cell r="N116">
            <v>0.19762744595789913</v>
          </cell>
        </row>
        <row r="117">
          <cell r="R117">
            <v>1994</v>
          </cell>
          <cell r="S117">
            <v>1995</v>
          </cell>
          <cell r="T117">
            <v>1996</v>
          </cell>
          <cell r="U117">
            <v>1997</v>
          </cell>
          <cell r="V117">
            <v>1998</v>
          </cell>
          <cell r="W117">
            <v>1999</v>
          </cell>
          <cell r="X117">
            <v>2000</v>
          </cell>
          <cell r="Y117">
            <v>2001</v>
          </cell>
          <cell r="Z117">
            <v>2002</v>
          </cell>
          <cell r="AA117">
            <v>2003</v>
          </cell>
          <cell r="AB117" t="str">
            <v>2004E</v>
          </cell>
        </row>
        <row r="118">
          <cell r="Q118" t="str">
            <v>Gross Margin</v>
          </cell>
          <cell r="R118">
            <v>0.18923015857289027</v>
          </cell>
          <cell r="S118">
            <v>0.17762926507447513</v>
          </cell>
          <cell r="T118">
            <v>0.18921673566248765</v>
          </cell>
          <cell r="U118">
            <v>0.19492825494909885</v>
          </cell>
          <cell r="V118">
            <v>0.19558695519832933</v>
          </cell>
          <cell r="W118">
            <v>0.19339791305583001</v>
          </cell>
          <cell r="X118">
            <v>0.20242680569245791</v>
          </cell>
          <cell r="Y118">
            <v>0.20620358507574149</v>
          </cell>
          <cell r="Z118">
            <v>0.20803781145923453</v>
          </cell>
          <cell r="AA118">
            <v>0.20511005573619345</v>
          </cell>
          <cell r="AB118">
            <v>0.21193024282307982</v>
          </cell>
        </row>
        <row r="119">
          <cell r="Q119" t="str">
            <v>EBITDA Margin</v>
          </cell>
          <cell r="R119">
            <v>7.1119159557483783E-2</v>
          </cell>
          <cell r="S119">
            <v>5.9818590606364408E-2</v>
          </cell>
          <cell r="T119">
            <v>7.5409884461424534E-2</v>
          </cell>
          <cell r="U119">
            <v>8.0264156789474156E-2</v>
          </cell>
          <cell r="V119">
            <v>7.9924335279674491E-2</v>
          </cell>
          <cell r="W119">
            <v>8.2075237128728509E-2</v>
          </cell>
          <cell r="X119">
            <v>9.7585766521743347E-2</v>
          </cell>
          <cell r="Y119">
            <v>9.7452403074610977E-2</v>
          </cell>
          <cell r="Z119">
            <v>0.10205221068830383</v>
          </cell>
          <cell r="AA119">
            <v>0.10593699037675783</v>
          </cell>
          <cell r="AB119">
            <v>0.12051776184607746</v>
          </cell>
        </row>
        <row r="127">
          <cell r="Q127" t="str">
            <v>EBITDA Margin</v>
          </cell>
          <cell r="R127">
            <v>7.1119159557483783E-2</v>
          </cell>
          <cell r="S127">
            <v>5.9818590606364408E-2</v>
          </cell>
          <cell r="T127">
            <v>7.5409884461424534E-2</v>
          </cell>
          <cell r="U127">
            <v>8.0264156789474156E-2</v>
          </cell>
          <cell r="V127">
            <v>7.9924335279674491E-2</v>
          </cell>
          <cell r="W127">
            <v>8.2075237128728509E-2</v>
          </cell>
          <cell r="X127">
            <v>9.7585766521743347E-2</v>
          </cell>
          <cell r="Y127">
            <v>9.7452403074610977E-2</v>
          </cell>
          <cell r="Z127">
            <v>0.10205221068830383</v>
          </cell>
          <cell r="AA127">
            <v>0.10593699037675783</v>
          </cell>
          <cell r="AB127">
            <v>0.12051776184607746</v>
          </cell>
        </row>
        <row r="128">
          <cell r="E128" t="str">
            <v>2000A</v>
          </cell>
          <cell r="F128" t="str">
            <v>2001A</v>
          </cell>
          <cell r="G128" t="str">
            <v>2002A</v>
          </cell>
          <cell r="H128" t="str">
            <v>2003A</v>
          </cell>
          <cell r="I128" t="str">
            <v>2004E</v>
          </cell>
          <cell r="J128" t="str">
            <v>2005P</v>
          </cell>
          <cell r="K128" t="str">
            <v>2006P</v>
          </cell>
          <cell r="L128" t="str">
            <v>2007P</v>
          </cell>
          <cell r="M128" t="str">
            <v>2008P</v>
          </cell>
          <cell r="N128" t="str">
            <v>2009P</v>
          </cell>
        </row>
        <row r="129">
          <cell r="D129" t="str">
            <v>Retail wheel sales (in thousands)</v>
          </cell>
          <cell r="E129">
            <v>21324.06753</v>
          </cell>
          <cell r="F129">
            <v>23651.828241045223</v>
          </cell>
          <cell r="G129">
            <v>27645.550511830053</v>
          </cell>
          <cell r="H129">
            <v>29276.458540000003</v>
          </cell>
          <cell r="I129">
            <v>29827.858929999999</v>
          </cell>
          <cell r="J129">
            <v>31411.521828281002</v>
          </cell>
          <cell r="K129">
            <v>32785.177170566356</v>
          </cell>
          <cell r="L129">
            <v>34226.612836471832</v>
          </cell>
          <cell r="M129">
            <v>35740.084994612815</v>
          </cell>
          <cell r="N129">
            <v>37329.098409854771</v>
          </cell>
        </row>
        <row r="130">
          <cell r="D130" t="str">
            <v>Retail wheel margins</v>
          </cell>
          <cell r="E130">
            <v>0.39798191166204772</v>
          </cell>
          <cell r="F130">
            <v>0.40003351218367733</v>
          </cell>
          <cell r="G130">
            <v>0.37186140755945302</v>
          </cell>
          <cell r="H130">
            <v>0.35008603981238223</v>
          </cell>
          <cell r="I130">
            <v>0.36101588897854547</v>
          </cell>
          <cell r="J130">
            <v>0.3600742987951559</v>
          </cell>
          <cell r="K130">
            <v>0.35964985702358782</v>
          </cell>
          <cell r="L130">
            <v>0.35922598060187877</v>
          </cell>
          <cell r="M130">
            <v>0.35882061211111377</v>
          </cell>
          <cell r="N130">
            <v>0.35843306256171414</v>
          </cell>
        </row>
        <row r="145">
          <cell r="D145" t="str">
            <v>Retail wheel margins</v>
          </cell>
          <cell r="E145">
            <v>0.39798191166204772</v>
          </cell>
          <cell r="F145">
            <v>0.40003351218367733</v>
          </cell>
          <cell r="G145">
            <v>0.37186140755945302</v>
          </cell>
          <cell r="H145">
            <v>0.35008603981238223</v>
          </cell>
          <cell r="I145">
            <v>0.36101588897854547</v>
          </cell>
          <cell r="J145">
            <v>0.3600742987951559</v>
          </cell>
          <cell r="K145">
            <v>0.35964985702358782</v>
          </cell>
          <cell r="L145">
            <v>0.35922598060187877</v>
          </cell>
          <cell r="M145">
            <v>0.35882061211111377</v>
          </cell>
          <cell r="N145">
            <v>0.35843306256171414</v>
          </cell>
        </row>
        <row r="146">
          <cell r="E146" t="str">
            <v>2001A</v>
          </cell>
          <cell r="F146" t="str">
            <v>2002A</v>
          </cell>
          <cell r="G146" t="str">
            <v>2003A</v>
          </cell>
          <cell r="H146" t="str">
            <v>2004E</v>
          </cell>
          <cell r="I146" t="str">
            <v>2005P</v>
          </cell>
          <cell r="J146" t="str">
            <v>2006P</v>
          </cell>
          <cell r="K146" t="str">
            <v>2007P</v>
          </cell>
          <cell r="L146" t="str">
            <v>2008P</v>
          </cell>
          <cell r="M146" t="str">
            <v>2009P</v>
          </cell>
        </row>
        <row r="147">
          <cell r="D147" t="str">
            <v>Accessory sales (in thousands)</v>
          </cell>
          <cell r="E147">
            <v>5150.2028840683706</v>
          </cell>
          <cell r="F147">
            <v>8022.9831113171158</v>
          </cell>
          <cell r="G147">
            <v>12202.759460000001</v>
          </cell>
          <cell r="H147">
            <v>13390.323399999997</v>
          </cell>
          <cell r="I147">
            <v>13890.649277279997</v>
          </cell>
          <cell r="J147">
            <v>14580.682358643098</v>
          </cell>
          <cell r="K147">
            <v>15304.996624331809</v>
          </cell>
          <cell r="L147">
            <v>16065.295330545028</v>
          </cell>
          <cell r="M147">
            <v>16863.366366943741</v>
          </cell>
        </row>
        <row r="148">
          <cell r="D148" t="str">
            <v>Accessory margins</v>
          </cell>
          <cell r="E148">
            <v>0.28053811332820233</v>
          </cell>
          <cell r="F148">
            <v>0.32262562106618636</v>
          </cell>
          <cell r="G148">
            <v>0.34646121919049949</v>
          </cell>
          <cell r="H148">
            <v>0.33304408540274683</v>
          </cell>
          <cell r="I148">
            <v>0.33113989294278567</v>
          </cell>
          <cell r="J148">
            <v>0.3283794991159707</v>
          </cell>
          <cell r="K148">
            <v>0.328420310329957</v>
          </cell>
          <cell r="L148">
            <v>0.32846110781916293</v>
          </cell>
          <cell r="M148">
            <v>0.32850189157200038</v>
          </cell>
        </row>
        <row r="153">
          <cell r="D153" t="str">
            <v>Accessory margins</v>
          </cell>
          <cell r="E153">
            <v>0.28053811332820233</v>
          </cell>
          <cell r="F153">
            <v>0.32262562106618636</v>
          </cell>
          <cell r="G153">
            <v>0.34646121919049949</v>
          </cell>
          <cell r="H153">
            <v>0.33304408540274683</v>
          </cell>
          <cell r="I153">
            <v>0.33113989294278567</v>
          </cell>
          <cell r="J153">
            <v>0.3283794991159707</v>
          </cell>
          <cell r="K153">
            <v>0.328420310329957</v>
          </cell>
          <cell r="L153">
            <v>0.32846110781916293</v>
          </cell>
          <cell r="M153">
            <v>0.32850189157200038</v>
          </cell>
        </row>
        <row r="154">
          <cell r="R154" t="str">
            <v>2004E</v>
          </cell>
          <cell r="S154">
            <v>2005</v>
          </cell>
          <cell r="T154">
            <v>2006</v>
          </cell>
          <cell r="U154">
            <v>2007</v>
          </cell>
          <cell r="V154">
            <v>2008</v>
          </cell>
          <cell r="W154">
            <v>2009</v>
          </cell>
        </row>
        <row r="155">
          <cell r="Q155" t="str">
            <v>EBITDA (in thousands)</v>
          </cell>
          <cell r="R155">
            <v>57717.065960000007</v>
          </cell>
          <cell r="S155">
            <v>59891.307281798159</v>
          </cell>
          <cell r="T155">
            <v>65051.870548510466</v>
          </cell>
          <cell r="U155">
            <v>72837.170477919761</v>
          </cell>
          <cell r="V155">
            <v>81712.064339901102</v>
          </cell>
          <cell r="W155">
            <v>90884.63833215776</v>
          </cell>
          <cell r="X155">
            <v>9.5058315776515911E-2</v>
          </cell>
        </row>
        <row r="156">
          <cell r="Q156" t="str">
            <v>Margin</v>
          </cell>
          <cell r="R156">
            <v>0.12051776184607746</v>
          </cell>
          <cell r="S156">
            <v>0.11238491815661995</v>
          </cell>
          <cell r="T156">
            <v>0.10979756646076214</v>
          </cell>
          <cell r="U156">
            <v>0.11043072001496299</v>
          </cell>
          <cell r="V156">
            <v>0.1111679377687648</v>
          </cell>
          <cell r="W156">
            <v>0.11084450010252841</v>
          </cell>
        </row>
        <row r="164">
          <cell r="Q164" t="str">
            <v>Margin</v>
          </cell>
          <cell r="R164">
            <v>0.12051776184607746</v>
          </cell>
          <cell r="S164">
            <v>0.11238491815661995</v>
          </cell>
          <cell r="T164">
            <v>0.10979756646076214</v>
          </cell>
          <cell r="U164">
            <v>0.11043072001496299</v>
          </cell>
          <cell r="V164">
            <v>0.1111679377687648</v>
          </cell>
          <cell r="W164">
            <v>0.11084450010252841</v>
          </cell>
        </row>
        <row r="165">
          <cell r="E165" t="str">
            <v>2000A</v>
          </cell>
          <cell r="F165" t="str">
            <v>2001A</v>
          </cell>
          <cell r="G165" t="str">
            <v>2002A</v>
          </cell>
          <cell r="H165" t="str">
            <v>2003A</v>
          </cell>
          <cell r="I165" t="str">
            <v>2004E</v>
          </cell>
          <cell r="J165" t="str">
            <v>2005P</v>
          </cell>
          <cell r="K165" t="str">
            <v>2006P</v>
          </cell>
          <cell r="L165" t="str">
            <v>2007P</v>
          </cell>
          <cell r="M165" t="str">
            <v>2008P</v>
          </cell>
          <cell r="N165" t="str">
            <v>2009P</v>
          </cell>
        </row>
        <row r="166">
          <cell r="C166">
            <v>15211.637000000001</v>
          </cell>
          <cell r="D166" t="str">
            <v>Freight sales (in thousands)</v>
          </cell>
          <cell r="E166">
            <v>19651.258549999999</v>
          </cell>
          <cell r="F166">
            <v>24699.732640000002</v>
          </cell>
          <cell r="G166">
            <v>30948.798440000002</v>
          </cell>
          <cell r="H166">
            <v>34738.362209999999</v>
          </cell>
          <cell r="I166">
            <v>36844.461500000005</v>
          </cell>
          <cell r="J166">
            <v>41349.699031268465</v>
          </cell>
          <cell r="K166">
            <v>46058.391417825987</v>
          </cell>
          <cell r="L166">
            <v>51358.914870327972</v>
          </cell>
          <cell r="M166">
            <v>57325.178728201834</v>
          </cell>
          <cell r="N166">
            <v>64043.75616389975</v>
          </cell>
        </row>
        <row r="167">
          <cell r="D167" t="str">
            <v>Freight margins</v>
          </cell>
          <cell r="E167">
            <v>0.19560890363431727</v>
          </cell>
          <cell r="F167">
            <v>0.15370593379831843</v>
          </cell>
          <cell r="G167">
            <v>0.18908343570575162</v>
          </cell>
          <cell r="H167">
            <v>0.1879146714096053</v>
          </cell>
          <cell r="I167">
            <v>0.32576738080430351</v>
          </cell>
          <cell r="J167">
            <v>0.32612366505033441</v>
          </cell>
          <cell r="K167">
            <v>0.32612366505033452</v>
          </cell>
          <cell r="L167">
            <v>0.32612366505033435</v>
          </cell>
          <cell r="M167">
            <v>0.32612366505033424</v>
          </cell>
          <cell r="N167">
            <v>0.32612366505033441</v>
          </cell>
        </row>
        <row r="179">
          <cell r="D179" t="str">
            <v>Freight margins</v>
          </cell>
          <cell r="E179">
            <v>0.19560890363431727</v>
          </cell>
          <cell r="F179">
            <v>0.15370593379831843</v>
          </cell>
          <cell r="G179">
            <v>0.18908343570575162</v>
          </cell>
          <cell r="H179">
            <v>0.1879146714096053</v>
          </cell>
          <cell r="I179">
            <v>0.32576738080430351</v>
          </cell>
          <cell r="J179">
            <v>0.32612366505033441</v>
          </cell>
          <cell r="K179">
            <v>0.32612366505033452</v>
          </cell>
          <cell r="L179">
            <v>0.32612366505033435</v>
          </cell>
          <cell r="M179">
            <v>0.32612366505033424</v>
          </cell>
          <cell r="N179">
            <v>0.32612366505033441</v>
          </cell>
        </row>
        <row r="180">
          <cell r="F180" t="str">
            <v>2000A</v>
          </cell>
          <cell r="G180" t="str">
            <v>2001A</v>
          </cell>
          <cell r="H180" t="str">
            <v>2002A</v>
          </cell>
          <cell r="I180" t="str">
            <v>2003A</v>
          </cell>
          <cell r="J180" t="str">
            <v>2004E</v>
          </cell>
          <cell r="K180" t="str">
            <v>2005P</v>
          </cell>
          <cell r="L180" t="str">
            <v>2006P</v>
          </cell>
          <cell r="M180" t="str">
            <v>2007P</v>
          </cell>
          <cell r="N180" t="str">
            <v>2008P</v>
          </cell>
          <cell r="O180" t="str">
            <v>2009P</v>
          </cell>
        </row>
        <row r="181">
          <cell r="D181" t="str">
            <v>Freight sales growth</v>
          </cell>
          <cell r="E181">
            <v>0</v>
          </cell>
          <cell r="F181">
            <v>0.29185692177640044</v>
          </cell>
          <cell r="G181">
            <v>0.25690334678335414</v>
          </cell>
          <cell r="H181">
            <v>0.25300135394501977</v>
          </cell>
          <cell r="I181">
            <v>0.12244623252003706</v>
          </cell>
          <cell r="J181">
            <v>6.0627477981495925E-2</v>
          </cell>
          <cell r="K181">
            <v>0.12227719846763008</v>
          </cell>
          <cell r="L181">
            <v>0.11387488898037268</v>
          </cell>
          <cell r="M181">
            <v>0.11508268720063297</v>
          </cell>
          <cell r="N181">
            <v>0.11616802794485848</v>
          </cell>
          <cell r="O181">
            <v>0.117201159852514</v>
          </cell>
        </row>
        <row r="184">
          <cell r="D184" t="str">
            <v>Freight sales growth</v>
          </cell>
          <cell r="E184">
            <v>0</v>
          </cell>
          <cell r="F184">
            <v>0.29185692177640044</v>
          </cell>
          <cell r="G184">
            <v>0.25690334678335414</v>
          </cell>
          <cell r="H184">
            <v>0.25300135394501977</v>
          </cell>
          <cell r="I184">
            <v>0.12244623252003706</v>
          </cell>
          <cell r="J184">
            <v>6.0627477981495925E-2</v>
          </cell>
          <cell r="K184">
            <v>0.12227719846763008</v>
          </cell>
          <cell r="L184">
            <v>0.11387488898037268</v>
          </cell>
          <cell r="M184">
            <v>0.11508268720063297</v>
          </cell>
          <cell r="N184">
            <v>0.11616802794485848</v>
          </cell>
          <cell r="O184">
            <v>0.117201159852514</v>
          </cell>
        </row>
        <row r="185">
          <cell r="E185" t="str">
            <v>2000A</v>
          </cell>
          <cell r="F185" t="str">
            <v>2001A</v>
          </cell>
          <cell r="G185" t="str">
            <v>2002A</v>
          </cell>
          <cell r="H185" t="str">
            <v>2003A</v>
          </cell>
          <cell r="I185" t="str">
            <v>2004E</v>
          </cell>
          <cell r="J185" t="str">
            <v>2005P</v>
          </cell>
          <cell r="K185" t="str">
            <v>2006P</v>
          </cell>
          <cell r="L185" t="str">
            <v>2007P</v>
          </cell>
          <cell r="M185" t="str">
            <v>2008P</v>
          </cell>
          <cell r="N185" t="str">
            <v>2009P</v>
          </cell>
        </row>
        <row r="186">
          <cell r="D186" t="str">
            <v>Volume Bonus</v>
          </cell>
          <cell r="E186">
            <v>1767.3320000000158</v>
          </cell>
          <cell r="F186">
            <v>5062.6959999999799</v>
          </cell>
          <cell r="G186">
            <v>3582.7086199999794</v>
          </cell>
          <cell r="H186">
            <v>5860.2414099999633</v>
          </cell>
          <cell r="I186">
            <v>7459.1500000000024</v>
          </cell>
          <cell r="J186">
            <v>7459.15</v>
          </cell>
          <cell r="K186">
            <v>8329.3612326144557</v>
          </cell>
          <cell r="L186">
            <v>9355.4298818720126</v>
          </cell>
          <cell r="M186">
            <v>10513.801584628196</v>
          </cell>
          <cell r="N186">
            <v>11821.860881448516</v>
          </cell>
        </row>
        <row r="187">
          <cell r="D187" t="str">
            <v>% of COGS</v>
          </cell>
          <cell r="E187">
            <v>8.2735347557072268E-3</v>
          </cell>
          <cell r="F187">
            <v>1.947262993364975E-2</v>
          </cell>
          <cell r="G187">
            <v>1.1837719713559713E-2</v>
          </cell>
          <cell r="H187">
            <v>1.7080721361954942E-2</v>
          </cell>
          <cell r="I187">
            <v>1.9805092400893912E-2</v>
          </cell>
          <cell r="J187">
            <v>1.7707738851634739E-2</v>
          </cell>
          <cell r="K187">
            <v>1.775005847285269E-2</v>
          </cell>
          <cell r="L187">
            <v>1.787896050756653E-2</v>
          </cell>
          <cell r="M187">
            <v>1.8001401783546256E-2</v>
          </cell>
          <cell r="N187">
            <v>1.8117519391619562E-2</v>
          </cell>
        </row>
        <row r="202">
          <cell r="D202" t="str">
            <v>% of COGS</v>
          </cell>
          <cell r="E202">
            <v>8.2735347557072268E-3</v>
          </cell>
          <cell r="F202">
            <v>1.947262993364975E-2</v>
          </cell>
          <cell r="G202">
            <v>1.1837719713559713E-2</v>
          </cell>
          <cell r="H202">
            <v>1.7080721361954942E-2</v>
          </cell>
          <cell r="I202">
            <v>1.9805092400893912E-2</v>
          </cell>
          <cell r="J202">
            <v>1.7707738851634739E-2</v>
          </cell>
          <cell r="K202">
            <v>1.775005847285269E-2</v>
          </cell>
          <cell r="L202">
            <v>1.787896050756653E-2</v>
          </cell>
          <cell r="M202">
            <v>1.8001401783546256E-2</v>
          </cell>
          <cell r="N202">
            <v>1.8117519391619562E-2</v>
          </cell>
        </row>
        <row r="203">
          <cell r="F203" t="str">
            <v>2000A</v>
          </cell>
          <cell r="G203" t="str">
            <v>2001A</v>
          </cell>
          <cell r="H203" t="str">
            <v>2002A</v>
          </cell>
          <cell r="I203" t="str">
            <v>2003A</v>
          </cell>
          <cell r="J203" t="str">
            <v>2004E</v>
          </cell>
          <cell r="K203" t="str">
            <v>2005P</v>
          </cell>
          <cell r="L203" t="str">
            <v>2006P</v>
          </cell>
          <cell r="M203" t="str">
            <v>2007P</v>
          </cell>
          <cell r="N203" t="str">
            <v>2008P</v>
          </cell>
          <cell r="O203" t="str">
            <v>2009P</v>
          </cell>
        </row>
        <row r="204">
          <cell r="D204" t="str">
            <v>Volume Bonus Growth</v>
          </cell>
          <cell r="E204">
            <v>0</v>
          </cell>
          <cell r="F204">
            <v>0.23556989830660657</v>
          </cell>
          <cell r="G204">
            <v>1.8645981626541785</v>
          </cell>
          <cell r="H204">
            <v>-0.29233186823779389</v>
          </cell>
          <cell r="I204">
            <v>0.63570137333691323</v>
          </cell>
          <cell r="J204">
            <v>0.27284005523588983</v>
          </cell>
          <cell r="K204">
            <v>0</v>
          </cell>
          <cell r="L204">
            <v>0.11666359204660792</v>
          </cell>
          <cell r="M204">
            <v>0.12318695523011791</v>
          </cell>
          <cell r="N204">
            <v>0.12381811604411208</v>
          </cell>
          <cell r="O204">
            <v>0.12441354217039624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3">
          <cell r="B3">
            <v>0</v>
          </cell>
        </row>
      </sheetData>
      <sheetData sheetId="63">
        <row r="3">
          <cell r="B3">
            <v>0</v>
          </cell>
        </row>
      </sheetData>
      <sheetData sheetId="64">
        <row r="3">
          <cell r="B3">
            <v>0</v>
          </cell>
        </row>
      </sheetData>
      <sheetData sheetId="65" refreshError="1"/>
      <sheetData sheetId="66" refreshError="1"/>
      <sheetData sheetId="67">
        <row r="3">
          <cell r="B3">
            <v>0</v>
          </cell>
        </row>
      </sheetData>
      <sheetData sheetId="68">
        <row r="3">
          <cell r="B3">
            <v>0</v>
          </cell>
        </row>
      </sheetData>
      <sheetData sheetId="69">
        <row r="3">
          <cell r="B3">
            <v>0</v>
          </cell>
        </row>
      </sheetData>
      <sheetData sheetId="70">
        <row r="3">
          <cell r="B3">
            <v>0</v>
          </cell>
        </row>
      </sheetData>
      <sheetData sheetId="71">
        <row r="3">
          <cell r="B3">
            <v>0</v>
          </cell>
        </row>
      </sheetData>
      <sheetData sheetId="72">
        <row r="3">
          <cell r="B3">
            <v>0</v>
          </cell>
        </row>
      </sheetData>
      <sheetData sheetId="73">
        <row r="3">
          <cell r="B3">
            <v>0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1">
          <cell r="A1" t="str">
            <v>Sales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>
        <row r="1">
          <cell r="A1" t="str">
            <v>Sales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>
        <row r="3">
          <cell r="B3">
            <v>0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">
          <cell r="A1" t="str">
            <v>Sales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>
        <row r="3">
          <cell r="B3">
            <v>0</v>
          </cell>
        </row>
      </sheetData>
      <sheetData sheetId="200">
        <row r="3">
          <cell r="B3">
            <v>0</v>
          </cell>
        </row>
      </sheetData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=&gt;"/>
      <sheetName val="Retail-Whole"/>
      <sheetName val="Sheet1 (2)"/>
      <sheetName val="Graph by Product Type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SGA"/>
      <sheetName val="Balance Summary"/>
      <sheetName val="CF Summary"/>
      <sheetName val="Income Summary"/>
      <sheetName val="SGA Graph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validationInfo"/>
      <sheetName val="Control"/>
      <sheetName val="Admin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Lists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Methodology_Assumptions"/>
      <sheetName val="console"/>
      <sheetName val="LTN Sep 09 Summary"/>
      <sheetName val="218593_1"/>
      <sheetName val="CLOSE"/>
    </sheetNames>
    <sheetDataSet>
      <sheetData sheetId="0" refreshError="1"/>
      <sheetData sheetId="1" refreshError="1"/>
      <sheetData sheetId="2" refreshError="1"/>
      <sheetData sheetId="3" refreshError="1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1997A</v>
          </cell>
          <cell r="D6" t="str">
            <v>1998A</v>
          </cell>
          <cell r="E6" t="str">
            <v>1999A</v>
          </cell>
          <cell r="F6" t="str">
            <v>2000A</v>
          </cell>
          <cell r="G6" t="str">
            <v>2001A</v>
          </cell>
          <cell r="H6" t="str">
            <v>2002A</v>
          </cell>
          <cell r="I6" t="str">
            <v>2003A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>
            <v>111727.95699999999</v>
          </cell>
          <cell r="D7">
            <v>123852.72899999999</v>
          </cell>
          <cell r="E7">
            <v>159278.90299999999</v>
          </cell>
          <cell r="F7">
            <v>205792.86249</v>
          </cell>
          <cell r="G7">
            <v>253552.89049000002</v>
          </cell>
          <cell r="H7">
            <v>292126.35200000001</v>
          </cell>
          <cell r="I7">
            <v>331419.24836999999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>
            <v>0.11449501534910045</v>
          </cell>
          <cell r="D8">
            <v>0.10852048426876726</v>
          </cell>
          <cell r="E8">
            <v>0.28603466622039475</v>
          </cell>
          <cell r="F8">
            <v>0.29202837672733106</v>
          </cell>
          <cell r="G8">
            <v>0.23207815578307933</v>
          </cell>
          <cell r="H8">
            <v>0.15213181532048559</v>
          </cell>
          <cell r="I8">
            <v>0.13450651097029409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>
            <v>0.11449501534910045</v>
          </cell>
          <cell r="D9">
            <v>0.10852048426876726</v>
          </cell>
          <cell r="E9">
            <v>0.28603466622039475</v>
          </cell>
          <cell r="F9">
            <v>0.29202837672733106</v>
          </cell>
          <cell r="G9">
            <v>0.23207815578307933</v>
          </cell>
          <cell r="H9">
            <v>0.15213181532048559</v>
          </cell>
          <cell r="I9">
            <v>0.13450651097029409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1997A</v>
          </cell>
          <cell r="D23" t="str">
            <v>1998A</v>
          </cell>
          <cell r="E23" t="str">
            <v>1999A</v>
          </cell>
          <cell r="F23" t="str">
            <v>2000A</v>
          </cell>
          <cell r="G23" t="str">
            <v>2001A</v>
          </cell>
          <cell r="H23" t="str">
            <v>2002A</v>
          </cell>
          <cell r="I23" t="str">
            <v>2003A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>
            <v>1.5454902143661409E-2</v>
          </cell>
          <cell r="D25">
            <v>0.13865965108749401</v>
          </cell>
          <cell r="E25">
            <v>0.2180398985535652</v>
          </cell>
          <cell r="F25">
            <v>0.35895387063237272</v>
          </cell>
          <cell r="G25">
            <v>9.7122981391718932E-2</v>
          </cell>
          <cell r="H25">
            <v>0.17307369242512882</v>
          </cell>
          <cell r="I25">
            <v>3.6266348491091227E-2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1998A</v>
          </cell>
          <cell r="E40" t="str">
            <v>1999A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5150.2028840683706</v>
          </cell>
          <cell r="H41">
            <v>8022.9831113171158</v>
          </cell>
          <cell r="I41">
            <v>12202.759460000001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1997A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>
            <v>14964.814</v>
          </cell>
          <cell r="D58">
            <v>16422.520999999997</v>
          </cell>
          <cell r="E58">
            <v>19867.998</v>
          </cell>
          <cell r="F58">
            <v>22841.046109999996</v>
          </cell>
          <cell r="G58">
            <v>25823.571430000004</v>
          </cell>
          <cell r="H58">
            <v>31561.728410000003</v>
          </cell>
          <cell r="I58">
            <v>35725.877530000005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>
            <v>0.55604315299749185</v>
          </cell>
          <cell r="D59">
            <v>9.7408962116067421E-2</v>
          </cell>
          <cell r="E59">
            <v>0.20980195427973602</v>
          </cell>
          <cell r="F59">
            <v>0.14964004475941639</v>
          </cell>
          <cell r="G59">
            <v>0.1305774396512529</v>
          </cell>
          <cell r="H59">
            <v>0.22220617297473466</v>
          </cell>
          <cell r="I59">
            <v>0.13193666284387118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1997A</v>
          </cell>
          <cell r="D74" t="str">
            <v>1998A</v>
          </cell>
          <cell r="E74" t="str">
            <v>1999A</v>
          </cell>
          <cell r="F74" t="str">
            <v>2000A</v>
          </cell>
          <cell r="G74" t="str">
            <v>2001A</v>
          </cell>
          <cell r="H74" t="str">
            <v>2002A</v>
          </cell>
          <cell r="I74" t="str">
            <v>2003A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>
            <v>94929.994999999995</v>
          </cell>
          <cell r="D75">
            <v>107324.64200000001</v>
          </cell>
          <cell r="E75">
            <v>137569.47</v>
          </cell>
          <cell r="F75">
            <v>176395.19748999999</v>
          </cell>
          <cell r="G75">
            <v>217926.73633999997</v>
          </cell>
          <cell r="H75">
            <v>249297.71824000002</v>
          </cell>
          <cell r="I75">
            <v>283748.03544000001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Q3" t="str">
            <v>Inventory Turns</v>
          </cell>
        </row>
        <row r="4">
          <cell r="D4">
            <v>36891</v>
          </cell>
          <cell r="E4">
            <v>37256</v>
          </cell>
          <cell r="F4">
            <v>37621</v>
          </cell>
          <cell r="G4">
            <v>37986</v>
          </cell>
          <cell r="H4" t="str">
            <v>2004E</v>
          </cell>
          <cell r="I4">
            <v>2005</v>
          </cell>
          <cell r="J4">
            <v>2006</v>
          </cell>
          <cell r="K4">
            <v>2007</v>
          </cell>
          <cell r="L4">
            <v>2008</v>
          </cell>
          <cell r="M4">
            <v>2009</v>
          </cell>
          <cell r="N4">
            <v>0</v>
          </cell>
          <cell r="O4">
            <v>0</v>
          </cell>
          <cell r="P4">
            <v>0</v>
          </cell>
          <cell r="Q4">
            <v>37986</v>
          </cell>
          <cell r="R4" t="str">
            <v>2004E</v>
          </cell>
          <cell r="S4" t="str">
            <v>2004 Adj.</v>
          </cell>
        </row>
        <row r="5">
          <cell r="C5" t="str">
            <v>Payroll</v>
          </cell>
          <cell r="D5">
            <v>-10998.592620000001</v>
          </cell>
          <cell r="E5">
            <v>-13501.05299</v>
          </cell>
          <cell r="F5">
            <v>-15573.533359999999</v>
          </cell>
          <cell r="G5">
            <v>-16917.740330000001</v>
          </cell>
          <cell r="H5">
            <v>-18366.945810000001</v>
          </cell>
          <cell r="I5">
            <v>-19953.146055963651</v>
          </cell>
          <cell r="J5">
            <v>-21915.358827423905</v>
          </cell>
          <cell r="K5">
            <v>-24162.557296122381</v>
          </cell>
          <cell r="L5">
            <v>-26675.825070003684</v>
          </cell>
          <cell r="M5">
            <v>-29488.481635774853</v>
          </cell>
          <cell r="N5">
            <v>0</v>
          </cell>
          <cell r="O5">
            <v>0</v>
          </cell>
          <cell r="P5" t="str">
            <v>Tires</v>
          </cell>
          <cell r="Q5">
            <v>5.9</v>
          </cell>
          <cell r="R5">
            <v>5.2</v>
          </cell>
          <cell r="S5">
            <v>6</v>
          </cell>
        </row>
        <row r="6">
          <cell r="C6" t="str">
            <v>% of Sales</v>
          </cell>
          <cell r="D6">
            <v>4.1065831450134892E-2</v>
          </cell>
          <cell r="E6">
            <v>4.1221096051948194E-2</v>
          </cell>
          <cell r="F6">
            <v>4.0751928794372852E-2</v>
          </cell>
          <cell r="G6">
            <v>3.9195847458846349E-2</v>
          </cell>
          <cell r="H6">
            <v>3.8351623807479314E-2</v>
          </cell>
          <cell r="I6">
            <v>3.7441705453440104E-2</v>
          </cell>
          <cell r="J6">
            <v>3.6989759818991462E-2</v>
          </cell>
          <cell r="K6">
            <v>3.6633611411668862E-2</v>
          </cell>
          <cell r="L6">
            <v>3.6292027196582935E-2</v>
          </cell>
          <cell r="M6">
            <v>3.5964669780101988E-2</v>
          </cell>
          <cell r="N6">
            <v>0</v>
          </cell>
          <cell r="O6">
            <v>0</v>
          </cell>
          <cell r="P6" t="str">
            <v>Wheels</v>
          </cell>
          <cell r="Q6">
            <v>2.2000000000000002</v>
          </cell>
          <cell r="R6">
            <v>1.3</v>
          </cell>
          <cell r="S6">
            <v>1.5</v>
          </cell>
        </row>
        <row r="7">
          <cell r="C7" t="str">
            <v>Advertising</v>
          </cell>
          <cell r="D7">
            <v>-6473.9875700000011</v>
          </cell>
          <cell r="E7">
            <v>-6634.2078599999986</v>
          </cell>
          <cell r="F7">
            <v>-8460.676730000001</v>
          </cell>
          <cell r="G7">
            <v>-8129.1407100000006</v>
          </cell>
          <cell r="H7">
            <v>-7185.2581399999999</v>
          </cell>
          <cell r="I7">
            <v>-9992.8257119902319</v>
          </cell>
          <cell r="J7">
            <v>-11265.972748359804</v>
          </cell>
          <cell r="K7">
            <v>-12077.713430673746</v>
          </cell>
          <cell r="L7">
            <v>-12965.02159104356</v>
          </cell>
          <cell r="M7">
            <v>-13742.617687146127</v>
          </cell>
        </row>
        <row r="8">
          <cell r="C8" t="str">
            <v>% of Sales</v>
          </cell>
          <cell r="D8">
            <v>2.4172154706088966E-2</v>
          </cell>
          <cell r="E8">
            <v>2.0255406717402242E-2</v>
          </cell>
          <cell r="F8">
            <v>2.2139413560364144E-2</v>
          </cell>
          <cell r="G8">
            <v>1.8833990416299167E-2</v>
          </cell>
          <cell r="H8">
            <v>1.5003382706931858E-2</v>
          </cell>
          <cell r="I8">
            <v>1.8751350584339289E-2</v>
          </cell>
          <cell r="J8">
            <v>1.9015231708990332E-2</v>
          </cell>
          <cell r="K8">
            <v>1.8311400367865889E-2</v>
          </cell>
          <cell r="L8">
            <v>1.7638701519134412E-2</v>
          </cell>
          <cell r="M8">
            <v>1.676073773946999E-2</v>
          </cell>
        </row>
        <row r="9">
          <cell r="C9" t="str">
            <v>Rent</v>
          </cell>
          <cell r="D9">
            <v>-2313.0732599999997</v>
          </cell>
          <cell r="E9">
            <v>-3259.3833100000002</v>
          </cell>
          <cell r="F9">
            <v>-3423.8730699999996</v>
          </cell>
          <cell r="G9">
            <v>-4539.1446400000004</v>
          </cell>
          <cell r="H9">
            <v>-4554.8946299999998</v>
          </cell>
          <cell r="I9">
            <v>-4904.3035318053217</v>
          </cell>
          <cell r="J9">
            <v>-5703.3044978053213</v>
          </cell>
          <cell r="K9">
            <v>-5850.8419597333341</v>
          </cell>
          <cell r="L9">
            <v>-5886.7232790666676</v>
          </cell>
          <cell r="M9">
            <v>-6921.4845251999996</v>
          </cell>
        </row>
        <row r="10">
          <cell r="C10" t="str">
            <v>% of Sales</v>
          </cell>
          <cell r="D10">
            <v>8.6364028479649253E-3</v>
          </cell>
          <cell r="E10">
            <v>9.9514721252587906E-3</v>
          </cell>
          <cell r="F10">
            <v>8.9593946552929699E-3</v>
          </cell>
          <cell r="G10">
            <v>1.0516512101062614E-2</v>
          </cell>
          <cell r="H10">
            <v>9.5109773361098451E-3</v>
          </cell>
          <cell r="I10">
            <v>9.2028338677568287E-3</v>
          </cell>
          <cell r="J10">
            <v>9.6263020473295532E-3</v>
          </cell>
          <cell r="K10">
            <v>8.8706451124838121E-3</v>
          </cell>
          <cell r="L10">
            <v>8.0087915099908043E-3</v>
          </cell>
          <cell r="M10">
            <v>8.4415640117227412E-3</v>
          </cell>
        </row>
        <row r="11">
          <cell r="C11" t="str">
            <v>Bad Debt</v>
          </cell>
          <cell r="D11">
            <v>-292.02140999999995</v>
          </cell>
          <cell r="E11">
            <v>-192.04410999999999</v>
          </cell>
          <cell r="F11">
            <v>-122.62552000000001</v>
          </cell>
          <cell r="G11">
            <v>-121.35471999999999</v>
          </cell>
          <cell r="H11">
            <v>-117.25558000000001</v>
          </cell>
          <cell r="I11">
            <v>-132.33788517003322</v>
          </cell>
          <cell r="J11">
            <v>-147.96212471916675</v>
          </cell>
          <cell r="K11">
            <v>-165.6571251313338</v>
          </cell>
          <cell r="L11">
            <v>-185.68844647989536</v>
          </cell>
          <cell r="M11">
            <v>-208.37485513988722</v>
          </cell>
        </row>
        <row r="12">
          <cell r="C12" t="str">
            <v>% of Sales</v>
          </cell>
          <cell r="D12">
            <v>1.0903305920326679E-3</v>
          </cell>
          <cell r="E12">
            <v>5.8634453996916761E-4</v>
          </cell>
          <cell r="F12">
            <v>3.2087942690308942E-4</v>
          </cell>
          <cell r="G12">
            <v>2.8116054512884281E-4</v>
          </cell>
          <cell r="H12">
            <v>2.4483885018266932E-4</v>
          </cell>
          <cell r="I12">
            <v>2.4832956682470695E-4</v>
          </cell>
          <cell r="J12">
            <v>2.4973734168663779E-4</v>
          </cell>
          <cell r="K12">
            <v>2.5115796623933432E-4</v>
          </cell>
          <cell r="L12">
            <v>2.5262611866942589E-4</v>
          </cell>
          <cell r="M12">
            <v>2.5413763069072006E-4</v>
          </cell>
        </row>
        <row r="13">
          <cell r="C13" t="str">
            <v>Bank Charges</v>
          </cell>
          <cell r="D13">
            <v>-2849.0820400000002</v>
          </cell>
          <cell r="E13">
            <v>-3576.4567000000002</v>
          </cell>
          <cell r="F13">
            <v>-4515.7143500000002</v>
          </cell>
          <cell r="G13">
            <v>-5393.3485499999997</v>
          </cell>
          <cell r="H13">
            <v>-5763.1611500000008</v>
          </cell>
          <cell r="I13">
            <v>-6293.4634275967965</v>
          </cell>
          <cell r="J13">
            <v>-6946.5481817741447</v>
          </cell>
          <cell r="K13">
            <v>-7673.1767579044445</v>
          </cell>
          <cell r="L13">
            <v>-8481.9365794440928</v>
          </cell>
          <cell r="M13">
            <v>-9382.4011628577482</v>
          </cell>
        </row>
        <row r="14">
          <cell r="C14" t="str">
            <v>% of Sales</v>
          </cell>
          <cell r="D14">
            <v>1.0637717650301196E-2</v>
          </cell>
          <cell r="E14">
            <v>1.0919553109341116E-2</v>
          </cell>
          <cell r="F14">
            <v>1.181646228848658E-2</v>
          </cell>
          <cell r="G14">
            <v>1.2495573459259385E-2</v>
          </cell>
          <cell r="H14">
            <v>1.2033932622937265E-2</v>
          </cell>
          <cell r="I14">
            <v>1.1809566435146135E-2</v>
          </cell>
          <cell r="J14">
            <v>1.1724706441645857E-2</v>
          </cell>
          <cell r="K14">
            <v>1.1633544090435783E-2</v>
          </cell>
          <cell r="L14">
            <v>1.1539537098217825E-2</v>
          </cell>
          <cell r="M14">
            <v>1.1442941136625164E-2</v>
          </cell>
        </row>
        <row r="15">
          <cell r="C15" t="str">
            <v>Computer Systems</v>
          </cell>
          <cell r="D15">
            <v>-927.12536999999998</v>
          </cell>
          <cell r="E15">
            <v>-2654.2852600000001</v>
          </cell>
          <cell r="F15">
            <v>-2276.30611</v>
          </cell>
          <cell r="G15">
            <v>-1746.8085399999995</v>
          </cell>
          <cell r="H15">
            <v>-2062.9451300000001</v>
          </cell>
          <cell r="I15">
            <v>-2293.7516072253165</v>
          </cell>
          <cell r="J15">
            <v>-2550.1028773960352</v>
          </cell>
          <cell r="K15">
            <v>-2838.9241501528663</v>
          </cell>
          <cell r="L15">
            <v>-3163.7143174976059</v>
          </cell>
          <cell r="M15">
            <v>-3529.1243485992604</v>
          </cell>
        </row>
        <row r="16">
          <cell r="C16" t="str">
            <v>% of Sales</v>
          </cell>
          <cell r="D16">
            <v>3.4616405473852289E-3</v>
          </cell>
          <cell r="E16">
            <v>8.1040010533082341E-3</v>
          </cell>
          <cell r="F16">
            <v>5.9565072591154008E-3</v>
          </cell>
          <cell r="G16">
            <v>4.0470913808883409E-3</v>
          </cell>
          <cell r="H16">
            <v>4.3075912772691689E-3</v>
          </cell>
          <cell r="I16">
            <v>4.3041819981775005E-3</v>
          </cell>
          <cell r="J16">
            <v>4.3041819981775014E-3</v>
          </cell>
          <cell r="K16">
            <v>4.3041819981775005E-3</v>
          </cell>
          <cell r="L16">
            <v>4.3041819981775005E-3</v>
          </cell>
          <cell r="M16">
            <v>4.3041819981775005E-3</v>
          </cell>
        </row>
        <row r="17">
          <cell r="C17" t="str">
            <v>Other SG&amp;A</v>
          </cell>
          <cell r="D17">
            <v>-3250.2256700000003</v>
          </cell>
          <cell r="E17">
            <v>-4645.4435199999989</v>
          </cell>
          <cell r="F17">
            <v>-5523.7322699999986</v>
          </cell>
          <cell r="G17">
            <v>-5341.1798099999996</v>
          </cell>
          <cell r="H17">
            <v>-5259.6845099999991</v>
          </cell>
          <cell r="I17">
            <v>-6317.679220115825</v>
          </cell>
          <cell r="J17">
            <v>-7261.7229964515309</v>
          </cell>
          <cell r="K17">
            <v>-8064.355852424881</v>
          </cell>
          <cell r="L17">
            <v>-8966.9460845074464</v>
          </cell>
          <cell r="M17">
            <v>-9982.4187124927212</v>
          </cell>
        </row>
        <row r="18">
          <cell r="C18" t="str">
            <v>% of Sales</v>
          </cell>
          <cell r="D18">
            <v>1.2135481706669643E-2</v>
          </cell>
          <cell r="E18">
            <v>1.4183358415351297E-2</v>
          </cell>
          <cell r="F18">
            <v>1.4454185761362728E-2</v>
          </cell>
          <cell r="G18">
            <v>1.2374706373273071E-2</v>
          </cell>
          <cell r="H18">
            <v>1.0982633898975179E-2</v>
          </cell>
          <cell r="I18">
            <v>1.1855006916976723E-2</v>
          </cell>
          <cell r="J18">
            <v>1.2256673122534652E-2</v>
          </cell>
          <cell r="K18">
            <v>1.2226622992035734E-2</v>
          </cell>
          <cell r="L18">
            <v>1.2199384660651928E-2</v>
          </cell>
          <cell r="M18">
            <v>1.2174733071571995E-2</v>
          </cell>
        </row>
        <row r="19">
          <cell r="C19" t="str">
            <v>Tax</v>
          </cell>
          <cell r="D19">
            <v>-975.29178000000002</v>
          </cell>
          <cell r="E19">
            <v>-1156.1565900000001</v>
          </cell>
          <cell r="F19">
            <v>-1345.0709300000001</v>
          </cell>
          <cell r="G19">
            <v>-1689.8792700000001</v>
          </cell>
          <cell r="H19">
            <v>-1682.3793900000001</v>
          </cell>
          <cell r="I19">
            <v>-1896.774162490741</v>
          </cell>
          <cell r="J19">
            <v>-2369.8838743118326</v>
          </cell>
          <cell r="K19">
            <v>-2638.293781587246</v>
          </cell>
          <cell r="L19">
            <v>-2940.1306160726494</v>
          </cell>
          <cell r="M19">
            <v>-3279.7166570498935</v>
          </cell>
        </row>
        <row r="20">
          <cell r="C20" t="str">
            <v>% of Sales</v>
          </cell>
          <cell r="D20">
            <v>3.6414811636311007E-3</v>
          </cell>
          <cell r="E20">
            <v>3.5299499885514405E-3</v>
          </cell>
          <cell r="F20">
            <v>3.5197044559925656E-3</v>
          </cell>
          <cell r="G20">
            <v>3.9151948663812258E-3</v>
          </cell>
          <cell r="H20">
            <v>3.512940155330949E-3</v>
          </cell>
          <cell r="I20">
            <v>3.5592612465465147E-3</v>
          </cell>
          <cell r="J20">
            <v>4.000000000000001E-3</v>
          </cell>
          <cell r="K20">
            <v>4.0000000000000001E-3</v>
          </cell>
          <cell r="L20">
            <v>4.0000000000000001E-3</v>
          </cell>
          <cell r="M20">
            <v>4.0000000000000001E-3</v>
          </cell>
        </row>
        <row r="21">
          <cell r="C21" t="str">
            <v>Depreciation &amp; Amortization</v>
          </cell>
          <cell r="D21">
            <v>-815.11063999999999</v>
          </cell>
          <cell r="E21">
            <v>-1119.5789600000001</v>
          </cell>
          <cell r="F21">
            <v>-1451.4742200000001</v>
          </cell>
          <cell r="G21">
            <v>-1792.2084999999997</v>
          </cell>
          <cell r="H21">
            <v>-1887.2587600000002</v>
          </cell>
          <cell r="I21">
            <v>-1927.6132380476126</v>
          </cell>
          <cell r="J21">
            <v>-1392.3322868254033</v>
          </cell>
          <cell r="K21">
            <v>-1113.3888407063514</v>
          </cell>
          <cell r="L21">
            <v>-1370.0016252301575</v>
          </cell>
          <cell r="M21">
            <v>-1239.8477815158733</v>
          </cell>
        </row>
        <row r="22">
          <cell r="C22" t="str">
            <v>% of Sales</v>
          </cell>
          <cell r="D22">
            <v>3.0434072169000449E-3</v>
          </cell>
          <cell r="E22">
            <v>3.4182720327135215E-3</v>
          </cell>
          <cell r="F22">
            <v>3.7981344819431441E-3</v>
          </cell>
          <cell r="G22">
            <v>4.1522762266234525E-3</v>
          </cell>
          <cell r="H22">
            <v>3.9407443534505582E-3</v>
          </cell>
          <cell r="I22">
            <v>3.6171301951433035E-3</v>
          </cell>
          <cell r="J22">
            <v>2.350043058088168E-3</v>
          </cell>
          <cell r="K22">
            <v>1.688043762945181E-3</v>
          </cell>
          <cell r="L22">
            <v>1.8638649830600659E-3</v>
          </cell>
          <cell r="M22">
            <v>1.512140115946622E-3</v>
          </cell>
        </row>
        <row r="23">
          <cell r="C23" t="str">
            <v xml:space="preserve">SG&amp;A </v>
          </cell>
          <cell r="D23">
            <v>-28894.510360000004</v>
          </cell>
          <cell r="E23">
            <v>-36738.609300000004</v>
          </cell>
          <cell r="F23">
            <v>-42693.006560000009</v>
          </cell>
          <cell r="G23">
            <v>-45670.805069999995</v>
          </cell>
          <cell r="H23">
            <v>-46879.783100000001</v>
          </cell>
          <cell r="I23">
            <v>-53711.894840405534</v>
          </cell>
          <cell r="J23">
            <v>-59553.188415067147</v>
          </cell>
          <cell r="K23">
            <v>-64584.909194436579</v>
          </cell>
          <cell r="L23">
            <v>-70635.987609345771</v>
          </cell>
          <cell r="M23">
            <v>-77774.467365776363</v>
          </cell>
        </row>
        <row r="24">
          <cell r="C24" t="str">
            <v>% of sales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9.7006446224135859E-2</v>
          </cell>
          <cell r="I24">
            <v>0.1007893662643511</v>
          </cell>
          <cell r="J24">
            <v>0.10051663553744415</v>
          </cell>
          <cell r="K24">
            <v>9.7919207701852085E-2</v>
          </cell>
          <cell r="L24">
            <v>9.6099115084484918E-2</v>
          </cell>
          <cell r="M24">
            <v>9.4855105484306729E-2</v>
          </cell>
        </row>
      </sheetData>
      <sheetData sheetId="16" refreshError="1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Cash and cash equivalents</v>
          </cell>
          <cell r="D6">
            <v>271.89200000000244</v>
          </cell>
          <cell r="E6">
            <v>781.45863999999244</v>
          </cell>
          <cell r="F6">
            <v>8105.9732200000044</v>
          </cell>
          <cell r="G6">
            <v>16829.551189999984</v>
          </cell>
          <cell r="H6">
            <v>41861.316049999994</v>
          </cell>
          <cell r="I6">
            <v>36881.301779999987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 t="str">
            <v>Marketable securities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 t="str">
            <v>Total cash and marketable securities</v>
          </cell>
          <cell r="D8">
            <v>271.89200000000244</v>
          </cell>
          <cell r="E8">
            <v>781.45863999999244</v>
          </cell>
          <cell r="F8">
            <v>8105.9732200000044</v>
          </cell>
          <cell r="G8">
            <v>16829.551189999984</v>
          </cell>
          <cell r="H8">
            <v>41861.316049999994</v>
          </cell>
          <cell r="I8">
            <v>36881.301779999987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 t="str">
            <v>Total cash and marketable securities</v>
          </cell>
          <cell r="D9">
            <v>271.89200000000244</v>
          </cell>
          <cell r="E9">
            <v>781.45863999999244</v>
          </cell>
          <cell r="F9">
            <v>8105.9732200000044</v>
          </cell>
          <cell r="G9">
            <v>16829.551189999984</v>
          </cell>
          <cell r="H9">
            <v>41861.316049999994</v>
          </cell>
          <cell r="I9">
            <v>36881.301779999987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Total current liabilities</v>
          </cell>
          <cell r="D23">
            <v>9060.8450000000012</v>
          </cell>
          <cell r="E23">
            <v>11828.684000000001</v>
          </cell>
          <cell r="F23">
            <v>21213.558999999997</v>
          </cell>
          <cell r="G23">
            <v>13576.767</v>
          </cell>
          <cell r="H23">
            <v>24767.347999999998</v>
          </cell>
          <cell r="I23">
            <v>27143.442230000001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 t="str">
            <v>Notes payable to shareholders</v>
          </cell>
          <cell r="D25">
            <v>5761.4629999999997</v>
          </cell>
          <cell r="E25">
            <v>4306.5990000000002</v>
          </cell>
          <cell r="F25">
            <v>4617.3549999999996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Estimated</v>
          </cell>
          <cell r="E40" t="str">
            <v>Projected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 t="str">
            <v>2004E</v>
          </cell>
          <cell r="E41">
            <v>38717</v>
          </cell>
          <cell r="F41">
            <v>39082</v>
          </cell>
          <cell r="G41">
            <v>39447</v>
          </cell>
          <cell r="H41">
            <v>39813</v>
          </cell>
          <cell r="I41">
            <v>40178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Liabilities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 t="str">
            <v>Account payables</v>
          </cell>
          <cell r="D58">
            <v>25242.880719999997</v>
          </cell>
          <cell r="E58">
            <v>28173.921353357404</v>
          </cell>
          <cell r="F58">
            <v>31385.78352053422</v>
          </cell>
          <cell r="G58">
            <v>34997.94536195961</v>
          </cell>
          <cell r="H58">
            <v>39063.8026546908</v>
          </cell>
          <cell r="I58">
            <v>43642.354756750232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 t="str">
            <v>Salaries, wages and employer taxes</v>
          </cell>
          <cell r="D59">
            <v>580.97559999999999</v>
          </cell>
          <cell r="E59">
            <v>648.43474261837844</v>
          </cell>
          <cell r="F59">
            <v>722.35711187532331</v>
          </cell>
          <cell r="G59">
            <v>805.4925478185163</v>
          </cell>
          <cell r="H59">
            <v>899.06997689091725</v>
          </cell>
          <cell r="I59">
            <v>1004.4472943267079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Total stockholders' equity</v>
          </cell>
          <cell r="D74">
            <v>132920.59549000001</v>
          </cell>
          <cell r="E74">
            <v>169561.40428066277</v>
          </cell>
          <cell r="F74">
            <v>210068.7828538208</v>
          </cell>
          <cell r="G74">
            <v>256161.80912263799</v>
          </cell>
          <cell r="H74">
            <v>308260.1679271239</v>
          </cell>
          <cell r="I74">
            <v>367005.80410859612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 t="str">
            <v>Total liabilities and stockholders' equity</v>
          </cell>
          <cell r="D75">
            <v>160064.03772000002</v>
          </cell>
          <cell r="E75">
            <v>199856.56809853547</v>
          </cell>
          <cell r="F75">
            <v>243817.63312501548</v>
          </cell>
          <cell r="G75">
            <v>293794.78448065202</v>
          </cell>
          <cell r="H75">
            <v>350265.12300349207</v>
          </cell>
          <cell r="I75">
            <v>413934.03501302103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17" refreshError="1"/>
      <sheetData sheetId="18" refreshError="1">
        <row r="5">
          <cell r="C5" t="str">
            <v>Actual</v>
          </cell>
          <cell r="D5">
            <v>0</v>
          </cell>
          <cell r="E5">
            <v>0</v>
          </cell>
          <cell r="F5">
            <v>0</v>
          </cell>
          <cell r="G5" t="str">
            <v>Estimated</v>
          </cell>
          <cell r="H5" t="str">
            <v>Projected</v>
          </cell>
        </row>
        <row r="6">
          <cell r="C6">
            <v>36891</v>
          </cell>
          <cell r="D6">
            <v>37256</v>
          </cell>
          <cell r="E6">
            <v>37621</v>
          </cell>
          <cell r="F6">
            <v>37986</v>
          </cell>
          <cell r="G6" t="str">
            <v>2004E</v>
          </cell>
          <cell r="H6">
            <v>38442</v>
          </cell>
          <cell r="I6">
            <v>39082</v>
          </cell>
          <cell r="J6">
            <v>39447</v>
          </cell>
          <cell r="K6">
            <v>39813</v>
          </cell>
          <cell r="L6">
            <v>40178</v>
          </cell>
        </row>
        <row r="7">
          <cell r="C7">
            <v>36891</v>
          </cell>
          <cell r="D7">
            <v>37256</v>
          </cell>
          <cell r="E7">
            <v>37621</v>
          </cell>
          <cell r="F7">
            <v>37986</v>
          </cell>
          <cell r="G7" t="str">
            <v>2004E</v>
          </cell>
          <cell r="H7">
            <v>38442</v>
          </cell>
          <cell r="I7">
            <v>39082</v>
          </cell>
          <cell r="J7">
            <v>39447</v>
          </cell>
          <cell r="K7">
            <v>39813</v>
          </cell>
          <cell r="L7">
            <v>40178</v>
          </cell>
        </row>
        <row r="8">
          <cell r="B8" t="str">
            <v>Sales</v>
          </cell>
          <cell r="C8">
            <v>267828.31935000001</v>
          </cell>
          <cell r="D8">
            <v>327527.75358000002</v>
          </cell>
          <cell r="E8">
            <v>382154.50950999995</v>
          </cell>
          <cell r="F8">
            <v>431620.73093999998</v>
          </cell>
          <cell r="G8">
            <v>478909.20870000002</v>
          </cell>
          <cell r="H8">
            <v>532912.31834447267</v>
          </cell>
          <cell r="I8">
            <v>592470.96857795806</v>
          </cell>
          <cell r="J8">
            <v>659573.44539681147</v>
          </cell>
          <cell r="K8">
            <v>735032.6540181624</v>
          </cell>
          <cell r="L8">
            <v>819929.16426247335</v>
          </cell>
        </row>
        <row r="9">
          <cell r="B9" t="str">
            <v>% growth</v>
          </cell>
          <cell r="C9">
            <v>0.28770730893177343</v>
          </cell>
          <cell r="D9">
            <v>0.22290187376333548</v>
          </cell>
          <cell r="E9">
            <v>0.16678512075055996</v>
          </cell>
          <cell r="F9">
            <v>0.12944037084221716</v>
          </cell>
          <cell r="G9">
            <v>0.10956025596132379</v>
          </cell>
          <cell r="H9">
            <v>0.11276272968537016</v>
          </cell>
          <cell r="I9">
            <v>0.11176069342609352</v>
          </cell>
          <cell r="J9">
            <v>0.1132586749016784</v>
          </cell>
          <cell r="K9">
            <v>0.11440607433180294</v>
          </cell>
          <cell r="L9">
            <v>0.11550032475456962</v>
          </cell>
        </row>
        <row r="10">
          <cell r="B10" t="str">
            <v>% growth</v>
          </cell>
          <cell r="C10">
            <v>0.28770730893177343</v>
          </cell>
          <cell r="D10">
            <v>0.22290187376333548</v>
          </cell>
          <cell r="E10">
            <v>0.16678512075055996</v>
          </cell>
          <cell r="F10">
            <v>0.12944037084221716</v>
          </cell>
          <cell r="G10">
            <v>0.10956025596132379</v>
          </cell>
          <cell r="H10">
            <v>0.11276272968537016</v>
          </cell>
          <cell r="I10">
            <v>0.11176069342609352</v>
          </cell>
          <cell r="J10">
            <v>0.1132586749016784</v>
          </cell>
          <cell r="K10">
            <v>0.11440607433180294</v>
          </cell>
          <cell r="L10">
            <v>0.11550032475456962</v>
          </cell>
        </row>
        <row r="11">
          <cell r="B11" t="str">
            <v>Gross Profit</v>
          </cell>
          <cell r="C11">
            <v>54215.631160000019</v>
          </cell>
          <cell r="D11">
            <v>67537.397000000026</v>
          </cell>
          <cell r="E11">
            <v>79502.587797737622</v>
          </cell>
          <cell r="F11">
            <v>88529.752179999952</v>
          </cell>
          <cell r="G11">
            <v>101495.34489000001</v>
          </cell>
          <cell r="H11">
            <v>111675.58888415608</v>
          </cell>
          <cell r="I11">
            <v>123212.72667675221</v>
          </cell>
          <cell r="J11">
            <v>136308.69083164999</v>
          </cell>
          <cell r="K11">
            <v>150978.05032401672</v>
          </cell>
          <cell r="L11">
            <v>167419.25791641825</v>
          </cell>
        </row>
        <row r="12">
          <cell r="B12" t="str">
            <v>% margin</v>
          </cell>
          <cell r="C12">
            <v>0.20242680569245791</v>
          </cell>
          <cell r="D12">
            <v>0.20620358507574149</v>
          </cell>
          <cell r="E12">
            <v>0.20803781145923453</v>
          </cell>
          <cell r="F12">
            <v>0.20511005573619345</v>
          </cell>
          <cell r="G12">
            <v>0.21193024282307982</v>
          </cell>
          <cell r="H12">
            <v>0.20955715422582777</v>
          </cell>
          <cell r="I12">
            <v>0.20796415894011813</v>
          </cell>
          <cell r="J12">
            <v>0.20666188395386989</v>
          </cell>
          <cell r="K12">
            <v>0.20540318787018966</v>
          </cell>
          <cell r="L12">
            <v>0.20418746547088851</v>
          </cell>
        </row>
        <row r="13">
          <cell r="B13" t="str">
            <v>% margin</v>
          </cell>
          <cell r="C13">
            <v>0.20242680569245791</v>
          </cell>
          <cell r="D13">
            <v>0.20620358507574149</v>
          </cell>
          <cell r="E13">
            <v>0.20803781145923453</v>
          </cell>
          <cell r="F13">
            <v>0.20511005573619345</v>
          </cell>
          <cell r="G13">
            <v>0.21193024282307982</v>
          </cell>
          <cell r="H13">
            <v>0.20955715422582777</v>
          </cell>
          <cell r="I13">
            <v>0.20796415894011813</v>
          </cell>
          <cell r="J13">
            <v>0.20666188395386989</v>
          </cell>
          <cell r="K13">
            <v>0.20540318787018966</v>
          </cell>
          <cell r="L13">
            <v>0.20418746547088851</v>
          </cell>
        </row>
        <row r="14">
          <cell r="B14" t="str">
            <v>Reported EBITDA</v>
          </cell>
          <cell r="C14">
            <v>26136.231440000014</v>
          </cell>
          <cell r="D14">
            <v>31918.366660000022</v>
          </cell>
          <cell r="E14">
            <v>38261.055457737617</v>
          </cell>
          <cell r="F14">
            <v>44651.155609999958</v>
          </cell>
          <cell r="G14">
            <v>56502.820550000004</v>
          </cell>
          <cell r="H14">
            <v>59891.307281798159</v>
          </cell>
          <cell r="I14">
            <v>65051.870548510466</v>
          </cell>
          <cell r="J14">
            <v>72837.170477919761</v>
          </cell>
          <cell r="K14">
            <v>81712.064339901102</v>
          </cell>
          <cell r="L14">
            <v>90884.63833215776</v>
          </cell>
        </row>
        <row r="15">
          <cell r="B15" t="str">
            <v>% margin</v>
          </cell>
          <cell r="C15">
            <v>9.7585765028249297E-2</v>
          </cell>
          <cell r="D15">
            <v>9.7452403074610977E-2</v>
          </cell>
          <cell r="E15">
            <v>0.10011933525734421</v>
          </cell>
          <cell r="F15">
            <v>0.10344997913505447</v>
          </cell>
          <cell r="G15">
            <v>0.11798232216786356</v>
          </cell>
          <cell r="H15">
            <v>0.11238491815661995</v>
          </cell>
          <cell r="I15">
            <v>0.10979756646076214</v>
          </cell>
          <cell r="J15">
            <v>0.11043072001496299</v>
          </cell>
          <cell r="K15">
            <v>0.1111679377687648</v>
          </cell>
          <cell r="L15">
            <v>0.11084450010252841</v>
          </cell>
        </row>
        <row r="16">
          <cell r="B16" t="str">
            <v>% margin</v>
          </cell>
          <cell r="C16">
            <v>9.7585765028249297E-2</v>
          </cell>
          <cell r="D16">
            <v>9.7452403074610977E-2</v>
          </cell>
          <cell r="E16">
            <v>0.10011933525734421</v>
          </cell>
          <cell r="F16">
            <v>0.10344997913505447</v>
          </cell>
          <cell r="G16">
            <v>0.11798232216786356</v>
          </cell>
          <cell r="H16">
            <v>0.11238491815661995</v>
          </cell>
          <cell r="I16">
            <v>0.10979756646076214</v>
          </cell>
          <cell r="J16">
            <v>0.11043072001496299</v>
          </cell>
          <cell r="K16">
            <v>0.1111679377687648</v>
          </cell>
          <cell r="L16">
            <v>0.11084450010252841</v>
          </cell>
        </row>
        <row r="17">
          <cell r="B17" t="str">
            <v>Adjustments1</v>
          </cell>
          <cell r="C17">
            <v>4.0000000000000571E-4</v>
          </cell>
          <cell r="D17">
            <v>0</v>
          </cell>
          <cell r="E17">
            <v>738.65706226231384</v>
          </cell>
          <cell r="F17">
            <v>1073.4456100000002</v>
          </cell>
          <cell r="G17">
            <v>1214.24541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Adjustments1</v>
          </cell>
          <cell r="C18">
            <v>4.0000000000000571E-4</v>
          </cell>
          <cell r="D18">
            <v>0</v>
          </cell>
          <cell r="E18">
            <v>738.65706226231384</v>
          </cell>
          <cell r="F18">
            <v>1073.4456100000002</v>
          </cell>
          <cell r="G18">
            <v>1214.24541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Adjusted EBITDA</v>
          </cell>
          <cell r="C19">
            <v>26136.231840000015</v>
          </cell>
          <cell r="D19">
            <v>31918.366660000022</v>
          </cell>
          <cell r="E19">
            <v>38999.712519999928</v>
          </cell>
          <cell r="F19">
            <v>45724.60121999996</v>
          </cell>
          <cell r="G19">
            <v>57717.065960000007</v>
          </cell>
          <cell r="H19">
            <v>59891.307281798159</v>
          </cell>
          <cell r="I19">
            <v>65051.870548510466</v>
          </cell>
          <cell r="J19">
            <v>72837.170477919761</v>
          </cell>
          <cell r="K19">
            <v>81712.064339901102</v>
          </cell>
          <cell r="L19">
            <v>90884.63833215776</v>
          </cell>
        </row>
        <row r="20">
          <cell r="B20" t="str">
            <v>% margin</v>
          </cell>
          <cell r="C20">
            <v>9.7585766521743347E-2</v>
          </cell>
          <cell r="D20">
            <v>9.7452403074610977E-2</v>
          </cell>
          <cell r="E20">
            <v>0.10205221068830383</v>
          </cell>
          <cell r="F20">
            <v>0.10593699037675783</v>
          </cell>
          <cell r="G20">
            <v>0.12051776184607746</v>
          </cell>
          <cell r="H20">
            <v>0.11238491815661995</v>
          </cell>
          <cell r="I20">
            <v>0.10979756646076214</v>
          </cell>
          <cell r="J20">
            <v>0.11043072001496299</v>
          </cell>
          <cell r="K20">
            <v>0.1111679377687648</v>
          </cell>
          <cell r="L20">
            <v>0.11084450010252841</v>
          </cell>
        </row>
        <row r="21">
          <cell r="B21" t="str">
            <v>% margin</v>
          </cell>
          <cell r="C21">
            <v>9.7585766521743347E-2</v>
          </cell>
          <cell r="D21">
            <v>9.7452403074610977E-2</v>
          </cell>
          <cell r="E21">
            <v>0.10205221068830383</v>
          </cell>
          <cell r="F21">
            <v>0.10593699037675783</v>
          </cell>
          <cell r="G21">
            <v>0.12051776184607746</v>
          </cell>
          <cell r="H21">
            <v>0.11238491815661995</v>
          </cell>
          <cell r="I21">
            <v>0.10979756646076214</v>
          </cell>
          <cell r="J21">
            <v>0.11043072001496299</v>
          </cell>
          <cell r="K21">
            <v>0.1111679377687648</v>
          </cell>
          <cell r="L21">
            <v>0.11084450010252841</v>
          </cell>
        </row>
        <row r="22">
          <cell r="B22" t="str">
            <v>Capital Expenditures</v>
          </cell>
          <cell r="C22">
            <v>-1254.3440000000001</v>
          </cell>
          <cell r="D22">
            <v>-4034.0113799999999</v>
          </cell>
          <cell r="E22">
            <v>-3045.9007699999984</v>
          </cell>
          <cell r="F22">
            <v>-1335.4694800000016</v>
          </cell>
          <cell r="G22">
            <v>-951.54500000000019</v>
          </cell>
          <cell r="H22">
            <v>-2694</v>
          </cell>
          <cell r="I22">
            <v>-492</v>
          </cell>
          <cell r="J22">
            <v>-2830.38375</v>
          </cell>
          <cell r="K22">
            <v>-516.90750000000003</v>
          </cell>
          <cell r="L22">
            <v>-2973.6719273437493</v>
          </cell>
        </row>
        <row r="23">
          <cell r="B23" t="str">
            <v>% of sales</v>
          </cell>
          <cell r="C23">
            <v>4.6833882355839084E-3</v>
          </cell>
          <cell r="D23">
            <v>1.2316548249443771E-2</v>
          </cell>
          <cell r="E23">
            <v>7.970338421246068E-3</v>
          </cell>
          <cell r="F23">
            <v>3.09408094715832E-3</v>
          </cell>
          <cell r="G23">
            <v>1.9869006122955348E-3</v>
          </cell>
          <cell r="H23">
            <v>5.0552406226395535E-3</v>
          </cell>
          <cell r="I23">
            <v>8.3042043592598759E-4</v>
          </cell>
          <cell r="J23">
            <v>4.2912336294818375E-3</v>
          </cell>
          <cell r="K23">
            <v>7.0324426700535056E-4</v>
          </cell>
          <cell r="L23">
            <v>3.6267424760022637E-3</v>
          </cell>
        </row>
        <row r="24">
          <cell r="B24" t="str">
            <v>% of sales</v>
          </cell>
          <cell r="C24">
            <v>4.6833882355839084E-3</v>
          </cell>
          <cell r="D24">
            <v>1.2316548249443771E-2</v>
          </cell>
          <cell r="E24">
            <v>7.970338421246068E-3</v>
          </cell>
          <cell r="F24">
            <v>3.09408094715832E-3</v>
          </cell>
          <cell r="G24">
            <v>1.9869006122955348E-3</v>
          </cell>
          <cell r="H24">
            <v>5.0552406226395535E-3</v>
          </cell>
          <cell r="I24">
            <v>8.3042043592598759E-4</v>
          </cell>
          <cell r="J24">
            <v>4.2912336294818375E-3</v>
          </cell>
          <cell r="K24">
            <v>7.0324426700535056E-4</v>
          </cell>
          <cell r="L24">
            <v>3.6267424760022637E-3</v>
          </cell>
        </row>
        <row r="25">
          <cell r="B25" t="str">
            <v>Free Cash Flow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56765.520960000009</v>
          </cell>
          <cell r="H25">
            <v>57197.307281798159</v>
          </cell>
          <cell r="I25">
            <v>64559.870548510466</v>
          </cell>
          <cell r="J25">
            <v>70006.786727919767</v>
          </cell>
          <cell r="K25">
            <v>81195.156839901101</v>
          </cell>
          <cell r="L25">
            <v>87910.966404814011</v>
          </cell>
        </row>
        <row r="33">
          <cell r="B33" t="str">
            <v>Free Cash Flow 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56765.520960000009</v>
          </cell>
          <cell r="H33">
            <v>57197.307281798159</v>
          </cell>
          <cell r="I33">
            <v>64559.870548510466</v>
          </cell>
          <cell r="J33">
            <v>70006.786727919767</v>
          </cell>
          <cell r="K33">
            <v>81195.156839901101</v>
          </cell>
          <cell r="L33">
            <v>87910.966404814011</v>
          </cell>
        </row>
        <row r="34">
          <cell r="C34" t="str">
            <v>Actual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Estimated</v>
          </cell>
        </row>
        <row r="35">
          <cell r="C35">
            <v>36525</v>
          </cell>
          <cell r="D35">
            <v>36891</v>
          </cell>
          <cell r="E35">
            <v>37256</v>
          </cell>
          <cell r="F35">
            <v>37346</v>
          </cell>
          <cell r="G35">
            <v>37986</v>
          </cell>
          <cell r="H35" t="str">
            <v>2004E</v>
          </cell>
        </row>
        <row r="36">
          <cell r="C36">
            <v>36525</v>
          </cell>
          <cell r="D36">
            <v>36891</v>
          </cell>
          <cell r="E36">
            <v>37256</v>
          </cell>
          <cell r="F36">
            <v>37346</v>
          </cell>
          <cell r="G36">
            <v>37986</v>
          </cell>
          <cell r="H36" t="str">
            <v>2004E</v>
          </cell>
        </row>
        <row r="37">
          <cell r="B37" t="str">
            <v>Sales</v>
          </cell>
          <cell r="C37">
            <v>207988.50599999999</v>
          </cell>
          <cell r="D37">
            <v>267828.31935000001</v>
          </cell>
          <cell r="E37">
            <v>327527.75358000002</v>
          </cell>
          <cell r="F37">
            <v>382154.50950999995</v>
          </cell>
          <cell r="G37">
            <v>431620.73093999998</v>
          </cell>
          <cell r="H37">
            <v>478909.20870000002</v>
          </cell>
        </row>
        <row r="38">
          <cell r="B38" t="str">
            <v>% growth</v>
          </cell>
          <cell r="C38">
            <v>0.26857878199496654</v>
          </cell>
          <cell r="D38">
            <v>0.28770730893177343</v>
          </cell>
          <cell r="E38">
            <v>0.22290187376333548</v>
          </cell>
          <cell r="F38">
            <v>0.16678512075055996</v>
          </cell>
          <cell r="G38">
            <v>0.12944037084221716</v>
          </cell>
          <cell r="H38">
            <v>0.10956025596132379</v>
          </cell>
        </row>
        <row r="39">
          <cell r="B39" t="str">
            <v>% growth</v>
          </cell>
          <cell r="C39">
            <v>0.26857878199496654</v>
          </cell>
          <cell r="D39">
            <v>0.28770730893177343</v>
          </cell>
          <cell r="E39">
            <v>0.22290187376333548</v>
          </cell>
          <cell r="F39">
            <v>0.16678512075055996</v>
          </cell>
          <cell r="G39">
            <v>0.12944037084221716</v>
          </cell>
          <cell r="H39">
            <v>0.10956025596132379</v>
          </cell>
        </row>
        <row r="40">
          <cell r="B40" t="str">
            <v>Gross Profit</v>
          </cell>
          <cell r="C40">
            <v>40224.542999999976</v>
          </cell>
          <cell r="D40">
            <v>54215.631160000019</v>
          </cell>
          <cell r="E40">
            <v>67537.397000000026</v>
          </cell>
          <cell r="F40">
            <v>79502.587797737622</v>
          </cell>
          <cell r="G40">
            <v>88529.752179999952</v>
          </cell>
          <cell r="H40">
            <v>101495.34489000001</v>
          </cell>
        </row>
        <row r="41">
          <cell r="B41" t="str">
            <v>% margin</v>
          </cell>
          <cell r="C41">
            <v>0.19339791305583001</v>
          </cell>
          <cell r="D41">
            <v>0.20242680569245791</v>
          </cell>
          <cell r="E41">
            <v>0.20620358507574149</v>
          </cell>
          <cell r="F41">
            <v>0.20803781145923453</v>
          </cell>
          <cell r="G41">
            <v>0.20511005573619345</v>
          </cell>
          <cell r="H41">
            <v>0.21193024282307982</v>
          </cell>
        </row>
        <row r="42">
          <cell r="B42" t="str">
            <v>% margin</v>
          </cell>
          <cell r="C42">
            <v>0.19339791305583001</v>
          </cell>
          <cell r="D42">
            <v>0.20242680569245791</v>
          </cell>
          <cell r="E42">
            <v>0.20620358507574149</v>
          </cell>
          <cell r="F42">
            <v>0.20803781145923453</v>
          </cell>
          <cell r="G42">
            <v>0.20511005573619345</v>
          </cell>
          <cell r="H42">
            <v>0.21193024282307982</v>
          </cell>
        </row>
        <row r="43">
          <cell r="B43" t="str">
            <v>EBITDA</v>
          </cell>
          <cell r="C43">
            <v>17070.70594999997</v>
          </cell>
          <cell r="D43">
            <v>26136.231440000014</v>
          </cell>
          <cell r="E43">
            <v>31918.366660000022</v>
          </cell>
          <cell r="F43">
            <v>38261.055457737617</v>
          </cell>
          <cell r="G43">
            <v>44651.155609999958</v>
          </cell>
          <cell r="H43">
            <v>56502.820550000004</v>
          </cell>
        </row>
        <row r="44">
          <cell r="B44" t="str">
            <v>% margin</v>
          </cell>
          <cell r="C44">
            <v>8.2075237128728509E-2</v>
          </cell>
          <cell r="D44">
            <v>9.7585765028249297E-2</v>
          </cell>
          <cell r="E44">
            <v>9.7452403074610977E-2</v>
          </cell>
          <cell r="F44">
            <v>0.10011933525734421</v>
          </cell>
          <cell r="G44">
            <v>0.10344997913505447</v>
          </cell>
          <cell r="H44">
            <v>0.11798232216786356</v>
          </cell>
        </row>
        <row r="45">
          <cell r="B45" t="str">
            <v>% margin</v>
          </cell>
          <cell r="C45">
            <v>8.2075237128728509E-2</v>
          </cell>
          <cell r="D45">
            <v>9.7585765028249297E-2</v>
          </cell>
          <cell r="E45">
            <v>9.7452403074610977E-2</v>
          </cell>
          <cell r="F45">
            <v>0.10011933525734421</v>
          </cell>
          <cell r="G45">
            <v>0.10344997913505447</v>
          </cell>
          <cell r="H45">
            <v>0.11798232216786356</v>
          </cell>
        </row>
        <row r="46">
          <cell r="B46" t="str">
            <v>EBIT</v>
          </cell>
          <cell r="C46">
            <v>16576.29494999997</v>
          </cell>
          <cell r="D46">
            <v>25321.120800000015</v>
          </cell>
          <cell r="E46">
            <v>30798.787700000023</v>
          </cell>
          <cell r="F46">
            <v>36809.581237737613</v>
          </cell>
          <cell r="G46">
            <v>42858.947109999957</v>
          </cell>
          <cell r="H46">
            <v>54615.561790000007</v>
          </cell>
        </row>
        <row r="47">
          <cell r="B47" t="str">
            <v>% margin</v>
          </cell>
          <cell r="C47">
            <v>7.9698129809153834E-2</v>
          </cell>
          <cell r="D47">
            <v>9.4542357811349259E-2</v>
          </cell>
          <cell r="E47">
            <v>9.4034131041897465E-2</v>
          </cell>
          <cell r="F47">
            <v>9.6321200775401045E-2</v>
          </cell>
          <cell r="G47">
            <v>9.9297702908431013E-2</v>
          </cell>
          <cell r="H47">
            <v>0.114041577814413</v>
          </cell>
        </row>
        <row r="48">
          <cell r="B48" t="str">
            <v>% margin</v>
          </cell>
          <cell r="C48">
            <v>7.9698129809153834E-2</v>
          </cell>
          <cell r="D48">
            <v>9.4542357811349259E-2</v>
          </cell>
          <cell r="E48">
            <v>9.4034131041897465E-2</v>
          </cell>
          <cell r="F48">
            <v>9.6321200775401045E-2</v>
          </cell>
          <cell r="G48">
            <v>9.9297702908431013E-2</v>
          </cell>
          <cell r="H48">
            <v>0.114041577814413</v>
          </cell>
        </row>
        <row r="49">
          <cell r="B49" t="str">
            <v>Pre-Tax Income</v>
          </cell>
          <cell r="C49">
            <v>16191.46294999997</v>
          </cell>
          <cell r="D49">
            <v>25098.315080000015</v>
          </cell>
          <cell r="E49">
            <v>30723.007840000024</v>
          </cell>
          <cell r="F49">
            <v>36942.059267737612</v>
          </cell>
          <cell r="G49">
            <v>43147.627253999955</v>
          </cell>
          <cell r="H49">
            <v>55038.064490000004</v>
          </cell>
        </row>
        <row r="50">
          <cell r="B50" t="str">
            <v>% margin</v>
          </cell>
          <cell r="C50">
            <v>7.7847873718560057E-2</v>
          </cell>
          <cell r="D50">
            <v>9.371046027138509E-2</v>
          </cell>
          <cell r="E50">
            <v>9.3802761763502898E-2</v>
          </cell>
          <cell r="F50">
            <v>9.6667861685329495E-2</v>
          </cell>
          <cell r="G50">
            <v>9.9966531172011638E-2</v>
          </cell>
          <cell r="H50">
            <v>0.11492379659894396</v>
          </cell>
        </row>
        <row r="51">
          <cell r="B51" t="str">
            <v>% margin</v>
          </cell>
          <cell r="C51">
            <v>7.7847873718560057E-2</v>
          </cell>
          <cell r="D51">
            <v>9.371046027138509E-2</v>
          </cell>
          <cell r="E51">
            <v>9.3802761763502898E-2</v>
          </cell>
          <cell r="F51">
            <v>9.6667861685329495E-2</v>
          </cell>
          <cell r="G51">
            <v>9.9966531172011638E-2</v>
          </cell>
          <cell r="H51">
            <v>0.11492379659894396</v>
          </cell>
        </row>
        <row r="52">
          <cell r="B52" t="str">
            <v>Taxes1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Effective Tax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Effective Tax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Net Income</v>
          </cell>
          <cell r="C55">
            <v>16191.46294999997</v>
          </cell>
          <cell r="D55">
            <v>25098.315080000015</v>
          </cell>
          <cell r="E55">
            <v>30723.007840000024</v>
          </cell>
          <cell r="F55">
            <v>36942.059267737612</v>
          </cell>
          <cell r="G55">
            <v>43147.627253999955</v>
          </cell>
          <cell r="H55">
            <v>55038.064490000004</v>
          </cell>
        </row>
        <row r="58">
          <cell r="B58" t="str">
            <v>Net Income</v>
          </cell>
          <cell r="C58">
            <v>16191.46294999997</v>
          </cell>
          <cell r="D58">
            <v>25098.315080000015</v>
          </cell>
          <cell r="E58">
            <v>30723.007840000024</v>
          </cell>
          <cell r="F58">
            <v>36942.059267737612</v>
          </cell>
          <cell r="G58">
            <v>43147.627253999955</v>
          </cell>
          <cell r="H58">
            <v>55038.064490000004</v>
          </cell>
        </row>
        <row r="59">
          <cell r="C59" t="str">
            <v>Estimated</v>
          </cell>
          <cell r="D59" t="str">
            <v>Projected</v>
          </cell>
        </row>
        <row r="60">
          <cell r="C60" t="str">
            <v>2004E</v>
          </cell>
          <cell r="D60">
            <v>38717</v>
          </cell>
          <cell r="E60">
            <v>39082</v>
          </cell>
          <cell r="F60">
            <v>39447</v>
          </cell>
          <cell r="G60">
            <v>39813</v>
          </cell>
          <cell r="H60">
            <v>40178</v>
          </cell>
        </row>
        <row r="61">
          <cell r="C61" t="str">
            <v>2004E</v>
          </cell>
          <cell r="D61">
            <v>38717</v>
          </cell>
          <cell r="E61">
            <v>39082</v>
          </cell>
          <cell r="F61">
            <v>39447</v>
          </cell>
          <cell r="G61">
            <v>39813</v>
          </cell>
          <cell r="H61">
            <v>40178</v>
          </cell>
        </row>
        <row r="62">
          <cell r="B62" t="str">
            <v>Sales</v>
          </cell>
          <cell r="C62">
            <v>478909.20870000002</v>
          </cell>
          <cell r="D62">
            <v>532912.31834447267</v>
          </cell>
          <cell r="E62">
            <v>592470.96857795806</v>
          </cell>
          <cell r="F62">
            <v>659573.44539681147</v>
          </cell>
          <cell r="G62">
            <v>735032.6540181624</v>
          </cell>
          <cell r="H62">
            <v>819929.16426247335</v>
          </cell>
        </row>
        <row r="63">
          <cell r="B63" t="str">
            <v>% growth</v>
          </cell>
          <cell r="C63">
            <v>0.10956025596132379</v>
          </cell>
          <cell r="D63">
            <v>0.11276272968537016</v>
          </cell>
          <cell r="E63">
            <v>0.11176069342609352</v>
          </cell>
          <cell r="F63">
            <v>0.1132586749016784</v>
          </cell>
          <cell r="G63">
            <v>0.11440607433180294</v>
          </cell>
          <cell r="H63">
            <v>0.11550032475456962</v>
          </cell>
        </row>
        <row r="64">
          <cell r="B64" t="str">
            <v>% growth</v>
          </cell>
          <cell r="C64">
            <v>0.10956025596132379</v>
          </cell>
          <cell r="D64">
            <v>0.11276272968537016</v>
          </cell>
          <cell r="E64">
            <v>0.11176069342609352</v>
          </cell>
          <cell r="F64">
            <v>0.1132586749016784</v>
          </cell>
          <cell r="G64">
            <v>0.11440607433180294</v>
          </cell>
          <cell r="H64">
            <v>0.11550032475456962</v>
          </cell>
        </row>
        <row r="65">
          <cell r="B65" t="str">
            <v>Gross Profit</v>
          </cell>
          <cell r="C65">
            <v>101495.34489000001</v>
          </cell>
          <cell r="D65">
            <v>111675.58888415608</v>
          </cell>
          <cell r="E65">
            <v>123212.72667675221</v>
          </cell>
          <cell r="F65">
            <v>136308.69083164999</v>
          </cell>
          <cell r="G65">
            <v>150978.05032401672</v>
          </cell>
          <cell r="H65">
            <v>167419.25791641825</v>
          </cell>
        </row>
        <row r="66">
          <cell r="B66" t="str">
            <v>% margin</v>
          </cell>
          <cell r="C66">
            <v>0.21193024282307982</v>
          </cell>
          <cell r="D66">
            <v>0.20955715422582777</v>
          </cell>
          <cell r="E66">
            <v>0.20796415894011813</v>
          </cell>
          <cell r="F66">
            <v>0.20666188395386989</v>
          </cell>
          <cell r="G66">
            <v>0.20540318787018966</v>
          </cell>
          <cell r="H66">
            <v>0.20418746547088851</v>
          </cell>
        </row>
        <row r="67">
          <cell r="B67" t="str">
            <v>% margin</v>
          </cell>
          <cell r="C67">
            <v>0.21193024282307982</v>
          </cell>
          <cell r="D67">
            <v>0.20955715422582777</v>
          </cell>
          <cell r="E67">
            <v>0.20796415894011813</v>
          </cell>
          <cell r="F67">
            <v>0.20666188395386989</v>
          </cell>
          <cell r="G67">
            <v>0.20540318787018966</v>
          </cell>
          <cell r="H67">
            <v>0.20418746547088851</v>
          </cell>
        </row>
        <row r="68">
          <cell r="B68" t="str">
            <v>EBITDA</v>
          </cell>
          <cell r="C68">
            <v>56502.820550000004</v>
          </cell>
          <cell r="D68">
            <v>59891.307281798159</v>
          </cell>
          <cell r="E68">
            <v>65051.870548510466</v>
          </cell>
          <cell r="F68">
            <v>72837.170477919761</v>
          </cell>
          <cell r="G68">
            <v>81712.064339901102</v>
          </cell>
          <cell r="H68">
            <v>90884.63833215776</v>
          </cell>
        </row>
        <row r="69">
          <cell r="B69" t="str">
            <v>% margin</v>
          </cell>
          <cell r="C69">
            <v>0.11798232216786356</v>
          </cell>
          <cell r="D69">
            <v>0.11238491815661995</v>
          </cell>
          <cell r="E69">
            <v>0.10979756646076214</v>
          </cell>
          <cell r="F69">
            <v>0.11043072001496299</v>
          </cell>
          <cell r="G69">
            <v>0.1111679377687648</v>
          </cell>
          <cell r="H69">
            <v>0.11084450010252841</v>
          </cell>
        </row>
        <row r="70">
          <cell r="B70" t="str">
            <v>% margin</v>
          </cell>
          <cell r="C70">
            <v>0.11798232216786356</v>
          </cell>
          <cell r="D70">
            <v>0.11238491815661995</v>
          </cell>
          <cell r="E70">
            <v>0.10979756646076214</v>
          </cell>
          <cell r="F70">
            <v>0.11043072001496299</v>
          </cell>
          <cell r="G70">
            <v>0.1111679377687648</v>
          </cell>
          <cell r="H70">
            <v>0.11084450010252841</v>
          </cell>
        </row>
        <row r="71">
          <cell r="B71" t="str">
            <v>EBIT</v>
          </cell>
          <cell r="C71">
            <v>54615.561790000007</v>
          </cell>
          <cell r="D71">
            <v>57963.694043750547</v>
          </cell>
          <cell r="E71">
            <v>63659.538261685062</v>
          </cell>
          <cell r="F71">
            <v>71723.781637213411</v>
          </cell>
          <cell r="G71">
            <v>80342.062714670945</v>
          </cell>
          <cell r="H71">
            <v>89644.79055064189</v>
          </cell>
        </row>
        <row r="72">
          <cell r="B72" t="str">
            <v>% margin</v>
          </cell>
          <cell r="C72">
            <v>0.114041577814413</v>
          </cell>
          <cell r="D72">
            <v>0.10876778796147665</v>
          </cell>
          <cell r="E72">
            <v>0.10744752340267397</v>
          </cell>
          <cell r="F72">
            <v>0.10874267625201781</v>
          </cell>
          <cell r="G72">
            <v>0.10930407278570473</v>
          </cell>
          <cell r="H72">
            <v>0.10933235998658179</v>
          </cell>
        </row>
        <row r="73">
          <cell r="B73" t="str">
            <v>% margin</v>
          </cell>
          <cell r="C73">
            <v>0.114041577814413</v>
          </cell>
          <cell r="D73">
            <v>0.10876778796147665</v>
          </cell>
          <cell r="E73">
            <v>0.10744752340267397</v>
          </cell>
          <cell r="F73">
            <v>0.10874267625201781</v>
          </cell>
          <cell r="G73">
            <v>0.10930407278570473</v>
          </cell>
          <cell r="H73">
            <v>0.10933235998658179</v>
          </cell>
        </row>
        <row r="74">
          <cell r="B74" t="str">
            <v>Pre-Tax Income</v>
          </cell>
          <cell r="C74">
            <v>55038.064490000004</v>
          </cell>
          <cell r="D74">
            <v>58625.294065060429</v>
          </cell>
          <cell r="E74">
            <v>64811.805717052848</v>
          </cell>
          <cell r="F74">
            <v>73748.842030107538</v>
          </cell>
          <cell r="G74">
            <v>83357.37408717745</v>
          </cell>
          <cell r="H74">
            <v>93993.017890355564</v>
          </cell>
        </row>
        <row r="75">
          <cell r="B75" t="str">
            <v>% margin</v>
          </cell>
          <cell r="C75">
            <v>0.11492379659894396</v>
          </cell>
          <cell r="D75">
            <v>0.11000926802965219</v>
          </cell>
          <cell r="E75">
            <v>0.10939237389574276</v>
          </cell>
          <cell r="F75">
            <v>0.11181293386627911</v>
          </cell>
          <cell r="G75">
            <v>0.11340635498503679</v>
          </cell>
          <cell r="H75">
            <v>0.11463553436948706</v>
          </cell>
        </row>
        <row r="76">
          <cell r="B76" t="str">
            <v>% margin</v>
          </cell>
          <cell r="C76">
            <v>0.11492379659894396</v>
          </cell>
          <cell r="D76">
            <v>0.11000926802965219</v>
          </cell>
          <cell r="E76">
            <v>0.10939237389574276</v>
          </cell>
          <cell r="F76">
            <v>0.11181293386627911</v>
          </cell>
          <cell r="G76">
            <v>0.11340635498503679</v>
          </cell>
          <cell r="H76">
            <v>0.11463553436948706</v>
          </cell>
        </row>
        <row r="77">
          <cell r="B77" t="str">
            <v>Taxes1</v>
          </cell>
          <cell r="C77">
            <v>0</v>
          </cell>
          <cell r="D77">
            <v>-21984.485274397666</v>
          </cell>
          <cell r="E77">
            <v>-24304.42714389482</v>
          </cell>
          <cell r="F77">
            <v>-27655.815761290331</v>
          </cell>
          <cell r="G77">
            <v>-31259.015282691558</v>
          </cell>
          <cell r="H77">
            <v>-35247.381708883346</v>
          </cell>
        </row>
        <row r="78">
          <cell r="B78" t="str">
            <v>Effective Tax</v>
          </cell>
          <cell r="C78">
            <v>0</v>
          </cell>
          <cell r="D78">
            <v>0.37500000000000011</v>
          </cell>
          <cell r="E78">
            <v>0.37500000000000006</v>
          </cell>
          <cell r="F78">
            <v>0.37500000000000006</v>
          </cell>
          <cell r="G78">
            <v>0.37500000000000017</v>
          </cell>
          <cell r="H78">
            <v>0.37500000000000011</v>
          </cell>
        </row>
        <row r="79">
          <cell r="B79" t="str">
            <v>Effective Tax</v>
          </cell>
          <cell r="C79">
            <v>0</v>
          </cell>
          <cell r="D79">
            <v>0.37500000000000011</v>
          </cell>
          <cell r="E79">
            <v>0.37500000000000006</v>
          </cell>
          <cell r="F79">
            <v>0.37500000000000006</v>
          </cell>
          <cell r="G79">
            <v>0.37500000000000017</v>
          </cell>
          <cell r="H79">
            <v>0.37500000000000011</v>
          </cell>
        </row>
        <row r="80">
          <cell r="B80" t="str">
            <v>Net Income</v>
          </cell>
          <cell r="C80">
            <v>55038.064490000004</v>
          </cell>
          <cell r="D80">
            <v>36640.808790662762</v>
          </cell>
          <cell r="E80">
            <v>40507.378573158028</v>
          </cell>
          <cell r="F80">
            <v>46093.026268817208</v>
          </cell>
          <cell r="G80">
            <v>52098.358804485892</v>
          </cell>
          <cell r="H80">
            <v>58745.636181472219</v>
          </cell>
        </row>
      </sheetData>
      <sheetData sheetId="19" refreshError="1">
        <row r="7">
          <cell r="D7" t="str">
            <v>2004E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</row>
        <row r="8">
          <cell r="C8" t="str">
            <v>SG&amp;A (in thousands)</v>
          </cell>
          <cell r="D8">
            <v>46457.280400000003</v>
          </cell>
          <cell r="E8">
            <v>53711.894840405526</v>
          </cell>
          <cell r="F8">
            <v>59553.188415067147</v>
          </cell>
          <cell r="G8">
            <v>64584.909194436579</v>
          </cell>
          <cell r="H8">
            <v>70635.987609345771</v>
          </cell>
          <cell r="I8">
            <v>77774.467365776363</v>
          </cell>
        </row>
        <row r="9">
          <cell r="C9" t="str">
            <v>% of sales</v>
          </cell>
          <cell r="D9">
            <v>9.7006446224135859E-2</v>
          </cell>
          <cell r="E9">
            <v>0.1007893662643511</v>
          </cell>
          <cell r="F9">
            <v>0.10051663553744415</v>
          </cell>
          <cell r="G9">
            <v>9.7919207701852085E-2</v>
          </cell>
          <cell r="H9">
            <v>9.6099115084484918E-2</v>
          </cell>
          <cell r="I9">
            <v>9.4855105484306729E-2</v>
          </cell>
        </row>
        <row r="38">
          <cell r="C38" t="str">
            <v>% of sales</v>
          </cell>
          <cell r="D38">
            <v>9.7006446224135859E-2</v>
          </cell>
          <cell r="E38">
            <v>0.1007893662643511</v>
          </cell>
          <cell r="F38">
            <v>0.10051663553744415</v>
          </cell>
          <cell r="G38">
            <v>9.7919207701852085E-2</v>
          </cell>
          <cell r="H38">
            <v>9.6099115084484918E-2</v>
          </cell>
          <cell r="I38">
            <v>9.4855105484306729E-2</v>
          </cell>
        </row>
        <row r="39">
          <cell r="C39" t="str">
            <v>Capex</v>
          </cell>
        </row>
        <row r="40">
          <cell r="D40" t="str">
            <v>2004E</v>
          </cell>
          <cell r="E40">
            <v>2005</v>
          </cell>
          <cell r="F40">
            <v>2006</v>
          </cell>
          <cell r="G40">
            <v>2007</v>
          </cell>
          <cell r="H40">
            <v>2008</v>
          </cell>
          <cell r="I40">
            <v>2009</v>
          </cell>
        </row>
        <row r="41">
          <cell r="C41" t="str">
            <v>Maintenance Capex (in thousands)</v>
          </cell>
          <cell r="D41">
            <v>592.0450000000003</v>
          </cell>
          <cell r="E41">
            <v>480</v>
          </cell>
          <cell r="F41">
            <v>492</v>
          </cell>
          <cell r="G41">
            <v>504.3</v>
          </cell>
          <cell r="H41">
            <v>516.90750000000003</v>
          </cell>
          <cell r="I41">
            <v>529.83018749999997</v>
          </cell>
        </row>
        <row r="42">
          <cell r="C42" t="str">
            <v>Expansion Capex (in thousands)</v>
          </cell>
          <cell r="D42">
            <v>359.5</v>
          </cell>
          <cell r="E42">
            <v>2214</v>
          </cell>
          <cell r="F42">
            <v>0</v>
          </cell>
          <cell r="G42">
            <v>2326.0837499999998</v>
          </cell>
          <cell r="H42">
            <v>0</v>
          </cell>
          <cell r="I42">
            <v>2443.8417398437491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/>
      <sheetData sheetId="85">
        <row r="2">
          <cell r="D2" t="str">
            <v>Actual</v>
          </cell>
        </row>
      </sheetData>
      <sheetData sheetId="86"/>
      <sheetData sheetId="87"/>
      <sheetData sheetId="88"/>
      <sheetData sheetId="89"/>
      <sheetData sheetId="90"/>
      <sheetData sheetId="91"/>
      <sheetData sheetId="92">
        <row r="2">
          <cell r="D2" t="str">
            <v>Actual</v>
          </cell>
        </row>
      </sheetData>
      <sheetData sheetId="93"/>
      <sheetData sheetId="94">
        <row r="5">
          <cell r="C5" t="str">
            <v>Actual</v>
          </cell>
        </row>
      </sheetData>
      <sheetData sheetId="95">
        <row r="7">
          <cell r="D7" t="str">
            <v>2004E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2">
          <cell r="D2" t="str">
            <v>Actual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2">
          <cell r="D2" t="str">
            <v>Actual</v>
          </cell>
        </row>
      </sheetData>
      <sheetData sheetId="140"/>
      <sheetData sheetId="141">
        <row r="5">
          <cell r="C5" t="str">
            <v>Actual</v>
          </cell>
        </row>
      </sheetData>
      <sheetData sheetId="142">
        <row r="7">
          <cell r="D7" t="str">
            <v>2004E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2">
          <cell r="D2" t="str">
            <v>Actual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>
        <row r="2">
          <cell r="D2" t="str">
            <v>Actual</v>
          </cell>
        </row>
      </sheetData>
      <sheetData sheetId="186"/>
      <sheetData sheetId="187">
        <row r="5">
          <cell r="C5" t="str">
            <v>Actual</v>
          </cell>
        </row>
      </sheetData>
      <sheetData sheetId="188">
        <row r="7">
          <cell r="D7" t="str">
            <v>2004E</v>
          </cell>
        </row>
      </sheetData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ummary"/>
      <sheetName val="Income Summary"/>
      <sheetName val="CF Summary"/>
      <sheetName val="Retail-Whole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Mappings"/>
      <sheetName val="FX"/>
      <sheetName val="Graph by Product Type"/>
      <sheetName val="SGA Graph"/>
      <sheetName val="Inputs"/>
      <sheetName val="Admin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List_management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UK Topline &amp; Revenue Inputs"/>
      <sheetName val="WC"/>
      <sheetName val="MP Graphs"/>
      <sheetName val="Locker_info"/>
      <sheetName val="LTN May 09 Summary"/>
      <sheetName val="_2003_DS"/>
      <sheetName val="_2003_USFC"/>
      <sheetName val="_2004_DS"/>
      <sheetName val="_2004_USFC"/>
      <sheetName val="JAW_DROPSHIP"/>
      <sheetName val="JAW_USFC"/>
      <sheetName val="DATA_2005"/>
      <sheetName val="TC"/>
    </sheetNames>
    <sheetDataSet>
      <sheetData sheetId="0" refreshError="1"/>
      <sheetData sheetId="1" refreshError="1"/>
      <sheetData sheetId="2" refreshError="1"/>
      <sheetData sheetId="3" refreshError="1">
        <row r="5">
          <cell r="F5" t="str">
            <v>Retail Vs. Wholesale</v>
          </cell>
        </row>
        <row r="6">
          <cell r="F6" t="str">
            <v>Retail Vs. Wholesale</v>
          </cell>
        </row>
        <row r="7">
          <cell r="G7">
            <v>2000</v>
          </cell>
          <cell r="H7">
            <v>2001</v>
          </cell>
          <cell r="I7">
            <v>2002</v>
          </cell>
          <cell r="J7">
            <v>2003</v>
          </cell>
          <cell r="K7" t="str">
            <v>2004E</v>
          </cell>
        </row>
        <row r="8">
          <cell r="F8" t="str">
            <v>Retail Revenues</v>
          </cell>
          <cell r="G8">
            <v>94154.660919999995</v>
          </cell>
          <cell r="H8">
            <v>120792.16063000001</v>
          </cell>
          <cell r="I8">
            <v>152978.05283</v>
          </cell>
          <cell r="J8">
            <v>183836.06384999998</v>
          </cell>
          <cell r="K8">
            <v>193670.91230000003</v>
          </cell>
        </row>
        <row r="9">
          <cell r="F9" t="str">
            <v>Wholesale Revenues</v>
          </cell>
          <cell r="G9">
            <v>150832.61232000001</v>
          </cell>
          <cell r="H9">
            <v>180912.02152000001</v>
          </cell>
          <cell r="I9">
            <v>197614.72827000002</v>
          </cell>
          <cell r="J9">
            <v>212058.78956</v>
          </cell>
          <cell r="K9">
            <v>246355.26067000002</v>
          </cell>
        </row>
        <row r="10">
          <cell r="F10" t="str">
            <v>Wholesale Revenues</v>
          </cell>
          <cell r="G10">
            <v>150832.61232000001</v>
          </cell>
          <cell r="H10">
            <v>180912.02152000001</v>
          </cell>
          <cell r="I10">
            <v>197614.72827000002</v>
          </cell>
          <cell r="J10">
            <v>212058.78956</v>
          </cell>
          <cell r="K10">
            <v>246355.26067000002</v>
          </cell>
        </row>
        <row r="11">
          <cell r="G11">
            <v>94154.660919999995</v>
          </cell>
          <cell r="H11">
            <v>120792.16063000001</v>
          </cell>
          <cell r="I11">
            <v>152978.05283</v>
          </cell>
          <cell r="J11">
            <v>183836.06384999998</v>
          </cell>
          <cell r="K11">
            <v>193033.86865993863</v>
          </cell>
        </row>
        <row r="12">
          <cell r="G12">
            <v>150832.61232000001</v>
          </cell>
          <cell r="H12">
            <v>180912.02152000001</v>
          </cell>
          <cell r="I12">
            <v>197614.72827000002</v>
          </cell>
          <cell r="J12">
            <v>212058.78956</v>
          </cell>
          <cell r="K12">
            <v>245729.09901954417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5">
          <cell r="F5" t="str">
            <v>Retail Vs. Wholesale</v>
          </cell>
        </row>
      </sheetData>
      <sheetData sheetId="38">
        <row r="5">
          <cell r="F5" t="str">
            <v>Retail Vs. Wholesale</v>
          </cell>
        </row>
      </sheetData>
      <sheetData sheetId="39">
        <row r="5">
          <cell r="F5" t="str">
            <v>Retail Vs. Wholesale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 Graphs"/>
      <sheetName val="Sheet1"/>
      <sheetName val="Sheet2"/>
      <sheetName val="Sheet3"/>
      <sheetName val="Retail-Whole"/>
      <sheetName val="List"/>
      <sheetName val="Lookup"/>
      <sheetName val="Inputs"/>
      <sheetName val="WC"/>
      <sheetName val="MP Graphs"/>
      <sheetName val="Update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  <sheetName val="2020 Transfer rate all busin..."/>
      <sheetName val="CWL Summary April 2009"/>
      <sheetName val="_2004_DATA"/>
      <sheetName val="data"/>
      <sheetName val="Essbase_ShipMargin"/>
      <sheetName val="CLOSE"/>
    </sheetNames>
    <sheetDataSet>
      <sheetData sheetId="0" refreshError="1">
        <row r="5">
          <cell r="D5" t="str">
            <v>Retail Tire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>Wholesale Tire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>Retail Wheel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 t="str">
            <v>Wholesale Wheel</v>
          </cell>
        </row>
        <row r="6">
          <cell r="E6" t="str">
            <v>2002A</v>
          </cell>
          <cell r="F6" t="str">
            <v>2003A</v>
          </cell>
          <cell r="G6" t="str">
            <v>2004E</v>
          </cell>
          <cell r="H6" t="str">
            <v>2005P</v>
          </cell>
          <cell r="I6" t="str">
            <v>2006P</v>
          </cell>
          <cell r="J6" t="str">
            <v>2007P</v>
          </cell>
          <cell r="K6" t="str">
            <v>2008P</v>
          </cell>
          <cell r="L6" t="str">
            <v>2009P</v>
          </cell>
          <cell r="M6">
            <v>0</v>
          </cell>
          <cell r="N6">
            <v>0</v>
          </cell>
          <cell r="O6" t="str">
            <v>2002A</v>
          </cell>
          <cell r="P6" t="str">
            <v>2003A</v>
          </cell>
          <cell r="Q6" t="str">
            <v>2004E</v>
          </cell>
          <cell r="R6" t="str">
            <v>2005P</v>
          </cell>
          <cell r="S6" t="str">
            <v>2006P</v>
          </cell>
          <cell r="T6" t="str">
            <v>2007P</v>
          </cell>
          <cell r="U6" t="str">
            <v>2008P</v>
          </cell>
          <cell r="V6" t="str">
            <v>2009P</v>
          </cell>
          <cell r="W6">
            <v>0</v>
          </cell>
          <cell r="X6">
            <v>0</v>
          </cell>
          <cell r="Y6" t="str">
            <v>2002A</v>
          </cell>
          <cell r="Z6" t="str">
            <v>2003A</v>
          </cell>
          <cell r="AA6" t="str">
            <v>2004E</v>
          </cell>
          <cell r="AB6" t="str">
            <v>2005P</v>
          </cell>
          <cell r="AC6" t="str">
            <v>2006P</v>
          </cell>
          <cell r="AD6" t="str">
            <v>2007P</v>
          </cell>
          <cell r="AE6" t="str">
            <v>2008P</v>
          </cell>
          <cell r="AF6" t="str">
            <v>2009P</v>
          </cell>
          <cell r="AG6">
            <v>0</v>
          </cell>
          <cell r="AH6">
            <v>0</v>
          </cell>
          <cell r="AI6" t="str">
            <v>2002A</v>
          </cell>
          <cell r="AJ6" t="str">
            <v>2003A</v>
          </cell>
          <cell r="AK6" t="str">
            <v>2004E</v>
          </cell>
          <cell r="AL6" t="str">
            <v>2005P</v>
          </cell>
          <cell r="AM6" t="str">
            <v>2006P</v>
          </cell>
          <cell r="AN6" t="str">
            <v>2007P</v>
          </cell>
          <cell r="AO6" t="str">
            <v>2008P</v>
          </cell>
          <cell r="AP6" t="str">
            <v>2009P</v>
          </cell>
        </row>
        <row r="7">
          <cell r="D7" t="str">
            <v>Passenger</v>
          </cell>
          <cell r="E7">
            <v>12745.165070000001</v>
          </cell>
          <cell r="F7">
            <v>15099.97558</v>
          </cell>
          <cell r="G7">
            <v>14610.194830000002</v>
          </cell>
          <cell r="H7">
            <v>15735.123304296001</v>
          </cell>
          <cell r="I7">
            <v>17253.562703160565</v>
          </cell>
          <cell r="J7">
            <v>18918.531504015562</v>
          </cell>
          <cell r="K7">
            <v>20744.169794153062</v>
          </cell>
          <cell r="L7">
            <v>22745.982179288832</v>
          </cell>
          <cell r="M7">
            <v>0</v>
          </cell>
          <cell r="N7" t="str">
            <v>Passenger</v>
          </cell>
          <cell r="O7">
            <v>24321.365969999999</v>
          </cell>
          <cell r="P7">
            <v>22616.740440000001</v>
          </cell>
          <cell r="Q7">
            <v>26279.795259999999</v>
          </cell>
          <cell r="R7">
            <v>27716.774464816794</v>
          </cell>
          <cell r="S7">
            <v>28695.176603424818</v>
          </cell>
          <cell r="T7">
            <v>29708.116337525702</v>
          </cell>
          <cell r="U7">
            <v>30756.81284424035</v>
          </cell>
          <cell r="V7">
            <v>31842.528337642027</v>
          </cell>
          <cell r="W7">
            <v>0</v>
          </cell>
          <cell r="X7" t="str">
            <v>Steel</v>
          </cell>
          <cell r="Y7">
            <v>2119.0672</v>
          </cell>
          <cell r="Z7">
            <v>2588.6023300000002</v>
          </cell>
          <cell r="AA7">
            <v>2629.7631500000002</v>
          </cell>
          <cell r="AB7">
            <v>2629.7631500000002</v>
          </cell>
          <cell r="AC7">
            <v>2590.3167027500003</v>
          </cell>
          <cell r="AD7">
            <v>2564.4135357225005</v>
          </cell>
          <cell r="AE7">
            <v>2538.7694003652755</v>
          </cell>
          <cell r="AF7">
            <v>2513.3817063616225</v>
          </cell>
          <cell r="AG7">
            <v>0</v>
          </cell>
          <cell r="AH7" t="str">
            <v>Steel</v>
          </cell>
          <cell r="AI7">
            <v>930.02193</v>
          </cell>
          <cell r="AJ7">
            <v>1093.5234300000002</v>
          </cell>
          <cell r="AK7">
            <v>1081.6061300000001</v>
          </cell>
          <cell r="AL7">
            <v>1081.6061300000001</v>
          </cell>
          <cell r="AM7">
            <v>1065.3820380500001</v>
          </cell>
          <cell r="AN7">
            <v>1054.7282176695003</v>
          </cell>
          <cell r="AO7">
            <v>1044.1809354928052</v>
          </cell>
          <cell r="AP7">
            <v>1033.7391261378771</v>
          </cell>
        </row>
        <row r="8">
          <cell r="D8" t="str">
            <v>Passenger High Performance</v>
          </cell>
          <cell r="E8">
            <v>78206.698860000004</v>
          </cell>
          <cell r="F8">
            <v>90356.444220000005</v>
          </cell>
          <cell r="G8">
            <v>95916.354560000007</v>
          </cell>
          <cell r="H8">
            <v>105335.426223588</v>
          </cell>
          <cell r="I8">
            <v>117619.38577388792</v>
          </cell>
          <cell r="J8">
            <v>131335.87061642055</v>
          </cell>
          <cell r="K8">
            <v>146651.9383440153</v>
          </cell>
          <cell r="L8">
            <v>163754.12839702857</v>
          </cell>
          <cell r="M8">
            <v>0</v>
          </cell>
          <cell r="N8" t="str">
            <v>Passenger High Performance</v>
          </cell>
          <cell r="O8">
            <v>102083.98933</v>
          </cell>
          <cell r="P8">
            <v>109346.78512000002</v>
          </cell>
          <cell r="Q8">
            <v>127423.20983000001</v>
          </cell>
          <cell r="R8">
            <v>146088.16160589841</v>
          </cell>
          <cell r="S8">
            <v>166146.06619438817</v>
          </cell>
          <cell r="T8">
            <v>188957.92108287761</v>
          </cell>
          <cell r="U8">
            <v>214901.84364755661</v>
          </cell>
          <cell r="V8">
            <v>244407.86678036602</v>
          </cell>
          <cell r="W8">
            <v>0</v>
          </cell>
          <cell r="X8" t="str">
            <v>Alloy</v>
          </cell>
          <cell r="Y8">
            <v>25438.616740000001</v>
          </cell>
          <cell r="Z8">
            <v>26466.065820000003</v>
          </cell>
          <cell r="AA8">
            <v>26795.375110000001</v>
          </cell>
          <cell r="AB8">
            <v>27604.595438322001</v>
          </cell>
          <cell r="AC8">
            <v>28856.463841449906</v>
          </cell>
          <cell r="AD8">
            <v>30165.104476659653</v>
          </cell>
          <cell r="AE8">
            <v>31533.091964676169</v>
          </cell>
          <cell r="AF8">
            <v>32963.117685274236</v>
          </cell>
          <cell r="AG8">
            <v>0</v>
          </cell>
          <cell r="AH8" t="str">
            <v>Alloy</v>
          </cell>
          <cell r="AI8">
            <v>21694.280480000001</v>
          </cell>
          <cell r="AJ8">
            <v>21737.451329999996</v>
          </cell>
          <cell r="AK8">
            <v>21189.893179999999</v>
          </cell>
          <cell r="AL8">
            <v>21829.827954036002</v>
          </cell>
          <cell r="AM8">
            <v>22819.810651751537</v>
          </cell>
          <cell r="AN8">
            <v>23854.689064808466</v>
          </cell>
          <cell r="AO8">
            <v>24936.499213897532</v>
          </cell>
          <cell r="AP8">
            <v>26067.369453247786</v>
          </cell>
        </row>
        <row r="9">
          <cell r="D9" t="str">
            <v>Winter Tires</v>
          </cell>
          <cell r="E9">
            <v>12744.81438</v>
          </cell>
          <cell r="F9">
            <v>17128.657049999998</v>
          </cell>
          <cell r="G9">
            <v>19545.170699999999</v>
          </cell>
          <cell r="H9">
            <v>22069.249768263006</v>
          </cell>
          <cell r="I9">
            <v>24647.206390995671</v>
          </cell>
          <cell r="J9">
            <v>27526.299682100642</v>
          </cell>
          <cell r="K9">
            <v>30741.706064733673</v>
          </cell>
          <cell r="L9">
            <v>34332.710995841422</v>
          </cell>
          <cell r="M9">
            <v>0</v>
          </cell>
          <cell r="N9" t="str">
            <v>Winter Tires</v>
          </cell>
          <cell r="O9">
            <v>9143.5335799999993</v>
          </cell>
          <cell r="P9">
            <v>11541.61686</v>
          </cell>
          <cell r="Q9">
            <v>14366.857010000002</v>
          </cell>
          <cell r="R9">
            <v>16925.594243481002</v>
          </cell>
          <cell r="S9">
            <v>18817.875679902179</v>
          </cell>
          <cell r="T9">
            <v>20921.714180915245</v>
          </cell>
          <cell r="U9">
            <v>23260.761826341575</v>
          </cell>
          <cell r="V9">
            <v>25861.314998526563</v>
          </cell>
          <cell r="W9">
            <v>0</v>
          </cell>
          <cell r="X9" t="str">
            <v>Other</v>
          </cell>
          <cell r="Y9">
            <v>218.27634999999998</v>
          </cell>
          <cell r="Z9">
            <v>189.68571999999998</v>
          </cell>
          <cell r="AA9">
            <v>181.11311000000001</v>
          </cell>
          <cell r="AB9">
            <v>184.7353722</v>
          </cell>
          <cell r="AC9">
            <v>191.20111022699999</v>
          </cell>
          <cell r="AD9">
            <v>197.89314908494498</v>
          </cell>
          <cell r="AE9">
            <v>204.81940930291805</v>
          </cell>
          <cell r="AF9">
            <v>211.98808862852016</v>
          </cell>
          <cell r="AG9">
            <v>0</v>
          </cell>
          <cell r="AH9" t="str">
            <v>Other</v>
          </cell>
          <cell r="AI9">
            <v>210.45170999999999</v>
          </cell>
          <cell r="AJ9">
            <v>145.14046999999999</v>
          </cell>
          <cell r="AK9">
            <v>145.85796999999999</v>
          </cell>
          <cell r="AL9">
            <v>148.7751294</v>
          </cell>
          <cell r="AM9">
            <v>153.98225892899998</v>
          </cell>
          <cell r="AN9">
            <v>159.37163799151497</v>
          </cell>
          <cell r="AO9">
            <v>164.94964532121799</v>
          </cell>
          <cell r="AP9">
            <v>170.72288290746062</v>
          </cell>
        </row>
        <row r="10">
          <cell r="D10" t="str">
            <v>Light Truck</v>
          </cell>
          <cell r="E10">
            <v>16165.620429999999</v>
          </cell>
          <cell r="F10">
            <v>23311.293210000003</v>
          </cell>
          <cell r="G10">
            <v>24773.93691</v>
          </cell>
          <cell r="H10">
            <v>26802.588973361999</v>
          </cell>
          <cell r="I10">
            <v>29402.010437223493</v>
          </cell>
          <cell r="J10">
            <v>32253.534112311645</v>
          </cell>
          <cell r="K10">
            <v>35381.609871718967</v>
          </cell>
          <cell r="L10">
            <v>38813.058834277283</v>
          </cell>
          <cell r="M10">
            <v>0</v>
          </cell>
          <cell r="N10" t="str">
            <v>Light Truck</v>
          </cell>
          <cell r="O10">
            <v>36209.695820000008</v>
          </cell>
          <cell r="P10">
            <v>41529.888700000003</v>
          </cell>
          <cell r="Q10">
            <v>51388.623509999998</v>
          </cell>
          <cell r="R10">
            <v>60016.773397328994</v>
          </cell>
          <cell r="S10">
            <v>68869.247473435025</v>
          </cell>
          <cell r="T10">
            <v>79027.461475766686</v>
          </cell>
          <cell r="U10">
            <v>90684.012043442272</v>
          </cell>
          <cell r="V10">
            <v>104059.90381985002</v>
          </cell>
        </row>
        <row r="11">
          <cell r="D11" t="str">
            <v>Other</v>
          </cell>
          <cell r="E11">
            <v>112.21975</v>
          </cell>
          <cell r="F11">
            <v>84.035550000000001</v>
          </cell>
          <cell r="G11">
            <v>44.872529999999998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Other</v>
          </cell>
          <cell r="O11">
            <v>301.61847</v>
          </cell>
          <cell r="P11">
            <v>287.16880000000003</v>
          </cell>
          <cell r="Q11">
            <v>263.22577999999999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45">
          <cell r="D45" t="str">
            <v>Other</v>
          </cell>
          <cell r="E45">
            <v>112.21975</v>
          </cell>
          <cell r="F45">
            <v>84.035550000000001</v>
          </cell>
          <cell r="G45">
            <v>44.872529999999998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Other</v>
          </cell>
          <cell r="O45">
            <v>301.61847</v>
          </cell>
          <cell r="P45">
            <v>287.16880000000003</v>
          </cell>
          <cell r="Q45">
            <v>263.22577999999999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E46" t="str">
            <v>2002A</v>
          </cell>
          <cell r="F46" t="str">
            <v>2003A</v>
          </cell>
          <cell r="G46" t="str">
            <v>2004E</v>
          </cell>
          <cell r="H46" t="str">
            <v>2005P</v>
          </cell>
          <cell r="I46" t="str">
            <v>2006P</v>
          </cell>
          <cell r="J46" t="str">
            <v>2007P</v>
          </cell>
          <cell r="K46" t="str">
            <v>2008P</v>
          </cell>
          <cell r="L46" t="str">
            <v>2009P</v>
          </cell>
          <cell r="M46">
            <v>0</v>
          </cell>
          <cell r="N46">
            <v>0</v>
          </cell>
          <cell r="O46" t="str">
            <v>2002A</v>
          </cell>
          <cell r="P46" t="str">
            <v>2003A</v>
          </cell>
          <cell r="Q46" t="str">
            <v>2004E</v>
          </cell>
          <cell r="R46" t="str">
            <v>2005P</v>
          </cell>
          <cell r="S46" t="str">
            <v>2006P</v>
          </cell>
          <cell r="T46" t="str">
            <v>2007P</v>
          </cell>
          <cell r="U46" t="str">
            <v>2008P</v>
          </cell>
          <cell r="V46" t="str">
            <v>2009P</v>
          </cell>
          <cell r="W46">
            <v>0</v>
          </cell>
          <cell r="X46">
            <v>0</v>
          </cell>
          <cell r="Y46" t="str">
            <v>Retail Wheel</v>
          </cell>
        </row>
        <row r="47">
          <cell r="D47" t="str">
            <v>Passenger</v>
          </cell>
          <cell r="E47">
            <v>0.19077239033355953</v>
          </cell>
          <cell r="F47">
            <v>0.19817830923935842</v>
          </cell>
          <cell r="G47">
            <v>0.19841277914019434</v>
          </cell>
          <cell r="H47">
            <v>0.19799999999999998</v>
          </cell>
          <cell r="I47">
            <v>0.19799999999999998</v>
          </cell>
          <cell r="J47">
            <v>0.19799999999999995</v>
          </cell>
          <cell r="K47">
            <v>0.19799999999999993</v>
          </cell>
          <cell r="L47">
            <v>0.19799999999999995</v>
          </cell>
          <cell r="M47">
            <v>0</v>
          </cell>
          <cell r="N47" t="str">
            <v>Passenger</v>
          </cell>
          <cell r="O47">
            <v>0.11328945723684609</v>
          </cell>
          <cell r="P47">
            <v>0.11177285589434831</v>
          </cell>
          <cell r="Q47">
            <v>0.11278476223562479</v>
          </cell>
          <cell r="R47">
            <v>0.11299999999999999</v>
          </cell>
          <cell r="S47">
            <v>0.11299999999999993</v>
          </cell>
          <cell r="T47">
            <v>0.113</v>
          </cell>
          <cell r="U47">
            <v>0.11299999999999996</v>
          </cell>
          <cell r="V47">
            <v>0.11300000000000007</v>
          </cell>
          <cell r="W47">
            <v>0</v>
          </cell>
          <cell r="X47">
            <v>0</v>
          </cell>
          <cell r="Y47" t="str">
            <v>2002A</v>
          </cell>
          <cell r="Z47" t="str">
            <v>2003A</v>
          </cell>
          <cell r="AA47" t="str">
            <v>2004E</v>
          </cell>
          <cell r="AB47" t="str">
            <v>2005P</v>
          </cell>
          <cell r="AC47" t="str">
            <v>2006P</v>
          </cell>
          <cell r="AD47" t="str">
            <v>2007P</v>
          </cell>
          <cell r="AE47" t="str">
            <v>2008P</v>
          </cell>
          <cell r="AF47" t="str">
            <v>2009P</v>
          </cell>
          <cell r="AG47">
            <v>0</v>
          </cell>
          <cell r="AH47">
            <v>0</v>
          </cell>
          <cell r="AI47" t="str">
            <v>2002A</v>
          </cell>
          <cell r="AJ47" t="str">
            <v>2003A</v>
          </cell>
          <cell r="AK47" t="str">
            <v>2004E</v>
          </cell>
          <cell r="AL47" t="str">
            <v>2005P</v>
          </cell>
          <cell r="AM47" t="str">
            <v>2006P</v>
          </cell>
          <cell r="AN47" t="str">
            <v>2007P</v>
          </cell>
          <cell r="AO47" t="str">
            <v>2008P</v>
          </cell>
          <cell r="AP47" t="str">
            <v>2009P</v>
          </cell>
        </row>
        <row r="48">
          <cell r="D48" t="str">
            <v>Passenger High Performance</v>
          </cell>
          <cell r="E48">
            <v>0.19942653394724916</v>
          </cell>
          <cell r="F48">
            <v>0.19293110392386797</v>
          </cell>
          <cell r="G48">
            <v>0.18800779650898353</v>
          </cell>
          <cell r="H48">
            <v>0.18799999999999997</v>
          </cell>
          <cell r="I48">
            <v>0.18799999999999992</v>
          </cell>
          <cell r="J48">
            <v>0.188</v>
          </cell>
          <cell r="K48">
            <v>0.188</v>
          </cell>
          <cell r="L48">
            <v>0.18799999999999997</v>
          </cell>
          <cell r="M48">
            <v>0</v>
          </cell>
          <cell r="N48" t="str">
            <v>Passenger High Performance</v>
          </cell>
          <cell r="O48">
            <v>0.11414378382424446</v>
          </cell>
          <cell r="P48">
            <v>0.1036156400717783</v>
          </cell>
          <cell r="Q48">
            <v>9.7453069629677522E-2</v>
          </cell>
          <cell r="R48">
            <v>9.6999999999999975E-2</v>
          </cell>
          <cell r="S48">
            <v>9.6999999999999933E-2</v>
          </cell>
          <cell r="T48">
            <v>9.7000000000000003E-2</v>
          </cell>
          <cell r="U48">
            <v>9.6999999999999933E-2</v>
          </cell>
          <cell r="V48">
            <v>9.6999999999999975E-2</v>
          </cell>
          <cell r="W48">
            <v>0</v>
          </cell>
          <cell r="X48" t="str">
            <v>Steel</v>
          </cell>
          <cell r="Y48">
            <v>0.43500683012789781</v>
          </cell>
          <cell r="Z48">
            <v>0.46145967503629648</v>
          </cell>
          <cell r="AA48">
            <v>0.44285388210721566</v>
          </cell>
          <cell r="AB48">
            <v>0.44299999999999989</v>
          </cell>
          <cell r="AC48">
            <v>0.44299999999999995</v>
          </cell>
          <cell r="AD48">
            <v>0.44299999999999995</v>
          </cell>
          <cell r="AE48">
            <v>0.44299999999999995</v>
          </cell>
          <cell r="AF48">
            <v>0.44299999999999989</v>
          </cell>
          <cell r="AG48">
            <v>0</v>
          </cell>
          <cell r="AH48" t="str">
            <v>Steel</v>
          </cell>
          <cell r="AI48">
            <v>0.32495868135066452</v>
          </cell>
          <cell r="AJ48">
            <v>0.35080486569912822</v>
          </cell>
          <cell r="AK48">
            <v>0.3238166004107243</v>
          </cell>
          <cell r="AL48">
            <v>0.32381660041072458</v>
          </cell>
          <cell r="AM48">
            <v>0.32381660041072458</v>
          </cell>
          <cell r="AN48">
            <v>0.32381660041072458</v>
          </cell>
          <cell r="AO48">
            <v>0.32381660041072458</v>
          </cell>
          <cell r="AP48">
            <v>0.32381660041072458</v>
          </cell>
        </row>
        <row r="49">
          <cell r="D49" t="str">
            <v>Winter Tires</v>
          </cell>
          <cell r="E49">
            <v>0.19338332287746218</v>
          </cell>
          <cell r="F49">
            <v>0.18727322642028144</v>
          </cell>
          <cell r="G49">
            <v>0.19784687324322014</v>
          </cell>
          <cell r="H49">
            <v>0.19799999999999998</v>
          </cell>
          <cell r="I49">
            <v>0.19799999999999993</v>
          </cell>
          <cell r="J49">
            <v>0.19799999999999995</v>
          </cell>
          <cell r="K49">
            <v>0.19799999999999995</v>
          </cell>
          <cell r="L49">
            <v>0.19799999999999998</v>
          </cell>
          <cell r="M49">
            <v>0</v>
          </cell>
          <cell r="N49" t="str">
            <v>Winter Tires</v>
          </cell>
          <cell r="O49">
            <v>0.10945833481589284</v>
          </cell>
          <cell r="P49">
            <v>0.10355523359488819</v>
          </cell>
          <cell r="Q49">
            <v>0.10854485493344515</v>
          </cell>
          <cell r="R49">
            <v>0.109</v>
          </cell>
          <cell r="S49">
            <v>0.109</v>
          </cell>
          <cell r="T49">
            <v>0.10899999999999997</v>
          </cell>
          <cell r="U49">
            <v>0.10900000000000001</v>
          </cell>
          <cell r="V49">
            <v>0.10900000000000004</v>
          </cell>
          <cell r="W49">
            <v>0</v>
          </cell>
          <cell r="X49" t="str">
            <v>Alloy</v>
          </cell>
          <cell r="Y49">
            <v>0.38589659937467141</v>
          </cell>
          <cell r="Z49">
            <v>0.35788471261347449</v>
          </cell>
          <cell r="AA49">
            <v>0.37192999236202884</v>
          </cell>
          <cell r="AB49">
            <v>0.37200000000000005</v>
          </cell>
          <cell r="AC49">
            <v>0.372</v>
          </cell>
          <cell r="AD49">
            <v>0.372</v>
          </cell>
          <cell r="AE49">
            <v>0.37200000000000005</v>
          </cell>
          <cell r="AF49">
            <v>0.372</v>
          </cell>
          <cell r="AG49">
            <v>0</v>
          </cell>
          <cell r="AH49" t="str">
            <v>Alloy</v>
          </cell>
          <cell r="AI49">
            <v>0.23180115316961952</v>
          </cell>
          <cell r="AJ49">
            <v>0.18704412620759625</v>
          </cell>
          <cell r="AK49">
            <v>0.2108453295185512</v>
          </cell>
          <cell r="AL49">
            <v>0.21084532951855101</v>
          </cell>
          <cell r="AM49">
            <v>0.21084532951855101</v>
          </cell>
          <cell r="AN49">
            <v>0.21084532951855109</v>
          </cell>
          <cell r="AO49">
            <v>0.21084532951855103</v>
          </cell>
          <cell r="AP49">
            <v>0.21084532951855101</v>
          </cell>
        </row>
        <row r="50">
          <cell r="D50" t="str">
            <v>Light Truck</v>
          </cell>
          <cell r="E50">
            <v>0.18139013664207387</v>
          </cell>
          <cell r="F50">
            <v>0.1870387009730379</v>
          </cell>
          <cell r="G50">
            <v>0.18255517063880339</v>
          </cell>
          <cell r="H50">
            <v>0.18300000000000008</v>
          </cell>
          <cell r="I50">
            <v>0.18300000000000005</v>
          </cell>
          <cell r="J50">
            <v>0.18300000000000011</v>
          </cell>
          <cell r="K50">
            <v>0.18300000000000008</v>
          </cell>
          <cell r="L50">
            <v>0.18300000000000002</v>
          </cell>
          <cell r="M50">
            <v>0</v>
          </cell>
          <cell r="N50" t="str">
            <v>Light Truck</v>
          </cell>
          <cell r="O50">
            <v>0.10642271255621948</v>
          </cell>
          <cell r="P50">
            <v>0.10325911299637075</v>
          </cell>
          <cell r="Q50">
            <v>0.10104900200312843</v>
          </cell>
          <cell r="R50">
            <v>0.10099999999999999</v>
          </cell>
          <cell r="S50">
            <v>0.10100000000000002</v>
          </cell>
          <cell r="T50">
            <v>0.10099999999999992</v>
          </cell>
          <cell r="U50">
            <v>0.10099999999999996</v>
          </cell>
          <cell r="V50">
            <v>0.10099999999999994</v>
          </cell>
          <cell r="W50">
            <v>0</v>
          </cell>
          <cell r="X50" t="str">
            <v>Other</v>
          </cell>
          <cell r="Y50">
            <v>-1.3507349284519372</v>
          </cell>
          <cell r="Z50">
            <v>-2.2756429424418458</v>
          </cell>
          <cell r="AA50">
            <v>-2.5698278826971719</v>
          </cell>
          <cell r="AB50">
            <v>-2.6161486694431169</v>
          </cell>
          <cell r="AC50">
            <v>-2.6523101561375491</v>
          </cell>
          <cell r="AD50">
            <v>-2.6888332576989233</v>
          </cell>
          <cell r="AE50">
            <v>-2.7257215902759122</v>
          </cell>
          <cell r="AF50">
            <v>-2.7629788061786726</v>
          </cell>
          <cell r="AG50">
            <v>0</v>
          </cell>
          <cell r="AH50" t="str">
            <v>Other</v>
          </cell>
          <cell r="AI50">
            <v>-1.5802987773299637</v>
          </cell>
          <cell r="AJ50">
            <v>-2.210308744349526</v>
          </cell>
          <cell r="AK50">
            <v>-2.4153742164380874</v>
          </cell>
          <cell r="AL50">
            <v>-2.4566654170573869</v>
          </cell>
          <cell r="AM50">
            <v>-2.4912320712279619</v>
          </cell>
          <cell r="AN50">
            <v>-2.5261443919402415</v>
          </cell>
          <cell r="AO50">
            <v>-2.5614058358596443</v>
          </cell>
          <cell r="AP50">
            <v>-2.5970198942182403</v>
          </cell>
        </row>
        <row r="51">
          <cell r="D51" t="str">
            <v>Other</v>
          </cell>
          <cell r="E51">
            <v>0.3583371913420203</v>
          </cell>
          <cell r="F51">
            <v>0.81687738106075336</v>
          </cell>
          <cell r="G51">
            <v>0.60905747904118623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Other</v>
          </cell>
          <cell r="O51">
            <v>0.69733474876389367</v>
          </cell>
          <cell r="P51">
            <v>0.91923259072712626</v>
          </cell>
          <cell r="Q51">
            <v>0.8337987639356601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D5" t="str">
            <v>Retail Tire</v>
          </cell>
        </row>
      </sheetData>
      <sheetData sheetId="14"/>
      <sheetData sheetId="15">
        <row r="5">
          <cell r="D5" t="str">
            <v>Retail Tire</v>
          </cell>
        </row>
      </sheetData>
      <sheetData sheetId="16"/>
      <sheetData sheetId="17">
        <row r="5">
          <cell r="D5" t="str">
            <v>Retail Tire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ngs Criteria"/>
      <sheetName val="AMZL Data Entry"/>
      <sheetName val="Site Plans"/>
      <sheetName val="A - Qual Analysis"/>
      <sheetName val="B - REA Summary"/>
      <sheetName val="C - New Acquisition"/>
      <sheetName val="Appendix D -Residual Land Value"/>
      <sheetName val="Inputs_Lease"/>
      <sheetName val="Inputs_Purchase"/>
      <sheetName val="GCF_ATS_BTS Data Entry"/>
      <sheetName val="ATS Existing Data Entry"/>
      <sheetName val="Appendix D - BU Financials"/>
      <sheetName val="Misc. "/>
      <sheetName val="AMZL CAR Scorecard"/>
      <sheetName val="Site Summary Form"/>
      <sheetName val="MSA Rank"/>
      <sheetName val="CF_Lease"/>
      <sheetName val="Export_Lease"/>
      <sheetName val="MSA Rank 1"/>
      <sheetName val="CF_Purchase"/>
      <sheetName val="Export_Purchase"/>
      <sheetName val="Ref"/>
      <sheetName val="Guardrails"/>
      <sheetName val="ExportBuilding"/>
    </sheetNames>
    <sheetDataSet>
      <sheetData sheetId="0"/>
      <sheetData sheetId="1">
        <row r="4">
          <cell r="C4" t="str">
            <v>Purchase</v>
          </cell>
        </row>
        <row r="5">
          <cell r="C5" t="str">
            <v>DIL2</v>
          </cell>
        </row>
        <row r="6">
          <cell r="C6" t="str">
            <v>3000 W. 51st Street</v>
          </cell>
        </row>
        <row r="7">
          <cell r="C7" t="str">
            <v xml:space="preserve">Chicago, IL </v>
          </cell>
        </row>
        <row r="8">
          <cell r="C8">
            <v>60632</v>
          </cell>
        </row>
        <row r="10">
          <cell r="C10" t="str">
            <v>USD</v>
          </cell>
        </row>
        <row r="11">
          <cell r="C11" t="str">
            <v>Not Applicable</v>
          </cell>
        </row>
        <row r="15">
          <cell r="C15" t="str">
            <v>2025+</v>
          </cell>
        </row>
        <row r="17">
          <cell r="C17" t="str">
            <v>BTS-AMZN</v>
          </cell>
        </row>
        <row r="19">
          <cell r="C19">
            <v>0</v>
          </cell>
        </row>
        <row r="21">
          <cell r="C21" t="str">
            <v>TBD</v>
          </cell>
        </row>
        <row r="22">
          <cell r="C22">
            <v>188000</v>
          </cell>
        </row>
        <row r="24">
          <cell r="C24" t="str">
            <v>110</v>
          </cell>
        </row>
        <row r="25">
          <cell r="C25">
            <v>5</v>
          </cell>
        </row>
        <row r="26">
          <cell r="C26" t="str">
            <v>TBD</v>
          </cell>
        </row>
        <row r="27">
          <cell r="C27">
            <v>0</v>
          </cell>
        </row>
        <row r="31">
          <cell r="C31" t="str">
            <v>Manufacturing facility</v>
          </cell>
        </row>
        <row r="32">
          <cell r="C32">
            <v>69.400000000000006</v>
          </cell>
        </row>
        <row r="33">
          <cell r="C33">
            <v>69.400000000000006</v>
          </cell>
        </row>
        <row r="35">
          <cell r="C35">
            <v>0</v>
          </cell>
        </row>
        <row r="41">
          <cell r="C41">
            <v>3</v>
          </cell>
        </row>
        <row r="42">
          <cell r="C42">
            <v>5</v>
          </cell>
        </row>
        <row r="43">
          <cell r="C43" t="str">
            <v>Rail</v>
          </cell>
        </row>
        <row r="46">
          <cell r="C46" t="str">
            <v>M2-2</v>
          </cell>
        </row>
        <row r="47">
          <cell r="C47" t="str">
            <v>No</v>
          </cell>
        </row>
        <row r="48">
          <cell r="C48" t="str">
            <v>Yes, known RECs</v>
          </cell>
        </row>
        <row r="49">
          <cell r="C49" t="str">
            <v>Yes</v>
          </cell>
        </row>
        <row r="50">
          <cell r="C50" t="str">
            <v>No</v>
          </cell>
        </row>
        <row r="51">
          <cell r="C51" t="str">
            <v>Medium</v>
          </cell>
        </row>
        <row r="54">
          <cell r="C54">
            <v>120</v>
          </cell>
        </row>
        <row r="55">
          <cell r="C55" t="str">
            <v>Medium</v>
          </cell>
        </row>
        <row r="56">
          <cell r="C56" t="str">
            <v>Low</v>
          </cell>
        </row>
        <row r="57">
          <cell r="C57" t="str">
            <v>Medium</v>
          </cell>
        </row>
        <row r="58">
          <cell r="C58" t="str">
            <v>TBD</v>
          </cell>
        </row>
        <row r="59">
          <cell r="C59" t="str">
            <v>Low</v>
          </cell>
        </row>
        <row r="60">
          <cell r="C60" t="str">
            <v>Medium</v>
          </cell>
        </row>
        <row r="63">
          <cell r="C63" t="str">
            <v>Purchase</v>
          </cell>
        </row>
        <row r="64">
          <cell r="C64" t="str">
            <v>Reyerson Co.</v>
          </cell>
        </row>
        <row r="65">
          <cell r="C65" t="str">
            <v>N/A</v>
          </cell>
        </row>
        <row r="66">
          <cell r="C66" t="str">
            <v>Fee Developer</v>
          </cell>
        </row>
        <row r="67">
          <cell r="C67" t="str">
            <v>TBD</v>
          </cell>
        </row>
        <row r="68">
          <cell r="C68" t="str">
            <v>No</v>
          </cell>
        </row>
        <row r="69">
          <cell r="C69" t="str">
            <v>Joint</v>
          </cell>
        </row>
        <row r="70">
          <cell r="C70" t="str">
            <v>Amazon</v>
          </cell>
        </row>
        <row r="71">
          <cell r="C71" t="str">
            <v>No</v>
          </cell>
        </row>
        <row r="72">
          <cell r="C72" t="str">
            <v>Yes</v>
          </cell>
        </row>
        <row r="75">
          <cell r="C75">
            <v>35000000</v>
          </cell>
        </row>
        <row r="76">
          <cell r="C76">
            <v>504322.76657060516</v>
          </cell>
        </row>
        <row r="77">
          <cell r="C77">
            <v>504322.76657060516</v>
          </cell>
        </row>
        <row r="79">
          <cell r="C79">
            <v>0</v>
          </cell>
        </row>
        <row r="84">
          <cell r="C84">
            <v>0</v>
          </cell>
        </row>
        <row r="87">
          <cell r="C87">
            <v>0</v>
          </cell>
        </row>
        <row r="91">
          <cell r="C91" t="str">
            <v/>
          </cell>
        </row>
        <row r="92">
          <cell r="C92" t="str">
            <v/>
          </cell>
        </row>
        <row r="97">
          <cell r="C97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6">
          <cell r="C106" t="str">
            <v/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  <row r="126">
          <cell r="C126">
            <v>0</v>
          </cell>
        </row>
        <row r="129">
          <cell r="C129" t="str">
            <v xml:space="preserve">Recommend strategic purchase for Amazon future use.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BneLog"/>
      <sheetName val="Entry"/>
      <sheetName val="Email"/>
      <sheetName val="Monthly Spend-Cooling JUL"/>
      <sheetName val="Reference"/>
      <sheetName val="data validation"/>
      <sheetName val="Sites"/>
      <sheetName val="BRS"/>
      <sheetName val="Pending_Data"/>
      <sheetName val="Reqs_Data"/>
      <sheetName val="Finl Summary"/>
      <sheetName val="Plan"/>
      <sheetName val="CCO LOG YHM9"/>
      <sheetName val="DRS 17 Cost"/>
      <sheetName val="Monthly_Spend-Cooling_JUL"/>
      <sheetName val="OP2 Vol"/>
      <sheetName val="Swap"/>
      <sheetName val="Parameters"/>
      <sheetName val="notes"/>
      <sheetName val="guidance"/>
      <sheetName val="Control"/>
      <sheetName val="Advantage -&gt; Day"/>
      <sheetName val="OP II Plan"/>
      <sheetName val="Lists"/>
      <sheetName val="PROD_Units_Plan (PPR)"/>
      <sheetName val="Pick"/>
      <sheetName val="Rebin"/>
      <sheetName val="Single"/>
      <sheetName val="Multi"/>
      <sheetName val="Data Entry"/>
      <sheetName val="FA115B_HVAC_Depreciation Accrua"/>
      <sheetName val="Retail-Whole"/>
      <sheetName val="DSN_Creator"/>
      <sheetName val="Graph by Product Type"/>
      <sheetName val="SGA Graph"/>
      <sheetName val="Income Summary"/>
      <sheetName val="Balance Summary"/>
      <sheetName val="SGA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>
        <row r="3">
          <cell r="A3" t="str">
            <v>TUL1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TUL1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ings"/>
      <sheetName val="Land"/>
      <sheetName val="Sheet1"/>
      <sheetName val="Building Comps"/>
      <sheetName val="Land Comps"/>
    </sheetNames>
    <sheetDataSet>
      <sheetData sheetId="0"/>
      <sheetData sheetId="1"/>
      <sheetData sheetId="2">
        <row r="1">
          <cell r="A1" t="str">
            <v>AK</v>
          </cell>
        </row>
        <row r="2">
          <cell r="A2" t="str">
            <v>AL</v>
          </cell>
        </row>
        <row r="3">
          <cell r="A3" t="str">
            <v>AR</v>
          </cell>
        </row>
        <row r="4">
          <cell r="A4" t="str">
            <v>AZ</v>
          </cell>
        </row>
        <row r="5">
          <cell r="A5" t="str">
            <v>CA</v>
          </cell>
        </row>
        <row r="6">
          <cell r="A6" t="str">
            <v>CO</v>
          </cell>
        </row>
        <row r="7">
          <cell r="A7" t="str">
            <v>CT</v>
          </cell>
        </row>
        <row r="8">
          <cell r="A8" t="str">
            <v>DE</v>
          </cell>
        </row>
        <row r="9">
          <cell r="A9" t="str">
            <v>FL</v>
          </cell>
        </row>
        <row r="10">
          <cell r="A10" t="str">
            <v>GA</v>
          </cell>
        </row>
        <row r="11">
          <cell r="A11" t="str">
            <v>HI</v>
          </cell>
        </row>
        <row r="12">
          <cell r="A12" t="str">
            <v>IA</v>
          </cell>
        </row>
        <row r="13">
          <cell r="A13" t="str">
            <v>ID</v>
          </cell>
        </row>
        <row r="14">
          <cell r="A14" t="str">
            <v>IL</v>
          </cell>
        </row>
        <row r="15">
          <cell r="A15" t="str">
            <v>IN</v>
          </cell>
        </row>
        <row r="16">
          <cell r="A16" t="str">
            <v>KS</v>
          </cell>
        </row>
        <row r="17">
          <cell r="A17" t="str">
            <v>KY</v>
          </cell>
        </row>
        <row r="18">
          <cell r="A18" t="str">
            <v>LA</v>
          </cell>
        </row>
        <row r="19">
          <cell r="A19" t="str">
            <v>MA</v>
          </cell>
        </row>
        <row r="20">
          <cell r="A20" t="str">
            <v>MD</v>
          </cell>
        </row>
        <row r="21">
          <cell r="A21" t="str">
            <v>ME</v>
          </cell>
        </row>
        <row r="22">
          <cell r="A22" t="str">
            <v>MI</v>
          </cell>
        </row>
        <row r="23">
          <cell r="A23" t="str">
            <v>MN</v>
          </cell>
        </row>
        <row r="24">
          <cell r="A24" t="str">
            <v>MO</v>
          </cell>
        </row>
        <row r="25">
          <cell r="A25" t="str">
            <v>MS</v>
          </cell>
        </row>
        <row r="26">
          <cell r="A26" t="str">
            <v>MT</v>
          </cell>
        </row>
        <row r="27">
          <cell r="A27" t="str">
            <v>NC</v>
          </cell>
        </row>
        <row r="28">
          <cell r="A28" t="str">
            <v>ND</v>
          </cell>
        </row>
        <row r="29">
          <cell r="A29" t="str">
            <v>NE</v>
          </cell>
        </row>
        <row r="30">
          <cell r="A30" t="str">
            <v>NH</v>
          </cell>
        </row>
        <row r="31">
          <cell r="A31" t="str">
            <v>NJ</v>
          </cell>
        </row>
        <row r="32">
          <cell r="A32" t="str">
            <v>NM</v>
          </cell>
        </row>
        <row r="33">
          <cell r="A33" t="str">
            <v>NV</v>
          </cell>
        </row>
        <row r="34">
          <cell r="A34" t="str">
            <v>NY</v>
          </cell>
        </row>
        <row r="35">
          <cell r="A35" t="str">
            <v>OH</v>
          </cell>
        </row>
        <row r="36">
          <cell r="A36" t="str">
            <v>OK</v>
          </cell>
        </row>
        <row r="37">
          <cell r="A37" t="str">
            <v>OR</v>
          </cell>
        </row>
        <row r="38">
          <cell r="A38" t="str">
            <v>PA</v>
          </cell>
        </row>
        <row r="39">
          <cell r="A39" t="str">
            <v>RI</v>
          </cell>
        </row>
        <row r="40">
          <cell r="A40" t="str">
            <v>SC</v>
          </cell>
        </row>
        <row r="41">
          <cell r="A41" t="str">
            <v>SD</v>
          </cell>
        </row>
        <row r="42">
          <cell r="A42" t="str">
            <v>TN</v>
          </cell>
        </row>
        <row r="43">
          <cell r="A43" t="str">
            <v>TX</v>
          </cell>
        </row>
        <row r="44">
          <cell r="A44" t="str">
            <v>UT</v>
          </cell>
        </row>
        <row r="45">
          <cell r="A45" t="str">
            <v>VA</v>
          </cell>
        </row>
        <row r="46">
          <cell r="A46" t="str">
            <v>VT</v>
          </cell>
        </row>
        <row r="47">
          <cell r="A47" t="str">
            <v>WA</v>
          </cell>
        </row>
        <row r="48">
          <cell r="A48" t="str">
            <v>WI</v>
          </cell>
        </row>
        <row r="49">
          <cell r="A49" t="str">
            <v>WV</v>
          </cell>
        </row>
        <row r="50">
          <cell r="A50" t="str">
            <v>WY</v>
          </cell>
        </row>
        <row r="51">
          <cell r="A51" t="str">
            <v>CAN - AB</v>
          </cell>
        </row>
        <row r="52">
          <cell r="A52" t="str">
            <v>CAN - BC</v>
          </cell>
        </row>
        <row r="53">
          <cell r="A53" t="str">
            <v>CAN - MB</v>
          </cell>
        </row>
        <row r="54">
          <cell r="A54" t="str">
            <v>CAN - NB</v>
          </cell>
        </row>
        <row r="55">
          <cell r="A55" t="str">
            <v>CAN - NL</v>
          </cell>
        </row>
        <row r="56">
          <cell r="A56" t="str">
            <v>CAN - NS</v>
          </cell>
        </row>
        <row r="57">
          <cell r="A57" t="str">
            <v>CAN - ON</v>
          </cell>
        </row>
        <row r="58">
          <cell r="A58" t="str">
            <v>CAN - PE</v>
          </cell>
        </row>
        <row r="59">
          <cell r="A59" t="str">
            <v>CAN - QC</v>
          </cell>
        </row>
        <row r="60">
          <cell r="A60" t="str">
            <v>CAN - SK</v>
          </cell>
        </row>
        <row r="61">
          <cell r="A61" t="str">
            <v>AUS - NSW</v>
          </cell>
        </row>
        <row r="62">
          <cell r="A62" t="str">
            <v>AUS - NT</v>
          </cell>
        </row>
        <row r="63">
          <cell r="A63" t="str">
            <v>AUS - QLD</v>
          </cell>
        </row>
        <row r="64">
          <cell r="A64" t="str">
            <v>AUS - SA</v>
          </cell>
        </row>
        <row r="65">
          <cell r="A65" t="str">
            <v>AUS - TAS</v>
          </cell>
        </row>
        <row r="66">
          <cell r="A66" t="str">
            <v>AUS - VIC</v>
          </cell>
        </row>
        <row r="67">
          <cell r="A67" t="str">
            <v>AUS - WA</v>
          </cell>
        </row>
        <row r="68">
          <cell r="A68" t="str">
            <v>BRAZIL</v>
          </cell>
        </row>
        <row r="69">
          <cell r="A69" t="str">
            <v>Columbia</v>
          </cell>
        </row>
        <row r="70">
          <cell r="A70" t="str">
            <v>CR</v>
          </cell>
        </row>
        <row r="71">
          <cell r="A71" t="str">
            <v>Malaysia</v>
          </cell>
        </row>
        <row r="72">
          <cell r="A72" t="str">
            <v>MEX - AGU</v>
          </cell>
        </row>
        <row r="73">
          <cell r="A73" t="str">
            <v>MEX - BCN</v>
          </cell>
        </row>
        <row r="74">
          <cell r="A74" t="str">
            <v>MEX - BCS</v>
          </cell>
        </row>
        <row r="75">
          <cell r="A75" t="str">
            <v>MEX - CAM</v>
          </cell>
        </row>
        <row r="76">
          <cell r="A76" t="str">
            <v>MEX - CMX</v>
          </cell>
        </row>
        <row r="77">
          <cell r="A77" t="str">
            <v>MEX - COA</v>
          </cell>
        </row>
        <row r="78">
          <cell r="A78" t="str">
            <v>MEX - COL</v>
          </cell>
        </row>
        <row r="79">
          <cell r="A79" t="str">
            <v>MEX - CHP</v>
          </cell>
        </row>
        <row r="80">
          <cell r="A80" t="str">
            <v xml:space="preserve">MEX - CHH </v>
          </cell>
        </row>
        <row r="81">
          <cell r="A81" t="str">
            <v>MEX - DUR</v>
          </cell>
        </row>
        <row r="82">
          <cell r="A82" t="str">
            <v>MEX - GUA</v>
          </cell>
        </row>
        <row r="83">
          <cell r="A83" t="str">
            <v>MEX - GRO</v>
          </cell>
        </row>
        <row r="84">
          <cell r="A84" t="str">
            <v>MEX - HID</v>
          </cell>
        </row>
        <row r="85">
          <cell r="A85" t="str">
            <v>MEX - JAL</v>
          </cell>
        </row>
        <row r="86">
          <cell r="A86" t="str">
            <v>MEX - MEX</v>
          </cell>
        </row>
        <row r="87">
          <cell r="A87" t="str">
            <v>MEX - MIC</v>
          </cell>
        </row>
        <row r="88">
          <cell r="A88" t="str">
            <v>MEX - MOR</v>
          </cell>
        </row>
        <row r="89">
          <cell r="A89" t="str">
            <v>MEX - NAY</v>
          </cell>
        </row>
        <row r="90">
          <cell r="A90" t="str">
            <v>MEX - NLE</v>
          </cell>
        </row>
        <row r="91">
          <cell r="A91" t="str">
            <v>MEX - OAX</v>
          </cell>
        </row>
        <row r="92">
          <cell r="A92" t="str">
            <v>MEX - PUE</v>
          </cell>
        </row>
        <row r="93">
          <cell r="A93" t="str">
            <v>MEX - QUE</v>
          </cell>
        </row>
        <row r="94">
          <cell r="A94" t="str">
            <v>MEX - ROO</v>
          </cell>
        </row>
        <row r="95">
          <cell r="A95" t="str">
            <v>MEX - SLP</v>
          </cell>
        </row>
        <row r="96">
          <cell r="A96" t="str">
            <v>MEX - SIN</v>
          </cell>
        </row>
        <row r="97">
          <cell r="A97" t="str">
            <v>MEX - SON</v>
          </cell>
        </row>
        <row r="98">
          <cell r="A98" t="str">
            <v>MEX - TAB</v>
          </cell>
        </row>
        <row r="99">
          <cell r="A99" t="str">
            <v>MEX - TAM</v>
          </cell>
        </row>
        <row r="100">
          <cell r="A100" t="str">
            <v>MEX - TLA</v>
          </cell>
        </row>
        <row r="101">
          <cell r="A101" t="str">
            <v>MEX - VER</v>
          </cell>
        </row>
        <row r="102">
          <cell r="A102" t="str">
            <v>MEX - ZAC</v>
          </cell>
        </row>
        <row r="103">
          <cell r="A103" t="str">
            <v>Philippines</v>
          </cell>
        </row>
        <row r="104">
          <cell r="A104" t="str">
            <v>Taiwan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1D84-BF77-4D78-80BF-805789747294}">
  <dimension ref="B2:AH24"/>
  <sheetViews>
    <sheetView showGridLines="0" tabSelected="1" zoomScale="85" zoomScaleNormal="85" workbookViewId="0">
      <selection activeCell="K6" sqref="K6"/>
    </sheetView>
  </sheetViews>
  <sheetFormatPr defaultRowHeight="15" outlineLevelCol="1" x14ac:dyDescent="0.25"/>
  <cols>
    <col min="1" max="2" width="9.140625" style="46"/>
    <col min="3" max="3" width="24" style="46" bestFit="1" customWidth="1"/>
    <col min="4" max="5" width="9.140625" style="46"/>
    <col min="6" max="7" width="9.140625" style="46" outlineLevel="1"/>
    <col min="8" max="8" width="11" style="46" customWidth="1" outlineLevel="1"/>
    <col min="9" max="9" width="13.42578125" style="46" bestFit="1" customWidth="1"/>
    <col min="10" max="10" width="21.5703125" style="46" customWidth="1" outlineLevel="1"/>
    <col min="11" max="11" width="23.7109375" style="46" customWidth="1" outlineLevel="1"/>
    <col min="12" max="12" width="12.140625" style="46" customWidth="1"/>
    <col min="13" max="13" width="14.42578125" style="46" customWidth="1"/>
    <col min="14" max="14" width="19.5703125" style="46" customWidth="1" outlineLevel="1"/>
    <col min="15" max="15" width="19.140625" style="46" customWidth="1" outlineLevel="1"/>
    <col min="16" max="16" width="18.140625" style="46" customWidth="1" outlineLevel="1"/>
    <col min="17" max="17" width="14.42578125" style="46" customWidth="1" outlineLevel="1"/>
    <col min="18" max="18" width="16.85546875" style="46" customWidth="1" outlineLevel="1"/>
    <col min="19" max="19" width="15.42578125" style="46" customWidth="1"/>
    <col min="20" max="20" width="11.140625" style="46" customWidth="1"/>
    <col min="21" max="21" width="9.140625" style="46"/>
    <col min="22" max="22" width="13.85546875" style="46" customWidth="1"/>
    <col min="23" max="24" width="15" style="46" customWidth="1"/>
    <col min="25" max="26" width="19.7109375" style="46" customWidth="1"/>
    <col min="27" max="27" width="14.7109375" style="46" bestFit="1" customWidth="1" outlineLevel="1"/>
    <col min="28" max="29" width="11.42578125" style="46" customWidth="1" outlineLevel="1"/>
    <col min="30" max="30" width="15" style="46" customWidth="1"/>
    <col min="31" max="31" width="69.140625" style="46" customWidth="1"/>
    <col min="32" max="32" width="34" style="46" customWidth="1"/>
    <col min="33" max="16384" width="9.140625" style="46"/>
  </cols>
  <sheetData>
    <row r="2" spans="2:34" s="5" customFormat="1" x14ac:dyDescent="0.25">
      <c r="B2" s="1" t="s">
        <v>0</v>
      </c>
      <c r="C2" s="2"/>
      <c r="D2" s="3"/>
      <c r="E2" s="4"/>
      <c r="F2" s="4"/>
      <c r="G2" s="4"/>
      <c r="H2" s="4"/>
      <c r="I2" s="4"/>
      <c r="Q2" s="6" t="s">
        <v>30</v>
      </c>
      <c r="R2" s="7">
        <v>0.05</v>
      </c>
      <c r="W2" s="8"/>
      <c r="X2" s="8"/>
      <c r="Y2" s="8"/>
      <c r="Z2" s="8"/>
      <c r="AA2" s="8"/>
      <c r="AD2" s="8"/>
    </row>
    <row r="3" spans="2:34" s="5" customFormat="1" ht="30" x14ac:dyDescent="0.25">
      <c r="B3" s="4"/>
      <c r="C3" s="4"/>
      <c r="D3" s="4"/>
      <c r="E3" s="4"/>
      <c r="F3" s="4"/>
      <c r="G3" s="4"/>
      <c r="H3" s="4"/>
      <c r="I3" s="4"/>
      <c r="Q3" s="9" t="s">
        <v>31</v>
      </c>
      <c r="R3" s="10"/>
      <c r="W3" s="8"/>
      <c r="X3" s="8"/>
      <c r="Y3" s="8"/>
      <c r="Z3" s="8"/>
      <c r="AA3" s="8"/>
      <c r="AD3" s="8"/>
    </row>
    <row r="4" spans="2:34" s="11" customFormat="1" x14ac:dyDescent="0.25">
      <c r="W4" s="12"/>
      <c r="X4" s="12"/>
      <c r="Y4" s="12"/>
      <c r="Z4" s="12"/>
      <c r="AA4" s="12"/>
      <c r="AD4" s="12"/>
    </row>
    <row r="5" spans="2:34" s="11" customFormat="1" ht="63" customHeight="1" x14ac:dyDescent="0.25">
      <c r="B5" s="13"/>
      <c r="C5" s="13" t="s">
        <v>1</v>
      </c>
      <c r="D5" s="13" t="s">
        <v>2</v>
      </c>
      <c r="E5" s="13" t="s">
        <v>3</v>
      </c>
      <c r="F5" s="13" t="s">
        <v>24</v>
      </c>
      <c r="G5" s="13" t="s">
        <v>5</v>
      </c>
      <c r="H5" s="13" t="s">
        <v>6</v>
      </c>
      <c r="I5" s="13" t="s">
        <v>4</v>
      </c>
      <c r="J5" s="14" t="s">
        <v>8</v>
      </c>
      <c r="K5" s="14" t="s">
        <v>9</v>
      </c>
      <c r="L5" s="13" t="s">
        <v>10</v>
      </c>
      <c r="M5" s="13" t="s">
        <v>11</v>
      </c>
      <c r="N5" s="15" t="s">
        <v>32</v>
      </c>
      <c r="O5" s="15" t="s">
        <v>33</v>
      </c>
      <c r="P5" s="15" t="s">
        <v>34</v>
      </c>
      <c r="Q5" s="15" t="s">
        <v>28</v>
      </c>
      <c r="R5" s="15" t="s">
        <v>29</v>
      </c>
      <c r="S5" s="13" t="s">
        <v>12</v>
      </c>
      <c r="T5" s="13" t="s">
        <v>13</v>
      </c>
      <c r="U5" s="13" t="s">
        <v>14</v>
      </c>
      <c r="V5" s="13" t="s">
        <v>15</v>
      </c>
      <c r="W5" s="14" t="s">
        <v>16</v>
      </c>
      <c r="X5" s="13" t="s">
        <v>17</v>
      </c>
      <c r="Y5" s="13" t="s">
        <v>18</v>
      </c>
      <c r="Z5" s="13" t="s">
        <v>19</v>
      </c>
      <c r="AA5" s="13" t="s">
        <v>7</v>
      </c>
      <c r="AB5" s="13" t="s">
        <v>26</v>
      </c>
      <c r="AC5" s="13" t="s">
        <v>27</v>
      </c>
      <c r="AD5" s="16" t="s">
        <v>25</v>
      </c>
      <c r="AE5" s="16" t="s">
        <v>20</v>
      </c>
      <c r="AF5" s="12"/>
      <c r="AG5" s="12"/>
      <c r="AH5" s="12"/>
    </row>
    <row r="6" spans="2:34" s="11" customFormat="1" ht="45.95" customHeight="1" x14ac:dyDescent="0.25">
      <c r="B6" s="17" t="s">
        <v>21</v>
      </c>
      <c r="C6" s="18"/>
      <c r="D6" s="17"/>
      <c r="E6" s="17"/>
      <c r="F6" s="17"/>
      <c r="G6" s="17"/>
      <c r="H6" s="17"/>
      <c r="I6" s="17"/>
      <c r="J6" s="19"/>
      <c r="K6" s="19"/>
      <c r="L6" s="20"/>
      <c r="M6" s="21"/>
      <c r="N6" s="22">
        <f ca="1">IFERROR(DATEDIF(Y6,EOMONTH(TODAY(),0)+1,"m"),0)</f>
        <v>1518</v>
      </c>
      <c r="O6" s="22" t="e">
        <f ca="1">DATEDIF(EOMONTH(TODAY(),0)+1,$Y$6,"M")</f>
        <v>#NUM!</v>
      </c>
      <c r="P6" s="21" t="e">
        <f ca="1">(M6*(1+$R$3/12)^N6)*((1+V6/12)^O6)</f>
        <v>#NUM!</v>
      </c>
      <c r="Q6" s="21" t="e">
        <f>((M6*((1+V6)^($T$6/12)-1)/V6)-(M6*U6/12)-W6)/($T$6/12)</f>
        <v>#DIV/0!</v>
      </c>
      <c r="R6" s="21" t="e">
        <f>((M6*(1-((1+V6)/(1+$R$2))^($T$6/12))/($R$2-V6))-(M6*U6/12)/(1+$R$2)^(U6/12)-W6)/($T$6/12)</f>
        <v>#DIV/0!</v>
      </c>
      <c r="S6" s="19"/>
      <c r="T6" s="23"/>
      <c r="U6" s="23"/>
      <c r="V6" s="24"/>
      <c r="W6" s="21"/>
      <c r="X6" s="17">
        <f t="shared" ref="X6:X11" si="0">YEAR(Y6)</f>
        <v>1900</v>
      </c>
      <c r="Y6" s="25"/>
      <c r="Z6" s="25">
        <f t="shared" ref="Z6:Z11" si="1">EDATE(Y6, T6)</f>
        <v>0</v>
      </c>
      <c r="AA6" s="19"/>
      <c r="AB6" s="19"/>
      <c r="AC6" s="19"/>
      <c r="AD6" s="26"/>
      <c r="AE6" s="27"/>
    </row>
    <row r="7" spans="2:34" s="11" customFormat="1" ht="45.95" customHeight="1" x14ac:dyDescent="0.25">
      <c r="B7" s="28">
        <v>1</v>
      </c>
      <c r="C7" s="29"/>
      <c r="D7" s="28"/>
      <c r="E7" s="28"/>
      <c r="F7" s="28"/>
      <c r="G7" s="28"/>
      <c r="H7" s="28"/>
      <c r="I7" s="30"/>
      <c r="J7" s="31"/>
      <c r="K7" s="31"/>
      <c r="L7" s="32"/>
      <c r="M7" s="33"/>
      <c r="N7" s="34">
        <f ca="1">IFERROR(DATEDIF(Y7,EOMONTH(TODAY(),0)+1,"m"),0)</f>
        <v>1518</v>
      </c>
      <c r="O7" s="34">
        <f ca="1">IFERROR(DATEDIF(EOMONTH(TODAY(),0)+1,$Y$6,"M"),0)</f>
        <v>0</v>
      </c>
      <c r="P7" s="33">
        <f ca="1">(M7*(1+$R$3/12)^N7)*((1+V7/12)^O7)</f>
        <v>0</v>
      </c>
      <c r="Q7" s="33" t="e">
        <f ca="1">((P7*((1+V7)^($T$6/12)-1)/V7)-(P7*U7/12)-W7)/($T$6/12)</f>
        <v>#DIV/0!</v>
      </c>
      <c r="R7" s="33" t="e">
        <f t="shared" ref="R7:R11" ca="1" si="2">((P7*(1-((1+V7)/(1+$R$2))^($T$6/12))/($R$2-V7))-(P7*U7/12)/(1+$R$2)^(U7/12)-W7)/($T$6/12)</f>
        <v>#DIV/0!</v>
      </c>
      <c r="S7" s="31"/>
      <c r="T7" s="35"/>
      <c r="U7" s="35"/>
      <c r="V7" s="36"/>
      <c r="W7" s="33"/>
      <c r="X7" s="28">
        <f t="shared" si="0"/>
        <v>1900</v>
      </c>
      <c r="Y7" s="37"/>
      <c r="Z7" s="38">
        <f t="shared" si="1"/>
        <v>0</v>
      </c>
      <c r="AA7" s="31"/>
      <c r="AB7" s="31"/>
      <c r="AC7" s="31"/>
      <c r="AD7" s="39"/>
      <c r="AE7" s="40"/>
    </row>
    <row r="8" spans="2:34" s="11" customFormat="1" ht="45.95" customHeight="1" x14ac:dyDescent="0.25">
      <c r="B8" s="28">
        <f t="shared" ref="B8:B11" si="3">B7+1</f>
        <v>2</v>
      </c>
      <c r="C8" s="29"/>
      <c r="D8" s="28"/>
      <c r="E8" s="28"/>
      <c r="F8" s="28"/>
      <c r="G8" s="28"/>
      <c r="H8" s="28"/>
      <c r="I8" s="30"/>
      <c r="J8" s="31"/>
      <c r="K8" s="31"/>
      <c r="L8" s="32"/>
      <c r="M8" s="33"/>
      <c r="N8" s="34">
        <f t="shared" ref="N8:N11" ca="1" si="4">IFERROR(DATEDIF(Y8,EOMONTH(TODAY(),0)+1,"m"),0)</f>
        <v>1518</v>
      </c>
      <c r="O8" s="34">
        <f t="shared" ref="O8:O11" ca="1" si="5">IFERROR(DATEDIF(EOMONTH(TODAY(),0)+1,$Y$6,"M"),0)</f>
        <v>0</v>
      </c>
      <c r="P8" s="33">
        <f ca="1">(M8*(1+$R$3/12)^N8)*((1+V8/12)^O8)</f>
        <v>0</v>
      </c>
      <c r="Q8" s="33" t="e">
        <f t="shared" ref="Q8:Q11" ca="1" si="6">((P8*((1+V8)^($T$6/12)-1)/V8)-(P8*U8/12)-W8)/($T$6/12)</f>
        <v>#DIV/0!</v>
      </c>
      <c r="R8" s="33" t="e">
        <f t="shared" ca="1" si="2"/>
        <v>#DIV/0!</v>
      </c>
      <c r="S8" s="31"/>
      <c r="T8" s="35"/>
      <c r="U8" s="35"/>
      <c r="V8" s="36"/>
      <c r="W8" s="33"/>
      <c r="X8" s="28">
        <f t="shared" si="0"/>
        <v>1900</v>
      </c>
      <c r="Y8" s="37"/>
      <c r="Z8" s="38">
        <f t="shared" si="1"/>
        <v>0</v>
      </c>
      <c r="AA8" s="31"/>
      <c r="AB8" s="31"/>
      <c r="AC8" s="31"/>
      <c r="AD8" s="39"/>
      <c r="AE8" s="40"/>
    </row>
    <row r="9" spans="2:34" s="11" customFormat="1" ht="45.95" customHeight="1" x14ac:dyDescent="0.25">
      <c r="B9" s="28">
        <f t="shared" si="3"/>
        <v>3</v>
      </c>
      <c r="C9" s="29"/>
      <c r="D9" s="28"/>
      <c r="E9" s="28"/>
      <c r="F9" s="28"/>
      <c r="G9" s="28"/>
      <c r="H9" s="28"/>
      <c r="I9" s="30"/>
      <c r="J9" s="31"/>
      <c r="K9" s="31"/>
      <c r="L9" s="32"/>
      <c r="M9" s="33"/>
      <c r="N9" s="34">
        <f t="shared" ca="1" si="4"/>
        <v>1518</v>
      </c>
      <c r="O9" s="34">
        <f t="shared" ca="1" si="5"/>
        <v>0</v>
      </c>
      <c r="P9" s="33">
        <f t="shared" ref="P9:P11" ca="1" si="7">(M9*(1+$R$3/12)^N9)*((1+V9/12)^O9)</f>
        <v>0</v>
      </c>
      <c r="Q9" s="33" t="e">
        <f t="shared" ca="1" si="6"/>
        <v>#DIV/0!</v>
      </c>
      <c r="R9" s="33" t="e">
        <f t="shared" ca="1" si="2"/>
        <v>#DIV/0!</v>
      </c>
      <c r="S9" s="31"/>
      <c r="T9" s="35"/>
      <c r="U9" s="35"/>
      <c r="V9" s="36"/>
      <c r="W9" s="33"/>
      <c r="X9" s="28">
        <f t="shared" si="0"/>
        <v>1900</v>
      </c>
      <c r="Y9" s="37"/>
      <c r="Z9" s="38">
        <f t="shared" si="1"/>
        <v>0</v>
      </c>
      <c r="AA9" s="31"/>
      <c r="AB9" s="31"/>
      <c r="AC9" s="31"/>
      <c r="AD9" s="39"/>
      <c r="AE9" s="40"/>
    </row>
    <row r="10" spans="2:34" s="11" customFormat="1" ht="45.95" customHeight="1" x14ac:dyDescent="0.25">
      <c r="B10" s="28">
        <f t="shared" si="3"/>
        <v>4</v>
      </c>
      <c r="C10" s="29"/>
      <c r="D10" s="28"/>
      <c r="E10" s="28"/>
      <c r="F10" s="28"/>
      <c r="G10" s="28"/>
      <c r="H10" s="28"/>
      <c r="I10" s="30"/>
      <c r="J10" s="31"/>
      <c r="K10" s="31"/>
      <c r="L10" s="32"/>
      <c r="M10" s="33"/>
      <c r="N10" s="34">
        <f t="shared" ca="1" si="4"/>
        <v>1518</v>
      </c>
      <c r="O10" s="34">
        <f t="shared" ca="1" si="5"/>
        <v>0</v>
      </c>
      <c r="P10" s="33">
        <f t="shared" ca="1" si="7"/>
        <v>0</v>
      </c>
      <c r="Q10" s="33" t="e">
        <f t="shared" ca="1" si="6"/>
        <v>#DIV/0!</v>
      </c>
      <c r="R10" s="33" t="e">
        <f t="shared" ca="1" si="2"/>
        <v>#DIV/0!</v>
      </c>
      <c r="S10" s="31"/>
      <c r="T10" s="35"/>
      <c r="U10" s="35"/>
      <c r="V10" s="36"/>
      <c r="W10" s="33"/>
      <c r="X10" s="28">
        <f t="shared" si="0"/>
        <v>1900</v>
      </c>
      <c r="Y10" s="31"/>
      <c r="Z10" s="38">
        <f t="shared" si="1"/>
        <v>0</v>
      </c>
      <c r="AA10" s="31"/>
      <c r="AB10" s="31"/>
      <c r="AC10" s="31"/>
      <c r="AD10" s="39"/>
      <c r="AE10" s="40"/>
    </row>
    <row r="11" spans="2:34" s="11" customFormat="1" ht="45.95" customHeight="1" x14ac:dyDescent="0.25">
      <c r="B11" s="28">
        <f t="shared" si="3"/>
        <v>5</v>
      </c>
      <c r="C11" s="29"/>
      <c r="D11" s="28"/>
      <c r="E11" s="28"/>
      <c r="F11" s="28"/>
      <c r="G11" s="28"/>
      <c r="H11" s="28"/>
      <c r="I11" s="30"/>
      <c r="J11" s="31"/>
      <c r="K11" s="31"/>
      <c r="L11" s="32"/>
      <c r="M11" s="33"/>
      <c r="N11" s="34">
        <f t="shared" ca="1" si="4"/>
        <v>1518</v>
      </c>
      <c r="O11" s="34">
        <f t="shared" ca="1" si="5"/>
        <v>0</v>
      </c>
      <c r="P11" s="33">
        <f t="shared" ca="1" si="7"/>
        <v>0</v>
      </c>
      <c r="Q11" s="33" t="e">
        <f t="shared" ca="1" si="6"/>
        <v>#DIV/0!</v>
      </c>
      <c r="R11" s="33" t="e">
        <f t="shared" ca="1" si="2"/>
        <v>#DIV/0!</v>
      </c>
      <c r="S11" s="31"/>
      <c r="T11" s="35"/>
      <c r="U11" s="35"/>
      <c r="V11" s="36"/>
      <c r="W11" s="33"/>
      <c r="X11" s="28">
        <f t="shared" si="0"/>
        <v>1900</v>
      </c>
      <c r="Y11" s="31"/>
      <c r="Z11" s="38">
        <f t="shared" si="1"/>
        <v>0</v>
      </c>
      <c r="AA11" s="31"/>
      <c r="AB11" s="31"/>
      <c r="AC11" s="31"/>
      <c r="AD11" s="39"/>
      <c r="AE11" s="40"/>
    </row>
    <row r="12" spans="2:34" s="11" customFormat="1" x14ac:dyDescent="0.25">
      <c r="J12" s="41"/>
      <c r="K12" s="42"/>
      <c r="L12" s="43" t="s">
        <v>22</v>
      </c>
      <c r="M12" s="33" t="e">
        <f>AVERAGE(M7:M11)</f>
        <v>#DIV/0!</v>
      </c>
      <c r="N12" s="44">
        <f ca="1">AVERAGE(N7:N11)</f>
        <v>1518</v>
      </c>
      <c r="O12" s="44">
        <f ca="1">AVERAGE(O7:O11)</f>
        <v>0</v>
      </c>
      <c r="P12" s="33">
        <f ca="1">AVERAGE(P7:P11)</f>
        <v>0</v>
      </c>
      <c r="Q12" s="33" t="e">
        <f ca="1">AVERAGE(Q7:Q11)</f>
        <v>#DIV/0!</v>
      </c>
      <c r="R12" s="33" t="e">
        <f ca="1">AVERAGE(R7:R11)</f>
        <v>#DIV/0!</v>
      </c>
      <c r="S12" s="42"/>
      <c r="T12" s="45"/>
      <c r="U12" s="46"/>
      <c r="V12" s="46"/>
      <c r="W12" s="12"/>
      <c r="X12" s="12"/>
      <c r="Y12" s="12"/>
      <c r="Z12" s="12"/>
      <c r="AA12" s="12"/>
      <c r="AD12" s="12"/>
    </row>
    <row r="17" spans="2:31" x14ac:dyDescent="0.25">
      <c r="B17" s="1" t="s">
        <v>23</v>
      </c>
      <c r="C17" s="2"/>
      <c r="D17" s="2"/>
      <c r="E17" s="2"/>
      <c r="F17" s="2"/>
      <c r="G17" s="2"/>
      <c r="H17" s="2"/>
      <c r="I17" s="2"/>
    </row>
    <row r="19" spans="2:31" ht="45" x14ac:dyDescent="0.25">
      <c r="B19" s="13"/>
      <c r="C19" s="13" t="s">
        <v>1</v>
      </c>
      <c r="D19" s="13" t="s">
        <v>2</v>
      </c>
      <c r="E19" s="13" t="s">
        <v>3</v>
      </c>
      <c r="F19" s="13" t="s">
        <v>24</v>
      </c>
      <c r="G19" s="13" t="s">
        <v>5</v>
      </c>
      <c r="H19" s="13" t="s">
        <v>6</v>
      </c>
      <c r="I19" s="13" t="s">
        <v>4</v>
      </c>
      <c r="J19" s="14" t="s">
        <v>8</v>
      </c>
      <c r="K19" s="14" t="s">
        <v>9</v>
      </c>
      <c r="L19" s="13" t="s">
        <v>10</v>
      </c>
      <c r="M19" s="13" t="s">
        <v>11</v>
      </c>
      <c r="N19" s="15" t="s">
        <v>32</v>
      </c>
      <c r="O19" s="15" t="s">
        <v>33</v>
      </c>
      <c r="P19" s="15" t="s">
        <v>34</v>
      </c>
      <c r="Q19" s="15" t="s">
        <v>28</v>
      </c>
      <c r="R19" s="15" t="s">
        <v>29</v>
      </c>
      <c r="S19" s="13" t="s">
        <v>12</v>
      </c>
      <c r="T19" s="13" t="s">
        <v>13</v>
      </c>
      <c r="U19" s="13" t="s">
        <v>14</v>
      </c>
      <c r="V19" s="13" t="s">
        <v>15</v>
      </c>
      <c r="W19" s="14" t="s">
        <v>16</v>
      </c>
      <c r="X19" s="13" t="s">
        <v>17</v>
      </c>
      <c r="Y19" s="13" t="s">
        <v>18</v>
      </c>
      <c r="Z19" s="13" t="s">
        <v>19</v>
      </c>
      <c r="AA19" s="13" t="s">
        <v>7</v>
      </c>
      <c r="AB19" s="13" t="s">
        <v>26</v>
      </c>
      <c r="AC19" s="13" t="s">
        <v>27</v>
      </c>
      <c r="AD19" s="16" t="s">
        <v>25</v>
      </c>
      <c r="AE19" s="16" t="s">
        <v>20</v>
      </c>
    </row>
    <row r="20" spans="2:31" ht="45.95" customHeight="1" x14ac:dyDescent="0.25">
      <c r="B20" s="28">
        <v>6</v>
      </c>
      <c r="C20" s="29"/>
      <c r="D20" s="28"/>
      <c r="E20" s="28"/>
      <c r="F20" s="28"/>
      <c r="G20" s="28"/>
      <c r="H20" s="28"/>
      <c r="I20" s="30"/>
      <c r="J20" s="31"/>
      <c r="K20" s="31"/>
      <c r="L20" s="32"/>
      <c r="M20" s="33"/>
      <c r="N20" s="34">
        <f ca="1">IFERROR(DATEDIF(Y20,EOMONTH(TODAY(),0)+1,"m"),0)</f>
        <v>1518</v>
      </c>
      <c r="O20" s="34">
        <f ca="1">IFERROR(DATEDIF(EOMONTH(TODAY(),0)+1,$Y$6,"M"),0)</f>
        <v>0</v>
      </c>
      <c r="P20" s="33">
        <f ca="1">(M20*(1+$R$3/12)^N20)*((1+V20/12)^O20)</f>
        <v>0</v>
      </c>
      <c r="Q20" s="33" t="e">
        <f ca="1">((P20*((1+V20)^($T$6/12)-1)/V20)-(P20*U20/12)-W20)/($T$6/12)</f>
        <v>#DIV/0!</v>
      </c>
      <c r="R20" s="33" t="e">
        <f t="shared" ref="R20:R24" ca="1" si="8">((P20*(1-((1+V20)/(1+$R$2))^($T$6/12))/($R$2-V20))-(P20*U20/12)/(1+$R$2)^(U20/12)-W20)/($T$6/12)</f>
        <v>#DIV/0!</v>
      </c>
      <c r="S20" s="31"/>
      <c r="T20" s="35"/>
      <c r="U20" s="35"/>
      <c r="V20" s="36"/>
      <c r="W20" s="33"/>
      <c r="X20" s="28">
        <f>YEAR(Y20)</f>
        <v>1900</v>
      </c>
      <c r="Y20" s="37"/>
      <c r="Z20" s="38">
        <f>EDATE(Y20, T20)</f>
        <v>0</v>
      </c>
      <c r="AA20" s="37"/>
      <c r="AB20" s="31"/>
      <c r="AC20" s="31"/>
      <c r="AD20" s="39"/>
      <c r="AE20" s="40"/>
    </row>
    <row r="21" spans="2:31" ht="45.95" customHeight="1" x14ac:dyDescent="0.25">
      <c r="B21" s="28">
        <v>7</v>
      </c>
      <c r="C21" s="29"/>
      <c r="D21" s="28"/>
      <c r="E21" s="28"/>
      <c r="F21" s="28"/>
      <c r="G21" s="28"/>
      <c r="H21" s="28"/>
      <c r="I21" s="30"/>
      <c r="J21" s="31"/>
      <c r="K21" s="31"/>
      <c r="L21" s="32"/>
      <c r="M21" s="33"/>
      <c r="N21" s="34">
        <f t="shared" ref="N21:N24" ca="1" si="9">IFERROR(DATEDIF(Y21,EOMONTH(TODAY(),0)+1,"m"),0)</f>
        <v>1518</v>
      </c>
      <c r="O21" s="34">
        <f t="shared" ref="O21:O24" ca="1" si="10">IFERROR(DATEDIF(EOMONTH(TODAY(),0)+1,$Y$6,"M"),0)</f>
        <v>0</v>
      </c>
      <c r="P21" s="33">
        <f t="shared" ref="P21:P24" ca="1" si="11">(M21*(1+$R$3/12)^N21)*((1+V21/12)^O21)</f>
        <v>0</v>
      </c>
      <c r="Q21" s="33" t="e">
        <f t="shared" ref="Q21:Q24" ca="1" si="12">((P21*((1+V21)^($T$6/12)-1)/V21)-(P21*U21/12)-W21)/($T$6/12)</f>
        <v>#DIV/0!</v>
      </c>
      <c r="R21" s="33" t="e">
        <f t="shared" ca="1" si="8"/>
        <v>#DIV/0!</v>
      </c>
      <c r="S21" s="31"/>
      <c r="T21" s="35"/>
      <c r="U21" s="35"/>
      <c r="V21" s="36"/>
      <c r="W21" s="33"/>
      <c r="X21" s="28">
        <f t="shared" ref="X21:X24" si="13">YEAR(Y21)</f>
        <v>1900</v>
      </c>
      <c r="Y21" s="37"/>
      <c r="Z21" s="38">
        <f t="shared" ref="Z21:Z24" si="14">EDATE(Y21, T21)</f>
        <v>0</v>
      </c>
      <c r="AA21" s="37"/>
      <c r="AB21" s="31"/>
      <c r="AC21" s="31"/>
      <c r="AD21" s="39"/>
      <c r="AE21" s="40"/>
    </row>
    <row r="22" spans="2:31" ht="45.95" customHeight="1" x14ac:dyDescent="0.25">
      <c r="B22" s="28">
        <v>8</v>
      </c>
      <c r="C22" s="29"/>
      <c r="D22" s="28"/>
      <c r="E22" s="28"/>
      <c r="F22" s="28"/>
      <c r="G22" s="28"/>
      <c r="H22" s="28"/>
      <c r="I22" s="30"/>
      <c r="J22" s="31"/>
      <c r="K22" s="31"/>
      <c r="L22" s="32"/>
      <c r="M22" s="33"/>
      <c r="N22" s="34">
        <f t="shared" ca="1" si="9"/>
        <v>1518</v>
      </c>
      <c r="O22" s="34">
        <f t="shared" ca="1" si="10"/>
        <v>0</v>
      </c>
      <c r="P22" s="33">
        <f t="shared" ca="1" si="11"/>
        <v>0</v>
      </c>
      <c r="Q22" s="33" t="e">
        <f t="shared" ca="1" si="12"/>
        <v>#DIV/0!</v>
      </c>
      <c r="R22" s="33" t="e">
        <f t="shared" ca="1" si="8"/>
        <v>#DIV/0!</v>
      </c>
      <c r="S22" s="31"/>
      <c r="T22" s="35"/>
      <c r="U22" s="35"/>
      <c r="V22" s="36"/>
      <c r="W22" s="33"/>
      <c r="X22" s="28">
        <f t="shared" si="13"/>
        <v>1900</v>
      </c>
      <c r="Y22" s="37"/>
      <c r="Z22" s="38">
        <f t="shared" si="14"/>
        <v>0</v>
      </c>
      <c r="AA22" s="37"/>
      <c r="AB22" s="31"/>
      <c r="AC22" s="31"/>
      <c r="AD22" s="39"/>
      <c r="AE22" s="40"/>
    </row>
    <row r="23" spans="2:31" ht="45.95" customHeight="1" x14ac:dyDescent="0.25">
      <c r="B23" s="28">
        <v>9</v>
      </c>
      <c r="C23" s="29"/>
      <c r="D23" s="28"/>
      <c r="E23" s="28"/>
      <c r="F23" s="28"/>
      <c r="G23" s="28"/>
      <c r="H23" s="28"/>
      <c r="I23" s="30"/>
      <c r="J23" s="31"/>
      <c r="K23" s="31"/>
      <c r="L23" s="32"/>
      <c r="M23" s="33"/>
      <c r="N23" s="34">
        <f t="shared" ca="1" si="9"/>
        <v>1518</v>
      </c>
      <c r="O23" s="34">
        <f t="shared" ca="1" si="10"/>
        <v>0</v>
      </c>
      <c r="P23" s="33">
        <f t="shared" ca="1" si="11"/>
        <v>0</v>
      </c>
      <c r="Q23" s="33" t="e">
        <f t="shared" ca="1" si="12"/>
        <v>#DIV/0!</v>
      </c>
      <c r="R23" s="33" t="e">
        <f t="shared" ca="1" si="8"/>
        <v>#DIV/0!</v>
      </c>
      <c r="S23" s="31"/>
      <c r="T23" s="35"/>
      <c r="U23" s="35"/>
      <c r="V23" s="36"/>
      <c r="W23" s="33"/>
      <c r="X23" s="28">
        <f t="shared" si="13"/>
        <v>1900</v>
      </c>
      <c r="Y23" s="37"/>
      <c r="Z23" s="38">
        <f t="shared" si="14"/>
        <v>0</v>
      </c>
      <c r="AA23" s="37"/>
      <c r="AB23" s="31"/>
      <c r="AC23" s="31"/>
      <c r="AD23" s="39"/>
      <c r="AE23" s="40"/>
    </row>
    <row r="24" spans="2:31" ht="45.95" customHeight="1" x14ac:dyDescent="0.25">
      <c r="B24" s="28">
        <v>10</v>
      </c>
      <c r="C24" s="29"/>
      <c r="D24" s="28"/>
      <c r="E24" s="28"/>
      <c r="F24" s="28"/>
      <c r="G24" s="28"/>
      <c r="H24" s="28"/>
      <c r="I24" s="30"/>
      <c r="J24" s="31"/>
      <c r="K24" s="31"/>
      <c r="L24" s="32"/>
      <c r="M24" s="33"/>
      <c r="N24" s="34">
        <f t="shared" ca="1" si="9"/>
        <v>1518</v>
      </c>
      <c r="O24" s="34">
        <f t="shared" ca="1" si="10"/>
        <v>0</v>
      </c>
      <c r="P24" s="33">
        <f t="shared" ca="1" si="11"/>
        <v>0</v>
      </c>
      <c r="Q24" s="33" t="e">
        <f t="shared" ca="1" si="12"/>
        <v>#DIV/0!</v>
      </c>
      <c r="R24" s="33" t="e">
        <f t="shared" ca="1" si="8"/>
        <v>#DIV/0!</v>
      </c>
      <c r="S24" s="31"/>
      <c r="T24" s="35"/>
      <c r="U24" s="35"/>
      <c r="V24" s="36"/>
      <c r="W24" s="33"/>
      <c r="X24" s="28">
        <f t="shared" si="13"/>
        <v>1900</v>
      </c>
      <c r="Y24" s="37"/>
      <c r="Z24" s="38">
        <f t="shared" si="14"/>
        <v>0</v>
      </c>
      <c r="AA24" s="37"/>
      <c r="AB24" s="31"/>
      <c r="AC24" s="31"/>
      <c r="AD24" s="39"/>
      <c r="AE24" s="40"/>
    </row>
  </sheetData>
  <dataConsolidate/>
  <mergeCells count="2">
    <mergeCell ref="B2:D2"/>
    <mergeCell ref="B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- Lease Comps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Jaime</dc:creator>
  <cp:lastModifiedBy>Rasmussen, Nicole [C]</cp:lastModifiedBy>
  <dcterms:created xsi:type="dcterms:W3CDTF">2025-07-01T16:15:43Z</dcterms:created>
  <dcterms:modified xsi:type="dcterms:W3CDTF">2026-06-11T15:18:27Z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2025-10-27T22:55:21Z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392c5a2a-da91-4bd0-a245-992551d47cf7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