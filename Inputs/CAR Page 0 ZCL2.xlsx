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irkham\Documents\Vault\Inputs\"/>
    </mc:Choice>
  </mc:AlternateContent>
  <xr:revisionPtr revIDLastSave="0" documentId="13_ncr:1_{3DD1B6CC-1A10-47AE-942A-D5F3E9BAF3EA}" xr6:coauthVersionLast="47" xr6:coauthVersionMax="47" xr10:uidLastSave="{00000000-0000-0000-0000-000000000000}"/>
  <bookViews>
    <workbookView xWindow="-120" yWindow="-120" windowWidth="51840" windowHeight="21120" firstSheet="1" activeTab="6" xr2:uid="{00000000-000D-0000-FFFF-FFFF00000000}"/>
  </bookViews>
  <sheets>
    <sheet name="Site Selection Scorecard" sheetId="1" state="hidden" r:id="rId1"/>
    <sheet name="CAR Approval Page 0" sheetId="2" r:id="rId2"/>
    <sheet name="FA Inputs" sheetId="3" state="hidden" r:id="rId3"/>
    <sheet name="Topology Map" sheetId="4" r:id="rId4"/>
    <sheet name="Dropdowns (Hidden)" sheetId="5" state="hidden" r:id="rId5"/>
    <sheet name="Cash Flow" sheetId="6" r:id="rId6"/>
    <sheet name="Comps" sheetId="7" r:id="rId7"/>
    <sheet name="Cost Estimation" sheetId="8" r:id="rId8"/>
    <sheet name="Startup Templates" sheetId="9" r:id="rId9"/>
    <sheet name="Design" sheetId="10" r:id="rId10"/>
    <sheet name="Site Pictures" sheetId="11" r:id="rId11"/>
    <sheet name="Landlord Work" sheetId="12" r:id="rId12"/>
    <sheet name="Change Log" sheetId="13" state="hidden" r:id="rId13"/>
    <sheet name="Scorecard Category_Definitions" sheetId="14"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8" l="1"/>
  <c r="P14" i="8"/>
  <c r="R14" i="8" s="1"/>
  <c r="Q9" i="8"/>
  <c r="P9" i="8"/>
  <c r="R9" i="8" s="1"/>
  <c r="Q8" i="8"/>
  <c r="Q10" i="8" s="1"/>
  <c r="Q11" i="8" s="1"/>
  <c r="P8" i="8"/>
  <c r="R7" i="8"/>
  <c r="Q7" i="8"/>
  <c r="Q12" i="8" s="1"/>
  <c r="P7" i="8"/>
  <c r="P12" i="8" s="1"/>
  <c r="R12" i="8" s="1"/>
  <c r="R6" i="8"/>
  <c r="Q6" i="8"/>
  <c r="P6" i="8"/>
  <c r="P10" i="8" s="1"/>
  <c r="R5" i="8"/>
  <c r="Q5" i="8"/>
  <c r="P5" i="8"/>
  <c r="P13" i="8" s="1"/>
  <c r="Q4" i="8"/>
  <c r="P4" i="8"/>
  <c r="R4" i="8" s="1"/>
  <c r="T16" i="7"/>
  <c r="T15" i="7"/>
  <c r="H71" i="6"/>
  <c r="C71" i="6"/>
  <c r="B71" i="6"/>
  <c r="C44" i="6"/>
  <c r="F36" i="6"/>
  <c r="E36" i="6"/>
  <c r="D33" i="6"/>
  <c r="K33" i="6" s="1"/>
  <c r="I41" i="6" s="1"/>
  <c r="E19" i="6"/>
  <c r="G11" i="6"/>
  <c r="H11" i="6" s="1"/>
  <c r="I10" i="6"/>
  <c r="H9" i="6"/>
  <c r="G10" i="6" s="1"/>
  <c r="G9" i="6"/>
  <c r="D21" i="3"/>
  <c r="D20" i="3"/>
  <c r="D14" i="3"/>
  <c r="D10" i="3"/>
  <c r="D12" i="3" s="1"/>
  <c r="D4" i="3"/>
  <c r="E61" i="2"/>
  <c r="G37" i="2"/>
  <c r="D18" i="3" s="1"/>
  <c r="G35" i="2"/>
  <c r="D16" i="3" s="1"/>
  <c r="G34" i="2"/>
  <c r="D15" i="3" s="1"/>
  <c r="G32" i="2"/>
  <c r="D11" i="3" s="1"/>
  <c r="G31" i="2"/>
  <c r="G20" i="2"/>
  <c r="G15" i="2"/>
  <c r="F7" i="2"/>
  <c r="D8" i="3" s="1"/>
  <c r="B7" i="2"/>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K6" i="2"/>
  <c r="B6" i="2"/>
  <c r="N5" i="2"/>
  <c r="N7" i="2" s="1"/>
  <c r="L5" i="2"/>
  <c r="L7" i="2" s="1"/>
  <c r="D9" i="3" s="1"/>
  <c r="K5" i="2"/>
  <c r="K7" i="2" s="1"/>
  <c r="D7" i="3" s="1"/>
  <c r="J5" i="2"/>
  <c r="J7" i="2" s="1"/>
  <c r="I5" i="2"/>
  <c r="F5" i="2"/>
  <c r="J29" i="1"/>
  <c r="J28" i="1"/>
  <c r="J27" i="1"/>
  <c r="J26" i="1"/>
  <c r="J25" i="1"/>
  <c r="J24" i="1"/>
  <c r="J23" i="1"/>
  <c r="J22" i="1"/>
  <c r="J21" i="1"/>
  <c r="J20" i="1"/>
  <c r="J19" i="1"/>
  <c r="J18" i="1"/>
  <c r="E16" i="1"/>
  <c r="J14" i="1"/>
  <c r="E14" i="1"/>
  <c r="J13" i="1"/>
  <c r="J12" i="1"/>
  <c r="J11" i="1"/>
  <c r="J10" i="1"/>
  <c r="J9" i="1"/>
  <c r="J7" i="1"/>
  <c r="C33" i="1" s="1"/>
  <c r="G12" i="6" l="1"/>
  <c r="H12" i="6" s="1"/>
  <c r="I11" i="6"/>
  <c r="I44" i="6"/>
  <c r="C32" i="1"/>
  <c r="R13" i="8"/>
  <c r="P15" i="8"/>
  <c r="C34" i="1"/>
  <c r="B72" i="6"/>
  <c r="L71" i="6"/>
  <c r="C35" i="1"/>
  <c r="G33" i="6"/>
  <c r="K71" i="6"/>
  <c r="R10" i="8"/>
  <c r="I6" i="2" s="1"/>
  <c r="I7" i="2" s="1"/>
  <c r="D6" i="3" s="1"/>
  <c r="P11" i="8"/>
  <c r="R11" i="8" s="1"/>
  <c r="Q13" i="8"/>
  <c r="Q15" i="8" s="1"/>
  <c r="R8" i="8"/>
  <c r="R15" i="8" l="1"/>
  <c r="M9" i="2" s="1"/>
  <c r="L72" i="6"/>
  <c r="C72" i="6"/>
  <c r="H72" i="6" s="1"/>
  <c r="K72" i="6"/>
  <c r="B73" i="6"/>
  <c r="G13" i="6"/>
  <c r="H13" i="6" s="1"/>
  <c r="I12" i="6"/>
  <c r="G39" i="2"/>
  <c r="F8" i="2"/>
  <c r="R16" i="8" s="1"/>
  <c r="P17" i="8" s="1"/>
  <c r="I13" i="6" l="1"/>
  <c r="G14" i="6"/>
  <c r="H14" i="6" s="1"/>
  <c r="B74" i="6"/>
  <c r="L73" i="6"/>
  <c r="C73" i="6"/>
  <c r="H73" i="6" s="1"/>
  <c r="K73" i="6"/>
  <c r="I9" i="2"/>
  <c r="E15" i="1"/>
  <c r="E17" i="1" s="1"/>
  <c r="G15" i="6" l="1"/>
  <c r="H15" i="6" s="1"/>
  <c r="I14" i="6"/>
  <c r="L74" i="6"/>
  <c r="C74" i="6"/>
  <c r="H74" i="6" s="1"/>
  <c r="K74" i="6"/>
  <c r="B75" i="6"/>
  <c r="I15" i="6" l="1"/>
  <c r="G16" i="6"/>
  <c r="H16" i="6" s="1"/>
  <c r="B76" i="6"/>
  <c r="L75" i="6"/>
  <c r="C75" i="6"/>
  <c r="H75" i="6" s="1"/>
  <c r="K75" i="6"/>
  <c r="L76" i="6" l="1"/>
  <c r="C76" i="6"/>
  <c r="H76" i="6" s="1"/>
  <c r="K76" i="6"/>
  <c r="B77" i="6"/>
  <c r="G17" i="6"/>
  <c r="H17" i="6" s="1"/>
  <c r="I16" i="6"/>
  <c r="B78" i="6" l="1"/>
  <c r="L77" i="6"/>
  <c r="C77" i="6"/>
  <c r="H77" i="6" s="1"/>
  <c r="K77" i="6"/>
  <c r="I17" i="6"/>
  <c r="G18" i="6"/>
  <c r="H18" i="6" s="1"/>
  <c r="L78" i="6" l="1"/>
  <c r="C78" i="6"/>
  <c r="H78" i="6" s="1"/>
  <c r="K78" i="6"/>
  <c r="B79" i="6"/>
  <c r="G19" i="6"/>
  <c r="I18" i="6"/>
  <c r="H19" i="6" l="1"/>
  <c r="B80" i="6"/>
  <c r="L79" i="6"/>
  <c r="C79" i="6"/>
  <c r="H79" i="6" s="1"/>
  <c r="K79" i="6"/>
  <c r="L80" i="6" l="1"/>
  <c r="C80" i="6"/>
  <c r="H80" i="6" s="1"/>
  <c r="K80" i="6"/>
  <c r="B81" i="6"/>
  <c r="G20" i="6"/>
  <c r="I19" i="6"/>
  <c r="H20" i="6" l="1"/>
  <c r="B82" i="6"/>
  <c r="L81" i="6"/>
  <c r="C81" i="6"/>
  <c r="H81" i="6" s="1"/>
  <c r="K81" i="6"/>
  <c r="L82" i="6" l="1"/>
  <c r="C82" i="6"/>
  <c r="H82" i="6" s="1"/>
  <c r="H48" i="6" s="1"/>
  <c r="K82" i="6"/>
  <c r="K48" i="6" s="1"/>
  <c r="B83" i="6"/>
  <c r="I20" i="6"/>
  <c r="G21" i="6"/>
  <c r="H21" i="6" l="1"/>
  <c r="B84" i="6"/>
  <c r="L83" i="6"/>
  <c r="C83" i="6"/>
  <c r="H83" i="6" s="1"/>
  <c r="K83" i="6"/>
  <c r="L48" i="6"/>
  <c r="L84" i="6" l="1"/>
  <c r="C84" i="6"/>
  <c r="H84" i="6" s="1"/>
  <c r="K84" i="6"/>
  <c r="B85" i="6"/>
  <c r="G22" i="6"/>
  <c r="I21" i="6"/>
  <c r="B86" i="6" l="1"/>
  <c r="L85" i="6"/>
  <c r="C85" i="6"/>
  <c r="H85" i="6" s="1"/>
  <c r="K85" i="6"/>
  <c r="H22" i="6"/>
  <c r="L86" i="6" l="1"/>
  <c r="C86" i="6"/>
  <c r="H86" i="6" s="1"/>
  <c r="K86" i="6"/>
  <c r="B87" i="6"/>
  <c r="I22" i="6"/>
  <c r="G23" i="6"/>
  <c r="B88" i="6" l="1"/>
  <c r="L87" i="6"/>
  <c r="C87" i="6"/>
  <c r="H87" i="6" s="1"/>
  <c r="K87" i="6"/>
  <c r="H23" i="6"/>
  <c r="G24" i="6" l="1"/>
  <c r="I23" i="6"/>
  <c r="L88" i="6"/>
  <c r="C88" i="6"/>
  <c r="H88" i="6" s="1"/>
  <c r="K88" i="6"/>
  <c r="B89" i="6"/>
  <c r="B90" i="6" l="1"/>
  <c r="L89" i="6"/>
  <c r="C89" i="6"/>
  <c r="H89" i="6" s="1"/>
  <c r="K89" i="6"/>
  <c r="H24" i="6"/>
  <c r="G25" i="6" l="1"/>
  <c r="I24" i="6"/>
  <c r="L90" i="6"/>
  <c r="C90" i="6"/>
  <c r="H90" i="6" s="1"/>
  <c r="K90" i="6"/>
  <c r="B91" i="6"/>
  <c r="B92" i="6" l="1"/>
  <c r="L91" i="6"/>
  <c r="C91" i="6"/>
  <c r="H91" i="6" s="1"/>
  <c r="K91" i="6"/>
  <c r="H25" i="6"/>
  <c r="G26" i="6" l="1"/>
  <c r="I25" i="6"/>
  <c r="L92" i="6"/>
  <c r="C92" i="6"/>
  <c r="H92" i="6" s="1"/>
  <c r="K92" i="6"/>
  <c r="B93" i="6"/>
  <c r="B94" i="6" l="1"/>
  <c r="L93" i="6"/>
  <c r="C93" i="6"/>
  <c r="H93" i="6" s="1"/>
  <c r="K93" i="6"/>
  <c r="H26" i="6"/>
  <c r="G27" i="6" l="1"/>
  <c r="I26" i="6"/>
  <c r="L94" i="6"/>
  <c r="C94" i="6"/>
  <c r="H94" i="6" s="1"/>
  <c r="H49" i="6" s="1"/>
  <c r="K94" i="6"/>
  <c r="K49" i="6" s="1"/>
  <c r="B95" i="6"/>
  <c r="B96" i="6" l="1"/>
  <c r="L95" i="6"/>
  <c r="C95" i="6"/>
  <c r="H95" i="6" s="1"/>
  <c r="K95" i="6"/>
  <c r="L49" i="6"/>
  <c r="H27" i="6"/>
  <c r="G28" i="6" l="1"/>
  <c r="I27" i="6"/>
  <c r="L96" i="6"/>
  <c r="C96" i="6"/>
  <c r="H96" i="6" s="1"/>
  <c r="K96" i="6"/>
  <c r="B97" i="6"/>
  <c r="B98" i="6" l="1"/>
  <c r="L97" i="6"/>
  <c r="C97" i="6"/>
  <c r="H97" i="6" s="1"/>
  <c r="K97" i="6"/>
  <c r="H28" i="6"/>
  <c r="L98" i="6" l="1"/>
  <c r="C98" i="6"/>
  <c r="H98" i="6" s="1"/>
  <c r="K98" i="6"/>
  <c r="B99" i="6"/>
  <c r="D98" i="6"/>
  <c r="E98" i="6" s="1"/>
  <c r="I28" i="6"/>
  <c r="G29" i="6"/>
  <c r="G98" i="6" l="1"/>
  <c r="F98" i="6"/>
  <c r="I98" i="6" s="1"/>
  <c r="N98" i="6" s="1"/>
  <c r="P98" i="6" s="1"/>
  <c r="H29" i="6"/>
  <c r="I29" i="6" s="1"/>
  <c r="D96" i="6"/>
  <c r="E96" i="6" s="1"/>
  <c r="D94" i="6"/>
  <c r="E94" i="6" s="1"/>
  <c r="D95" i="6"/>
  <c r="E95" i="6" s="1"/>
  <c r="D93" i="6"/>
  <c r="E93" i="6" s="1"/>
  <c r="D92" i="6"/>
  <c r="E92" i="6" s="1"/>
  <c r="D91" i="6"/>
  <c r="E91" i="6" s="1"/>
  <c r="D97" i="6"/>
  <c r="E97" i="6" s="1"/>
  <c r="B100" i="6"/>
  <c r="D99" i="6"/>
  <c r="E99" i="6" s="1"/>
  <c r="L99" i="6"/>
  <c r="C99" i="6"/>
  <c r="H99" i="6" s="1"/>
  <c r="K99" i="6"/>
  <c r="G96" i="6" l="1"/>
  <c r="F96" i="6"/>
  <c r="I96" i="6" s="1"/>
  <c r="N96" i="6" s="1"/>
  <c r="P96" i="6" s="1"/>
  <c r="G99" i="6"/>
  <c r="F99" i="6"/>
  <c r="I99" i="6" s="1"/>
  <c r="L100" i="6"/>
  <c r="C100" i="6"/>
  <c r="H100" i="6" s="1"/>
  <c r="K100" i="6"/>
  <c r="B101" i="6"/>
  <c r="D100" i="6"/>
  <c r="E100" i="6" s="1"/>
  <c r="G95" i="6"/>
  <c r="F95" i="6"/>
  <c r="G94" i="6"/>
  <c r="F94" i="6"/>
  <c r="D73" i="6"/>
  <c r="E73" i="6" s="1"/>
  <c r="D72" i="6"/>
  <c r="E72" i="6" s="1"/>
  <c r="D75" i="6"/>
  <c r="E75" i="6" s="1"/>
  <c r="D77" i="6"/>
  <c r="E77" i="6" s="1"/>
  <c r="D74" i="6"/>
  <c r="E74" i="6" s="1"/>
  <c r="D76" i="6"/>
  <c r="E76" i="6" s="1"/>
  <c r="D71" i="6"/>
  <c r="E71" i="6" s="1"/>
  <c r="D80" i="6"/>
  <c r="E80" i="6" s="1"/>
  <c r="D79" i="6"/>
  <c r="E79" i="6" s="1"/>
  <c r="D78" i="6"/>
  <c r="E78" i="6" s="1"/>
  <c r="D81" i="6"/>
  <c r="E81" i="6" s="1"/>
  <c r="D82" i="6"/>
  <c r="E82" i="6" s="1"/>
  <c r="D83" i="6"/>
  <c r="E83" i="6" s="1"/>
  <c r="D84" i="6"/>
  <c r="E84" i="6" s="1"/>
  <c r="D85" i="6"/>
  <c r="E85" i="6" s="1"/>
  <c r="D87" i="6"/>
  <c r="E87" i="6" s="1"/>
  <c r="D86" i="6"/>
  <c r="E86" i="6" s="1"/>
  <c r="D89" i="6"/>
  <c r="E89" i="6" s="1"/>
  <c r="D90" i="6"/>
  <c r="E90" i="6" s="1"/>
  <c r="D88" i="6"/>
  <c r="E88" i="6" s="1"/>
  <c r="G97" i="6"/>
  <c r="F97" i="6"/>
  <c r="I97" i="6" s="1"/>
  <c r="N97" i="6" s="1"/>
  <c r="P97" i="6" s="1"/>
  <c r="G91" i="6"/>
  <c r="F91" i="6"/>
  <c r="I91" i="6" s="1"/>
  <c r="N91" i="6" s="1"/>
  <c r="P91" i="6" s="1"/>
  <c r="G92" i="6"/>
  <c r="F92" i="6"/>
  <c r="I92" i="6" s="1"/>
  <c r="N92" i="6" s="1"/>
  <c r="P92" i="6" s="1"/>
  <c r="N99" i="6"/>
  <c r="P99" i="6" s="1"/>
  <c r="G93" i="6"/>
  <c r="F93" i="6"/>
  <c r="G78" i="6" l="1"/>
  <c r="F78" i="6"/>
  <c r="I78" i="6" s="1"/>
  <c r="N78" i="6" s="1"/>
  <c r="P78" i="6" s="1"/>
  <c r="G86" i="6"/>
  <c r="F86" i="6"/>
  <c r="I86" i="6" s="1"/>
  <c r="N86" i="6" s="1"/>
  <c r="P86" i="6" s="1"/>
  <c r="G79" i="6"/>
  <c r="F79" i="6"/>
  <c r="G73" i="6"/>
  <c r="F73" i="6"/>
  <c r="I73" i="6" s="1"/>
  <c r="N73" i="6" s="1"/>
  <c r="P73" i="6" s="1"/>
  <c r="G80" i="6"/>
  <c r="F80" i="6"/>
  <c r="I80" i="6" s="1"/>
  <c r="N80" i="6" s="1"/>
  <c r="P80" i="6" s="1"/>
  <c r="I94" i="6"/>
  <c r="N94" i="6" s="1"/>
  <c r="P94" i="6" s="1"/>
  <c r="G76" i="6"/>
  <c r="F76" i="6"/>
  <c r="I76" i="6" s="1"/>
  <c r="N76" i="6" s="1"/>
  <c r="P76" i="6" s="1"/>
  <c r="G89" i="6"/>
  <c r="F89" i="6"/>
  <c r="I89" i="6" s="1"/>
  <c r="N89" i="6" s="1"/>
  <c r="P89" i="6" s="1"/>
  <c r="B102" i="6"/>
  <c r="D101" i="6"/>
  <c r="E101" i="6" s="1"/>
  <c r="L101" i="6"/>
  <c r="C101" i="6"/>
  <c r="H101" i="6" s="1"/>
  <c r="K101" i="6"/>
  <c r="I93" i="6"/>
  <c r="N93" i="6" s="1"/>
  <c r="P93" i="6" s="1"/>
  <c r="G83" i="6"/>
  <c r="F83" i="6"/>
  <c r="E49" i="6"/>
  <c r="G74" i="6"/>
  <c r="F74" i="6"/>
  <c r="I74" i="6" s="1"/>
  <c r="N74" i="6" s="1"/>
  <c r="P74" i="6" s="1"/>
  <c r="I95" i="6"/>
  <c r="G72" i="6"/>
  <c r="F72" i="6"/>
  <c r="I72" i="6" s="1"/>
  <c r="N72" i="6" s="1"/>
  <c r="P72" i="6" s="1"/>
  <c r="G85" i="6"/>
  <c r="F85" i="6"/>
  <c r="G84" i="6"/>
  <c r="F84" i="6"/>
  <c r="I84" i="6" s="1"/>
  <c r="N84" i="6" s="1"/>
  <c r="P84" i="6" s="1"/>
  <c r="G87" i="6"/>
  <c r="F87" i="6"/>
  <c r="G71" i="6"/>
  <c r="F71" i="6"/>
  <c r="E48" i="6"/>
  <c r="G88" i="6"/>
  <c r="F88" i="6"/>
  <c r="I88" i="6" s="1"/>
  <c r="N88" i="6" s="1"/>
  <c r="P88" i="6" s="1"/>
  <c r="G82" i="6"/>
  <c r="F82" i="6"/>
  <c r="I82" i="6" s="1"/>
  <c r="N82" i="6" s="1"/>
  <c r="P82" i="6" s="1"/>
  <c r="G77" i="6"/>
  <c r="F77" i="6"/>
  <c r="G90" i="6"/>
  <c r="F90" i="6"/>
  <c r="I90" i="6" s="1"/>
  <c r="N90" i="6" s="1"/>
  <c r="P90" i="6" s="1"/>
  <c r="G81" i="6"/>
  <c r="F81" i="6"/>
  <c r="I81" i="6" s="1"/>
  <c r="N81" i="6" s="1"/>
  <c r="P81" i="6" s="1"/>
  <c r="G75" i="6"/>
  <c r="F75" i="6"/>
  <c r="I75" i="6" s="1"/>
  <c r="N75" i="6" s="1"/>
  <c r="P75" i="6" s="1"/>
  <c r="G100" i="6"/>
  <c r="F100" i="6"/>
  <c r="G49" i="6" l="1"/>
  <c r="I87" i="6"/>
  <c r="N87" i="6" s="1"/>
  <c r="P87" i="6" s="1"/>
  <c r="I79" i="6"/>
  <c r="N79" i="6" s="1"/>
  <c r="P79" i="6" s="1"/>
  <c r="I71" i="6"/>
  <c r="E17" i="6"/>
  <c r="F48" i="6"/>
  <c r="F49" i="6"/>
  <c r="I83" i="6"/>
  <c r="L102" i="6"/>
  <c r="C102" i="6"/>
  <c r="H102" i="6" s="1"/>
  <c r="K102" i="6"/>
  <c r="B103" i="6"/>
  <c r="D102" i="6"/>
  <c r="E102" i="6" s="1"/>
  <c r="N95" i="6"/>
  <c r="E11" i="6"/>
  <c r="G48" i="6"/>
  <c r="E16" i="6"/>
  <c r="I100" i="6"/>
  <c r="N100" i="6" s="1"/>
  <c r="P100" i="6" s="1"/>
  <c r="I77" i="6"/>
  <c r="N77" i="6" s="1"/>
  <c r="P77" i="6" s="1"/>
  <c r="I85" i="6"/>
  <c r="N85" i="6" s="1"/>
  <c r="P85" i="6" s="1"/>
  <c r="G101" i="6"/>
  <c r="F101" i="6"/>
  <c r="G102" i="6" l="1"/>
  <c r="F102" i="6"/>
  <c r="B104" i="6"/>
  <c r="D103" i="6"/>
  <c r="E103" i="6" s="1"/>
  <c r="L103" i="6"/>
  <c r="C103" i="6"/>
  <c r="H103" i="6" s="1"/>
  <c r="K103" i="6"/>
  <c r="F11" i="6"/>
  <c r="G36" i="2"/>
  <c r="D17" i="3" s="1"/>
  <c r="P95" i="6"/>
  <c r="I48" i="6"/>
  <c r="N71" i="6"/>
  <c r="I101" i="6"/>
  <c r="I49" i="6"/>
  <c r="N83" i="6"/>
  <c r="G103" i="6" l="1"/>
  <c r="F103" i="6"/>
  <c r="L104" i="6"/>
  <c r="C104" i="6"/>
  <c r="H104" i="6" s="1"/>
  <c r="K104" i="6"/>
  <c r="B105" i="6"/>
  <c r="D104" i="6"/>
  <c r="E104" i="6" s="1"/>
  <c r="P71" i="6"/>
  <c r="N48" i="6"/>
  <c r="P83" i="6"/>
  <c r="N49" i="6"/>
  <c r="P49" i="6" s="1"/>
  <c r="N101" i="6"/>
  <c r="I102" i="6"/>
  <c r="G104" i="6" l="1"/>
  <c r="F104" i="6"/>
  <c r="I104" i="6" s="1"/>
  <c r="N104" i="6" s="1"/>
  <c r="P104" i="6" s="1"/>
  <c r="B106" i="6"/>
  <c r="D105" i="6"/>
  <c r="E105" i="6" s="1"/>
  <c r="L105" i="6"/>
  <c r="C105" i="6"/>
  <c r="H105" i="6" s="1"/>
  <c r="K105" i="6"/>
  <c r="N102" i="6"/>
  <c r="P102" i="6" s="1"/>
  <c r="I103" i="6"/>
  <c r="P101" i="6"/>
  <c r="P48" i="6"/>
  <c r="G38" i="2" s="1"/>
  <c r="D19" i="3" s="1"/>
  <c r="G41" i="2"/>
  <c r="N103" i="6" l="1"/>
  <c r="G105" i="6"/>
  <c r="F105" i="6"/>
  <c r="L106" i="6"/>
  <c r="C106" i="6"/>
  <c r="H106" i="6" s="1"/>
  <c r="H50" i="6" s="1"/>
  <c r="K106" i="6"/>
  <c r="K50" i="6" s="1"/>
  <c r="B107" i="6"/>
  <c r="D106" i="6"/>
  <c r="E106" i="6" s="1"/>
  <c r="I105" i="6" l="1"/>
  <c r="G106" i="6"/>
  <c r="G50" i="6" s="1"/>
  <c r="F106" i="6"/>
  <c r="I106" i="6" s="1"/>
  <c r="N106" i="6" s="1"/>
  <c r="P106" i="6" s="1"/>
  <c r="E50" i="6"/>
  <c r="L50" i="6"/>
  <c r="B108" i="6"/>
  <c r="D107" i="6"/>
  <c r="E107" i="6" s="1"/>
  <c r="L107" i="6"/>
  <c r="C107" i="6"/>
  <c r="H107" i="6" s="1"/>
  <c r="K107" i="6"/>
  <c r="P103" i="6"/>
  <c r="L108" i="6" l="1"/>
  <c r="C108" i="6"/>
  <c r="H108" i="6" s="1"/>
  <c r="K108" i="6"/>
  <c r="B109" i="6"/>
  <c r="D108" i="6"/>
  <c r="E108" i="6" s="1"/>
  <c r="F50" i="6"/>
  <c r="G107" i="6"/>
  <c r="F107" i="6"/>
  <c r="N105" i="6"/>
  <c r="I50" i="6"/>
  <c r="P105" i="6" l="1"/>
  <c r="N50" i="6"/>
  <c r="P50" i="6" s="1"/>
  <c r="B110" i="6"/>
  <c r="D109" i="6"/>
  <c r="E109" i="6" s="1"/>
  <c r="L109" i="6"/>
  <c r="C109" i="6"/>
  <c r="H109" i="6" s="1"/>
  <c r="K109" i="6"/>
  <c r="I107" i="6"/>
  <c r="G108" i="6"/>
  <c r="F108" i="6"/>
  <c r="I108" i="6" s="1"/>
  <c r="N108" i="6" s="1"/>
  <c r="P108" i="6" s="1"/>
  <c r="G109" i="6" l="1"/>
  <c r="F109" i="6"/>
  <c r="I109" i="6" s="1"/>
  <c r="N109" i="6" s="1"/>
  <c r="P109" i="6" s="1"/>
  <c r="L110" i="6"/>
  <c r="C110" i="6"/>
  <c r="H110" i="6" s="1"/>
  <c r="K110" i="6"/>
  <c r="B111" i="6"/>
  <c r="D110" i="6"/>
  <c r="E110" i="6" s="1"/>
  <c r="N107" i="6"/>
  <c r="P107" i="6" l="1"/>
  <c r="G110" i="6"/>
  <c r="F110" i="6"/>
  <c r="B112" i="6"/>
  <c r="D111" i="6"/>
  <c r="E111" i="6" s="1"/>
  <c r="L111" i="6"/>
  <c r="C111" i="6"/>
  <c r="H111" i="6" s="1"/>
  <c r="K111" i="6"/>
  <c r="I110" i="6" l="1"/>
  <c r="G111" i="6"/>
  <c r="F111" i="6"/>
  <c r="I111" i="6" s="1"/>
  <c r="N111" i="6" s="1"/>
  <c r="P111" i="6" s="1"/>
  <c r="L112" i="6"/>
  <c r="C112" i="6"/>
  <c r="H112" i="6" s="1"/>
  <c r="K112" i="6"/>
  <c r="B113" i="6"/>
  <c r="D112" i="6"/>
  <c r="E112" i="6" s="1"/>
  <c r="G112" i="6" l="1"/>
  <c r="F112" i="6"/>
  <c r="I112" i="6" s="1"/>
  <c r="N112" i="6" s="1"/>
  <c r="P112" i="6" s="1"/>
  <c r="B114" i="6"/>
  <c r="D113" i="6"/>
  <c r="E113" i="6" s="1"/>
  <c r="L113" i="6"/>
  <c r="C113" i="6"/>
  <c r="H113" i="6" s="1"/>
  <c r="K113" i="6"/>
  <c r="N110" i="6"/>
  <c r="P110" i="6" l="1"/>
  <c r="L114" i="6"/>
  <c r="C114" i="6"/>
  <c r="H114" i="6" s="1"/>
  <c r="K114" i="6"/>
  <c r="B115" i="6"/>
  <c r="D114" i="6"/>
  <c r="E114" i="6" s="1"/>
  <c r="G113" i="6"/>
  <c r="F113" i="6"/>
  <c r="I113" i="6" s="1"/>
  <c r="B116" i="6" l="1"/>
  <c r="D115" i="6"/>
  <c r="E115" i="6" s="1"/>
  <c r="L115" i="6"/>
  <c r="C115" i="6"/>
  <c r="H115" i="6" s="1"/>
  <c r="K115" i="6"/>
  <c r="N113" i="6"/>
  <c r="N114" i="6"/>
  <c r="P114" i="6" s="1"/>
  <c r="G114" i="6"/>
  <c r="F114" i="6"/>
  <c r="I114" i="6" s="1"/>
  <c r="P113" i="6" l="1"/>
  <c r="G115" i="6"/>
  <c r="F115" i="6"/>
  <c r="I115" i="6" s="1"/>
  <c r="L116" i="6"/>
  <c r="C116" i="6"/>
  <c r="H116" i="6" s="1"/>
  <c r="K116" i="6"/>
  <c r="B117" i="6"/>
  <c r="D116" i="6"/>
  <c r="E116" i="6" s="1"/>
  <c r="G116" i="6" l="1"/>
  <c r="F116" i="6"/>
  <c r="I116" i="6" s="1"/>
  <c r="N116" i="6" s="1"/>
  <c r="P116" i="6" s="1"/>
  <c r="B118" i="6"/>
  <c r="D117" i="6"/>
  <c r="E117" i="6" s="1"/>
  <c r="L117" i="6"/>
  <c r="C117" i="6"/>
  <c r="H117" i="6" s="1"/>
  <c r="K117" i="6"/>
  <c r="N115" i="6"/>
  <c r="G117" i="6" l="1"/>
  <c r="F117" i="6"/>
  <c r="I117" i="6" s="1"/>
  <c r="N117" i="6"/>
  <c r="P117" i="6" s="1"/>
  <c r="L118" i="6"/>
  <c r="C118" i="6"/>
  <c r="H118" i="6" s="1"/>
  <c r="H51" i="6" s="1"/>
  <c r="K118" i="6"/>
  <c r="K51" i="6" s="1"/>
  <c r="B119" i="6"/>
  <c r="D118" i="6"/>
  <c r="E118" i="6" s="1"/>
  <c r="P115" i="6"/>
  <c r="G118" i="6" l="1"/>
  <c r="G51" i="6" s="1"/>
  <c r="F118" i="6"/>
  <c r="E51" i="6"/>
  <c r="L51" i="6"/>
  <c r="B120" i="6"/>
  <c r="D119" i="6"/>
  <c r="E119" i="6" s="1"/>
  <c r="L119" i="6"/>
  <c r="C119" i="6"/>
  <c r="H119" i="6" s="1"/>
  <c r="K119" i="6"/>
  <c r="L120" i="6" l="1"/>
  <c r="C120" i="6"/>
  <c r="H120" i="6" s="1"/>
  <c r="K120" i="6"/>
  <c r="B121" i="6"/>
  <c r="D120" i="6"/>
  <c r="E120" i="6" s="1"/>
  <c r="G119" i="6"/>
  <c r="F119" i="6"/>
  <c r="I118" i="6"/>
  <c r="F51" i="6"/>
  <c r="B122" i="6" l="1"/>
  <c r="D121" i="6"/>
  <c r="E121" i="6" s="1"/>
  <c r="L121" i="6"/>
  <c r="C121" i="6"/>
  <c r="H121" i="6" s="1"/>
  <c r="K121" i="6"/>
  <c r="G120" i="6"/>
  <c r="F120" i="6"/>
  <c r="I51" i="6"/>
  <c r="N118" i="6"/>
  <c r="I119" i="6"/>
  <c r="G121" i="6" l="1"/>
  <c r="F121" i="6"/>
  <c r="N119" i="6"/>
  <c r="I120" i="6"/>
  <c r="N120" i="6" s="1"/>
  <c r="P120" i="6" s="1"/>
  <c r="L122" i="6"/>
  <c r="C122" i="6"/>
  <c r="H122" i="6" s="1"/>
  <c r="K122" i="6"/>
  <c r="B123" i="6"/>
  <c r="D122" i="6"/>
  <c r="E122" i="6" s="1"/>
  <c r="P118" i="6"/>
  <c r="N51" i="6"/>
  <c r="P51" i="6" s="1"/>
  <c r="P119" i="6" l="1"/>
  <c r="I121" i="6"/>
  <c r="G122" i="6"/>
  <c r="F122" i="6"/>
  <c r="B124" i="6"/>
  <c r="D123" i="6"/>
  <c r="E123" i="6" s="1"/>
  <c r="L123" i="6"/>
  <c r="C123" i="6"/>
  <c r="H123" i="6" s="1"/>
  <c r="K123" i="6"/>
  <c r="G123" i="6" l="1"/>
  <c r="F123" i="6"/>
  <c r="N121" i="6"/>
  <c r="C124" i="6"/>
  <c r="H124" i="6" s="1"/>
  <c r="L124" i="6"/>
  <c r="K124" i="6"/>
  <c r="B125" i="6"/>
  <c r="D124" i="6"/>
  <c r="E124" i="6" s="1"/>
  <c r="I122" i="6"/>
  <c r="N122" i="6" s="1"/>
  <c r="P122" i="6" s="1"/>
  <c r="G124" i="6" l="1"/>
  <c r="F124" i="6"/>
  <c r="I124" i="6" s="1"/>
  <c r="I123" i="6"/>
  <c r="N123" i="6" s="1"/>
  <c r="P123" i="6" s="1"/>
  <c r="N124" i="6"/>
  <c r="P124" i="6" s="1"/>
  <c r="P121" i="6"/>
  <c r="D125" i="6"/>
  <c r="E125" i="6" s="1"/>
  <c r="L125" i="6"/>
  <c r="C125" i="6"/>
  <c r="H125" i="6" s="1"/>
  <c r="K125" i="6"/>
  <c r="B126" i="6"/>
  <c r="L126" i="6" l="1"/>
  <c r="K126" i="6"/>
  <c r="B127" i="6"/>
  <c r="D126" i="6"/>
  <c r="E126" i="6" s="1"/>
  <c r="C126" i="6"/>
  <c r="H126" i="6" s="1"/>
  <c r="G125" i="6"/>
  <c r="F125" i="6"/>
  <c r="D127" i="6" l="1"/>
  <c r="E127" i="6" s="1"/>
  <c r="L127" i="6"/>
  <c r="C127" i="6"/>
  <c r="H127" i="6" s="1"/>
  <c r="B128" i="6"/>
  <c r="K127" i="6"/>
  <c r="I125" i="6"/>
  <c r="G126" i="6"/>
  <c r="F126" i="6"/>
  <c r="N125" i="6" l="1"/>
  <c r="B129" i="6"/>
  <c r="D128" i="6"/>
  <c r="E128" i="6" s="1"/>
  <c r="C128" i="6"/>
  <c r="H128" i="6" s="1"/>
  <c r="K128" i="6"/>
  <c r="L128" i="6"/>
  <c r="I126" i="6"/>
  <c r="N126" i="6" s="1"/>
  <c r="P126" i="6" s="1"/>
  <c r="G127" i="6"/>
  <c r="F127" i="6"/>
  <c r="G128" i="6" l="1"/>
  <c r="F128" i="6"/>
  <c r="I128" i="6" s="1"/>
  <c r="I127" i="6"/>
  <c r="N127" i="6" s="1"/>
  <c r="P127" i="6" s="1"/>
  <c r="N128" i="6"/>
  <c r="P128" i="6" s="1"/>
  <c r="D129" i="6"/>
  <c r="E129" i="6" s="1"/>
  <c r="L129" i="6"/>
  <c r="C129" i="6"/>
  <c r="H129" i="6" s="1"/>
  <c r="B130" i="6"/>
  <c r="K129" i="6"/>
  <c r="P125" i="6"/>
  <c r="G129" i="6" l="1"/>
  <c r="F129" i="6"/>
  <c r="I129" i="6" s="1"/>
  <c r="N129" i="6" s="1"/>
  <c r="B131" i="6"/>
  <c r="D130" i="6"/>
  <c r="E130" i="6" s="1"/>
  <c r="C130" i="6"/>
  <c r="H130" i="6" s="1"/>
  <c r="H52" i="6" s="1"/>
  <c r="L130" i="6"/>
  <c r="K130" i="6"/>
  <c r="K52" i="6" s="1"/>
  <c r="P129" i="6" l="1"/>
  <c r="D131" i="6"/>
  <c r="E131" i="6" s="1"/>
  <c r="L131" i="6"/>
  <c r="C131" i="6"/>
  <c r="H131" i="6" s="1"/>
  <c r="B132" i="6"/>
  <c r="K131" i="6"/>
  <c r="L52" i="6"/>
  <c r="G130" i="6"/>
  <c r="G52" i="6" s="1"/>
  <c r="F130" i="6"/>
  <c r="E52" i="6"/>
  <c r="D132" i="6" l="1"/>
  <c r="E132" i="6" s="1"/>
  <c r="C132" i="6"/>
  <c r="H132" i="6" s="1"/>
  <c r="B133" i="6"/>
  <c r="L132" i="6"/>
  <c r="N132" i="6" s="1"/>
  <c r="P132" i="6" s="1"/>
  <c r="K132" i="6"/>
  <c r="N131" i="6"/>
  <c r="I130" i="6"/>
  <c r="F52" i="6"/>
  <c r="F131" i="6"/>
  <c r="G131" i="6"/>
  <c r="I131" i="6" l="1"/>
  <c r="P131" i="6"/>
  <c r="I52" i="6"/>
  <c r="N130" i="6"/>
  <c r="G132" i="6"/>
  <c r="F132" i="6"/>
  <c r="I132" i="6" s="1"/>
  <c r="D133" i="6"/>
  <c r="E133" i="6" s="1"/>
  <c r="L133" i="6"/>
  <c r="N133" i="6" s="1"/>
  <c r="P133" i="6" s="1"/>
  <c r="C133" i="6"/>
  <c r="H133" i="6" s="1"/>
  <c r="B134" i="6"/>
  <c r="K133" i="6"/>
  <c r="P130" i="6" l="1"/>
  <c r="N52" i="6"/>
  <c r="P52" i="6" s="1"/>
  <c r="G133" i="6"/>
  <c r="F133" i="6"/>
  <c r="B135" i="6"/>
  <c r="D134" i="6"/>
  <c r="E134" i="6" s="1"/>
  <c r="L134" i="6"/>
  <c r="K134" i="6"/>
  <c r="C134" i="6"/>
  <c r="H134" i="6" s="1"/>
  <c r="I133" i="6" l="1"/>
  <c r="N134" i="6"/>
  <c r="G134" i="6"/>
  <c r="F134" i="6"/>
  <c r="I134" i="6" s="1"/>
  <c r="D135" i="6"/>
  <c r="E135" i="6" s="1"/>
  <c r="L135" i="6"/>
  <c r="N135" i="6" s="1"/>
  <c r="P135" i="6" s="1"/>
  <c r="C135" i="6"/>
  <c r="H135" i="6" s="1"/>
  <c r="K135" i="6"/>
  <c r="B136" i="6"/>
  <c r="B137" i="6" l="1"/>
  <c r="D136" i="6"/>
  <c r="E136" i="6" s="1"/>
  <c r="L136" i="6"/>
  <c r="K136" i="6"/>
  <c r="C136" i="6"/>
  <c r="H136" i="6" s="1"/>
  <c r="P134" i="6"/>
  <c r="G135" i="6"/>
  <c r="F135" i="6"/>
  <c r="I135" i="6" s="1"/>
  <c r="N136" i="6" l="1"/>
  <c r="G136" i="6"/>
  <c r="F136" i="6"/>
  <c r="D137" i="6"/>
  <c r="E137" i="6" s="1"/>
  <c r="L137" i="6"/>
  <c r="N137" i="6" s="1"/>
  <c r="P137" i="6" s="1"/>
  <c r="C137" i="6"/>
  <c r="H137" i="6" s="1"/>
  <c r="K137" i="6"/>
  <c r="B138" i="6"/>
  <c r="G137" i="6" l="1"/>
  <c r="F137" i="6"/>
  <c r="I137" i="6" s="1"/>
  <c r="B139" i="6"/>
  <c r="D138" i="6"/>
  <c r="E138" i="6" s="1"/>
  <c r="C138" i="6"/>
  <c r="H138" i="6" s="1"/>
  <c r="K138" i="6"/>
  <c r="L138" i="6"/>
  <c r="P136" i="6"/>
  <c r="I136" i="6"/>
  <c r="D139" i="6" l="1"/>
  <c r="E139" i="6" s="1"/>
  <c r="L139" i="6"/>
  <c r="N139" i="6" s="1"/>
  <c r="P139" i="6" s="1"/>
  <c r="C139" i="6"/>
  <c r="H139" i="6" s="1"/>
  <c r="K139" i="6"/>
  <c r="B140" i="6"/>
  <c r="N138" i="6"/>
  <c r="G138" i="6"/>
  <c r="F138" i="6"/>
  <c r="B141" i="6" l="1"/>
  <c r="D140" i="6"/>
  <c r="E140" i="6" s="1"/>
  <c r="L140" i="6"/>
  <c r="N140" i="6" s="1"/>
  <c r="P140" i="6" s="1"/>
  <c r="K140" i="6"/>
  <c r="C140" i="6"/>
  <c r="H140" i="6" s="1"/>
  <c r="P138" i="6"/>
  <c r="I138" i="6"/>
  <c r="G139" i="6"/>
  <c r="F139" i="6"/>
  <c r="I139" i="6" s="1"/>
  <c r="G140" i="6" l="1"/>
  <c r="F140" i="6"/>
  <c r="I140" i="6" s="1"/>
  <c r="D141" i="6"/>
  <c r="E141" i="6" s="1"/>
  <c r="L141" i="6"/>
  <c r="N141" i="6" s="1"/>
  <c r="C141" i="6"/>
  <c r="H141" i="6" s="1"/>
  <c r="K141" i="6"/>
  <c r="B142" i="6"/>
  <c r="B143" i="6" l="1"/>
  <c r="D142" i="6"/>
  <c r="E142" i="6" s="1"/>
  <c r="L142" i="6"/>
  <c r="C142" i="6"/>
  <c r="H142" i="6" s="1"/>
  <c r="H53" i="6" s="1"/>
  <c r="K142" i="6"/>
  <c r="K53" i="6" s="1"/>
  <c r="P141" i="6"/>
  <c r="G141" i="6"/>
  <c r="F141" i="6"/>
  <c r="I141" i="6" s="1"/>
  <c r="N142" i="6" l="1"/>
  <c r="L53" i="6"/>
  <c r="G142" i="6"/>
  <c r="G53" i="6" s="1"/>
  <c r="F142" i="6"/>
  <c r="E53" i="6"/>
  <c r="D143" i="6"/>
  <c r="E143" i="6" s="1"/>
  <c r="L143" i="6"/>
  <c r="C143" i="6"/>
  <c r="H143" i="6" s="1"/>
  <c r="K143" i="6"/>
  <c r="B144" i="6"/>
  <c r="G143" i="6" l="1"/>
  <c r="F143" i="6"/>
  <c r="N143" i="6"/>
  <c r="I142" i="6"/>
  <c r="I53" i="6" s="1"/>
  <c r="F53" i="6"/>
  <c r="B145" i="6"/>
  <c r="D144" i="6"/>
  <c r="E144" i="6" s="1"/>
  <c r="L144" i="6"/>
  <c r="N144" i="6" s="1"/>
  <c r="P144" i="6" s="1"/>
  <c r="C144" i="6"/>
  <c r="H144" i="6" s="1"/>
  <c r="K144" i="6"/>
  <c r="P142" i="6"/>
  <c r="N53" i="6"/>
  <c r="P53" i="6" s="1"/>
  <c r="P143" i="6" l="1"/>
  <c r="G144" i="6"/>
  <c r="F144" i="6"/>
  <c r="I144" i="6" s="1"/>
  <c r="I143" i="6"/>
  <c r="D145" i="6"/>
  <c r="E145" i="6" s="1"/>
  <c r="L145" i="6"/>
  <c r="C145" i="6"/>
  <c r="H145" i="6" s="1"/>
  <c r="K145" i="6"/>
  <c r="B146" i="6"/>
  <c r="N145" i="6" l="1"/>
  <c r="B147" i="6"/>
  <c r="D146" i="6"/>
  <c r="E146" i="6" s="1"/>
  <c r="L146" i="6"/>
  <c r="N146" i="6" s="1"/>
  <c r="P146" i="6" s="1"/>
  <c r="C146" i="6"/>
  <c r="H146" i="6" s="1"/>
  <c r="K146" i="6"/>
  <c r="G145" i="6"/>
  <c r="F145" i="6"/>
  <c r="G146" i="6" l="1"/>
  <c r="F146" i="6"/>
  <c r="I146" i="6" s="1"/>
  <c r="D147" i="6"/>
  <c r="E147" i="6" s="1"/>
  <c r="L147" i="6"/>
  <c r="N147" i="6" s="1"/>
  <c r="P147" i="6" s="1"/>
  <c r="C147" i="6"/>
  <c r="H147" i="6" s="1"/>
  <c r="K147" i="6"/>
  <c r="B148" i="6"/>
  <c r="P145" i="6"/>
  <c r="I145" i="6"/>
  <c r="G147" i="6" l="1"/>
  <c r="F147" i="6"/>
  <c r="B149" i="6"/>
  <c r="D148" i="6"/>
  <c r="E148" i="6" s="1"/>
  <c r="L148" i="6"/>
  <c r="N148" i="6" s="1"/>
  <c r="C148" i="6"/>
  <c r="H148" i="6" s="1"/>
  <c r="K148" i="6"/>
  <c r="D149" i="6" l="1"/>
  <c r="E149" i="6" s="1"/>
  <c r="L149" i="6"/>
  <c r="C149" i="6"/>
  <c r="H149" i="6" s="1"/>
  <c r="K149" i="6"/>
  <c r="B150" i="6"/>
  <c r="I147" i="6"/>
  <c r="P148" i="6"/>
  <c r="G148" i="6"/>
  <c r="F148" i="6"/>
  <c r="I148" i="6" s="1"/>
  <c r="B151" i="6" l="1"/>
  <c r="D150" i="6"/>
  <c r="E150" i="6" s="1"/>
  <c r="L150" i="6"/>
  <c r="N150" i="6" s="1"/>
  <c r="P150" i="6" s="1"/>
  <c r="C150" i="6"/>
  <c r="H150" i="6" s="1"/>
  <c r="K150" i="6"/>
  <c r="N149" i="6"/>
  <c r="G149" i="6"/>
  <c r="F149" i="6"/>
  <c r="P149" i="6" l="1"/>
  <c r="G150" i="6"/>
  <c r="F150" i="6"/>
  <c r="I150" i="6" s="1"/>
  <c r="I149" i="6"/>
  <c r="D151" i="6"/>
  <c r="E151" i="6" s="1"/>
  <c r="L151" i="6"/>
  <c r="N151" i="6" s="1"/>
  <c r="P151" i="6" s="1"/>
  <c r="C151" i="6"/>
  <c r="H151" i="6" s="1"/>
  <c r="K151" i="6"/>
  <c r="B152" i="6"/>
  <c r="G151" i="6" l="1"/>
  <c r="F151" i="6"/>
  <c r="B153" i="6"/>
  <c r="D152" i="6"/>
  <c r="E152" i="6" s="1"/>
  <c r="L152" i="6"/>
  <c r="N152" i="6" s="1"/>
  <c r="P152" i="6" s="1"/>
  <c r="C152" i="6"/>
  <c r="H152" i="6" s="1"/>
  <c r="K152" i="6"/>
  <c r="G152" i="6" l="1"/>
  <c r="F152" i="6"/>
  <c r="I152" i="6" s="1"/>
  <c r="D153" i="6"/>
  <c r="E153" i="6" s="1"/>
  <c r="L153" i="6"/>
  <c r="N153" i="6" s="1"/>
  <c r="P153" i="6" s="1"/>
  <c r="C153" i="6"/>
  <c r="H153" i="6" s="1"/>
  <c r="K153" i="6"/>
  <c r="B154" i="6"/>
  <c r="I151" i="6"/>
  <c r="B155" i="6" l="1"/>
  <c r="D154" i="6"/>
  <c r="E154" i="6" s="1"/>
  <c r="L154" i="6"/>
  <c r="C154" i="6"/>
  <c r="H154" i="6" s="1"/>
  <c r="H54" i="6" s="1"/>
  <c r="K154" i="6"/>
  <c r="K54" i="6" s="1"/>
  <c r="G153" i="6"/>
  <c r="F153" i="6"/>
  <c r="I153" i="6" s="1"/>
  <c r="N154" i="6" l="1"/>
  <c r="L54" i="6"/>
  <c r="G154" i="6"/>
  <c r="G54" i="6" s="1"/>
  <c r="F154" i="6"/>
  <c r="E54" i="6"/>
  <c r="D155" i="6"/>
  <c r="E155" i="6" s="1"/>
  <c r="L155" i="6"/>
  <c r="C155" i="6"/>
  <c r="H155" i="6" s="1"/>
  <c r="K155" i="6"/>
  <c r="B156" i="6"/>
  <c r="G155" i="6" l="1"/>
  <c r="F155" i="6"/>
  <c r="I154" i="6"/>
  <c r="I54" i="6" s="1"/>
  <c r="F54" i="6"/>
  <c r="B157" i="6"/>
  <c r="D156" i="6"/>
  <c r="E156" i="6" s="1"/>
  <c r="L156" i="6"/>
  <c r="N156" i="6" s="1"/>
  <c r="P156" i="6" s="1"/>
  <c r="C156" i="6"/>
  <c r="H156" i="6" s="1"/>
  <c r="K156" i="6"/>
  <c r="N155" i="6"/>
  <c r="P154" i="6"/>
  <c r="N54" i="6"/>
  <c r="P54" i="6" s="1"/>
  <c r="G156" i="6" l="1"/>
  <c r="F156" i="6"/>
  <c r="I156" i="6" s="1"/>
  <c r="D157" i="6"/>
  <c r="E157" i="6" s="1"/>
  <c r="L157" i="6"/>
  <c r="C157" i="6"/>
  <c r="H157" i="6" s="1"/>
  <c r="K157" i="6"/>
  <c r="B158" i="6"/>
  <c r="P155" i="6"/>
  <c r="I155" i="6"/>
  <c r="B159" i="6" l="1"/>
  <c r="D158" i="6"/>
  <c r="E158" i="6" s="1"/>
  <c r="L158" i="6"/>
  <c r="N158" i="6" s="1"/>
  <c r="P158" i="6" s="1"/>
  <c r="C158" i="6"/>
  <c r="H158" i="6" s="1"/>
  <c r="K158" i="6"/>
  <c r="G157" i="6"/>
  <c r="F157" i="6"/>
  <c r="N157" i="6"/>
  <c r="I157" i="6" l="1"/>
  <c r="G158" i="6"/>
  <c r="F158" i="6"/>
  <c r="I158" i="6" s="1"/>
  <c r="P157" i="6"/>
  <c r="D159" i="6"/>
  <c r="E159" i="6" s="1"/>
  <c r="L159" i="6"/>
  <c r="C159" i="6"/>
  <c r="H159" i="6" s="1"/>
  <c r="K159" i="6"/>
  <c r="B160" i="6"/>
  <c r="B161" i="6" l="1"/>
  <c r="D160" i="6"/>
  <c r="E160" i="6" s="1"/>
  <c r="L160" i="6"/>
  <c r="N160" i="6" s="1"/>
  <c r="P160" i="6" s="1"/>
  <c r="C160" i="6"/>
  <c r="H160" i="6" s="1"/>
  <c r="K160" i="6"/>
  <c r="G159" i="6"/>
  <c r="F159" i="6"/>
  <c r="I159" i="6" s="1"/>
  <c r="N159" i="6"/>
  <c r="G160" i="6" l="1"/>
  <c r="F160" i="6"/>
  <c r="I160" i="6" s="1"/>
  <c r="D161" i="6"/>
  <c r="E161" i="6" s="1"/>
  <c r="L161" i="6"/>
  <c r="C161" i="6"/>
  <c r="H161" i="6" s="1"/>
  <c r="K161" i="6"/>
  <c r="B162" i="6"/>
  <c r="P159" i="6"/>
  <c r="N161" i="6" l="1"/>
  <c r="G161" i="6"/>
  <c r="F161" i="6"/>
  <c r="B163" i="6"/>
  <c r="D162" i="6"/>
  <c r="E162" i="6" s="1"/>
  <c r="L162" i="6"/>
  <c r="N162" i="6" s="1"/>
  <c r="P162" i="6" s="1"/>
  <c r="C162" i="6"/>
  <c r="H162" i="6" s="1"/>
  <c r="K162" i="6"/>
  <c r="G162" i="6" l="1"/>
  <c r="F162" i="6"/>
  <c r="I162" i="6" s="1"/>
  <c r="D163" i="6"/>
  <c r="E163" i="6" s="1"/>
  <c r="L163" i="6"/>
  <c r="N163" i="6" s="1"/>
  <c r="P163" i="6" s="1"/>
  <c r="C163" i="6"/>
  <c r="H163" i="6" s="1"/>
  <c r="K163" i="6"/>
  <c r="B164" i="6"/>
  <c r="I161" i="6"/>
  <c r="P161" i="6"/>
  <c r="G163" i="6" l="1"/>
  <c r="F163" i="6"/>
  <c r="I163" i="6" s="1"/>
  <c r="B165" i="6"/>
  <c r="D164" i="6"/>
  <c r="E164" i="6" s="1"/>
  <c r="L164" i="6"/>
  <c r="N164" i="6" s="1"/>
  <c r="C164" i="6"/>
  <c r="H164" i="6" s="1"/>
  <c r="K164" i="6"/>
  <c r="G164" i="6" l="1"/>
  <c r="F164" i="6"/>
  <c r="I164" i="6" s="1"/>
  <c r="P164" i="6"/>
  <c r="D165" i="6"/>
  <c r="E165" i="6" s="1"/>
  <c r="L165" i="6"/>
  <c r="N165" i="6" s="1"/>
  <c r="P165" i="6" s="1"/>
  <c r="C165" i="6"/>
  <c r="H165" i="6" s="1"/>
  <c r="K165" i="6"/>
  <c r="B166" i="6"/>
  <c r="G165" i="6" l="1"/>
  <c r="F165" i="6"/>
  <c r="I165" i="6" s="1"/>
  <c r="B167" i="6"/>
  <c r="D166" i="6"/>
  <c r="E166" i="6" s="1"/>
  <c r="L166" i="6"/>
  <c r="C166" i="6"/>
  <c r="H166" i="6" s="1"/>
  <c r="H55" i="6" s="1"/>
  <c r="K166" i="6"/>
  <c r="K55" i="6" s="1"/>
  <c r="N166" i="6" l="1"/>
  <c r="L55" i="6"/>
  <c r="D167" i="6"/>
  <c r="E167" i="6" s="1"/>
  <c r="L167" i="6"/>
  <c r="C167" i="6"/>
  <c r="H167" i="6" s="1"/>
  <c r="K167" i="6"/>
  <c r="B168" i="6"/>
  <c r="G166" i="6"/>
  <c r="G55" i="6" s="1"/>
  <c r="F166" i="6"/>
  <c r="E55" i="6"/>
  <c r="B169" i="6" l="1"/>
  <c r="D168" i="6"/>
  <c r="E168" i="6" s="1"/>
  <c r="L168" i="6"/>
  <c r="N168" i="6" s="1"/>
  <c r="P168" i="6" s="1"/>
  <c r="C168" i="6"/>
  <c r="H168" i="6" s="1"/>
  <c r="K168" i="6"/>
  <c r="G167" i="6"/>
  <c r="F167" i="6"/>
  <c r="N167" i="6"/>
  <c r="I166" i="6"/>
  <c r="I55" i="6" s="1"/>
  <c r="F55" i="6"/>
  <c r="P166" i="6"/>
  <c r="N55" i="6"/>
  <c r="P55" i="6" s="1"/>
  <c r="P167" i="6" l="1"/>
  <c r="G168" i="6"/>
  <c r="F168" i="6"/>
  <c r="I168" i="6" s="1"/>
  <c r="D169" i="6"/>
  <c r="E169" i="6" s="1"/>
  <c r="L169" i="6"/>
  <c r="C169" i="6"/>
  <c r="H169" i="6" s="1"/>
  <c r="K169" i="6"/>
  <c r="B170" i="6"/>
  <c r="I167" i="6"/>
  <c r="B171" i="6" l="1"/>
  <c r="D170" i="6"/>
  <c r="E170" i="6" s="1"/>
  <c r="L170" i="6"/>
  <c r="N170" i="6" s="1"/>
  <c r="P170" i="6" s="1"/>
  <c r="C170" i="6"/>
  <c r="H170" i="6" s="1"/>
  <c r="K170" i="6"/>
  <c r="N169" i="6"/>
  <c r="G169" i="6"/>
  <c r="F169" i="6"/>
  <c r="G170" i="6" l="1"/>
  <c r="F170" i="6"/>
  <c r="I170" i="6" s="1"/>
  <c r="D171" i="6"/>
  <c r="E171" i="6" s="1"/>
  <c r="L171" i="6"/>
  <c r="N171" i="6" s="1"/>
  <c r="P171" i="6" s="1"/>
  <c r="C171" i="6"/>
  <c r="H171" i="6" s="1"/>
  <c r="K171" i="6"/>
  <c r="B172" i="6"/>
  <c r="I169" i="6"/>
  <c r="P169" i="6"/>
  <c r="B173" i="6" l="1"/>
  <c r="D172" i="6"/>
  <c r="E172" i="6" s="1"/>
  <c r="L172" i="6"/>
  <c r="C172" i="6"/>
  <c r="H172" i="6" s="1"/>
  <c r="K172" i="6"/>
  <c r="G171" i="6"/>
  <c r="F171" i="6"/>
  <c r="N172" i="6" l="1"/>
  <c r="I171" i="6"/>
  <c r="G172" i="6"/>
  <c r="F172" i="6"/>
  <c r="I172" i="6" s="1"/>
  <c r="D173" i="6"/>
  <c r="E173" i="6" s="1"/>
  <c r="L173" i="6"/>
  <c r="N173" i="6" s="1"/>
  <c r="P173" i="6" s="1"/>
  <c r="C173" i="6"/>
  <c r="H173" i="6" s="1"/>
  <c r="K173" i="6"/>
  <c r="B174" i="6"/>
  <c r="G173" i="6" l="1"/>
  <c r="F173" i="6"/>
  <c r="I173" i="6" s="1"/>
  <c r="B175" i="6"/>
  <c r="D174" i="6"/>
  <c r="E174" i="6" s="1"/>
  <c r="C174" i="6"/>
  <c r="H174" i="6" s="1"/>
  <c r="K174" i="6"/>
  <c r="L174" i="6"/>
  <c r="N174" i="6" s="1"/>
  <c r="P174" i="6" s="1"/>
  <c r="P172" i="6"/>
  <c r="G174" i="6" l="1"/>
  <c r="F174" i="6"/>
  <c r="I174" i="6" s="1"/>
  <c r="B176" i="6"/>
  <c r="D175" i="6"/>
  <c r="E175" i="6" s="1"/>
  <c r="C175" i="6"/>
  <c r="H175" i="6" s="1"/>
  <c r="L175" i="6"/>
  <c r="N175" i="6" s="1"/>
  <c r="K175" i="6"/>
  <c r="P175" i="6" l="1"/>
  <c r="F175" i="6"/>
  <c r="I175" i="6" s="1"/>
  <c r="G175" i="6"/>
  <c r="B177" i="6"/>
  <c r="C176" i="6"/>
  <c r="H176" i="6" s="1"/>
  <c r="L176" i="6"/>
  <c r="N176" i="6" s="1"/>
  <c r="P176" i="6" s="1"/>
  <c r="K176" i="6"/>
  <c r="D176" i="6"/>
  <c r="E176" i="6" s="1"/>
  <c r="L177" i="6" l="1"/>
  <c r="N177" i="6" s="1"/>
  <c r="P177" i="6" s="1"/>
  <c r="C177" i="6"/>
  <c r="H177" i="6" s="1"/>
  <c r="K177" i="6"/>
  <c r="D177" i="6"/>
  <c r="E177" i="6" s="1"/>
  <c r="B178" i="6"/>
  <c r="G176" i="6"/>
  <c r="F176" i="6"/>
  <c r="I176" i="6" s="1"/>
  <c r="B179" i="6" l="1"/>
  <c r="D178" i="6"/>
  <c r="E178" i="6" s="1"/>
  <c r="C178" i="6"/>
  <c r="H178" i="6" s="1"/>
  <c r="H56" i="6" s="1"/>
  <c r="L178" i="6"/>
  <c r="K178" i="6"/>
  <c r="K56" i="6" s="1"/>
  <c r="F177" i="6"/>
  <c r="I177" i="6" s="1"/>
  <c r="G177" i="6"/>
  <c r="N178" i="6" l="1"/>
  <c r="L56" i="6"/>
  <c r="G178" i="6"/>
  <c r="G56" i="6" s="1"/>
  <c r="F178" i="6"/>
  <c r="E56" i="6"/>
  <c r="L179" i="6"/>
  <c r="C179" i="6"/>
  <c r="H179" i="6" s="1"/>
  <c r="K179" i="6"/>
  <c r="D179" i="6"/>
  <c r="E179" i="6" s="1"/>
  <c r="B180" i="6"/>
  <c r="N179" i="6" l="1"/>
  <c r="I178" i="6"/>
  <c r="I56" i="6" s="1"/>
  <c r="F56" i="6"/>
  <c r="B181" i="6"/>
  <c r="D180" i="6"/>
  <c r="E180" i="6" s="1"/>
  <c r="C180" i="6"/>
  <c r="H180" i="6" s="1"/>
  <c r="L180" i="6"/>
  <c r="N180" i="6" s="1"/>
  <c r="P180" i="6" s="1"/>
  <c r="K180" i="6"/>
  <c r="F179" i="6"/>
  <c r="G179" i="6"/>
  <c r="P178" i="6"/>
  <c r="N56" i="6"/>
  <c r="P56" i="6" s="1"/>
  <c r="L181" i="6" l="1"/>
  <c r="C181" i="6"/>
  <c r="H181" i="6" s="1"/>
  <c r="K181" i="6"/>
  <c r="D181" i="6"/>
  <c r="E181" i="6" s="1"/>
  <c r="B182" i="6"/>
  <c r="I179" i="6"/>
  <c r="P179" i="6"/>
  <c r="G180" i="6"/>
  <c r="F180" i="6"/>
  <c r="I180" i="6" s="1"/>
  <c r="N181" i="6" l="1"/>
  <c r="B183" i="6"/>
  <c r="D182" i="6"/>
  <c r="E182" i="6" s="1"/>
  <c r="C182" i="6"/>
  <c r="H182" i="6" s="1"/>
  <c r="K182" i="6"/>
  <c r="L182" i="6"/>
  <c r="N182" i="6" s="1"/>
  <c r="P182" i="6" s="1"/>
  <c r="G181" i="6"/>
  <c r="F181" i="6"/>
  <c r="I181" i="6" s="1"/>
  <c r="G182" i="6" l="1"/>
  <c r="F182" i="6"/>
  <c r="I182" i="6" s="1"/>
  <c r="L183" i="6"/>
  <c r="C183" i="6"/>
  <c r="H183" i="6" s="1"/>
  <c r="K183" i="6"/>
  <c r="B184" i="6"/>
  <c r="D183" i="6"/>
  <c r="E183" i="6" s="1"/>
  <c r="P181" i="6"/>
  <c r="B185" i="6" l="1"/>
  <c r="D184" i="6"/>
  <c r="E184" i="6" s="1"/>
  <c r="L184" i="6"/>
  <c r="N184" i="6" s="1"/>
  <c r="P184" i="6" s="1"/>
  <c r="K184" i="6"/>
  <c r="C184" i="6"/>
  <c r="H184" i="6" s="1"/>
  <c r="F183" i="6"/>
  <c r="G183" i="6"/>
  <c r="N183" i="6"/>
  <c r="P183" i="6" l="1"/>
  <c r="G184" i="6"/>
  <c r="F184" i="6"/>
  <c r="I184" i="6" s="1"/>
  <c r="I183" i="6"/>
  <c r="L185" i="6"/>
  <c r="N185" i="6" s="1"/>
  <c r="P185" i="6" s="1"/>
  <c r="C185" i="6"/>
  <c r="H185" i="6" s="1"/>
  <c r="K185" i="6"/>
  <c r="B186" i="6"/>
  <c r="D185" i="6"/>
  <c r="E185" i="6" s="1"/>
  <c r="G185" i="6" l="1"/>
  <c r="F185" i="6"/>
  <c r="B187" i="6"/>
  <c r="D186" i="6"/>
  <c r="E186" i="6" s="1"/>
  <c r="L186" i="6"/>
  <c r="C186" i="6"/>
  <c r="H186" i="6" s="1"/>
  <c r="K186" i="6"/>
  <c r="N186" i="6" l="1"/>
  <c r="G186" i="6"/>
  <c r="F186" i="6"/>
  <c r="I186" i="6" s="1"/>
  <c r="L187" i="6"/>
  <c r="N187" i="6" s="1"/>
  <c r="P187" i="6" s="1"/>
  <c r="C187" i="6"/>
  <c r="H187" i="6" s="1"/>
  <c r="K187" i="6"/>
  <c r="B188" i="6"/>
  <c r="D187" i="6"/>
  <c r="E187" i="6" s="1"/>
  <c r="I185" i="6"/>
  <c r="B189" i="6" l="1"/>
  <c r="D188" i="6"/>
  <c r="E188" i="6" s="1"/>
  <c r="L188" i="6"/>
  <c r="N188" i="6" s="1"/>
  <c r="P188" i="6" s="1"/>
  <c r="C188" i="6"/>
  <c r="H188" i="6" s="1"/>
  <c r="K188" i="6"/>
  <c r="G187" i="6"/>
  <c r="F187" i="6"/>
  <c r="I187" i="6" s="1"/>
  <c r="P186" i="6"/>
  <c r="G188" i="6" l="1"/>
  <c r="F188" i="6"/>
  <c r="I188" i="6" s="1"/>
  <c r="L189" i="6"/>
  <c r="N189" i="6" s="1"/>
  <c r="P189" i="6" s="1"/>
  <c r="C189" i="6"/>
  <c r="H189" i="6" s="1"/>
  <c r="K189" i="6"/>
  <c r="B190" i="6"/>
  <c r="D189" i="6"/>
  <c r="E189" i="6" s="1"/>
  <c r="B191" i="6" l="1"/>
  <c r="D190" i="6"/>
  <c r="E190" i="6" s="1"/>
  <c r="L190" i="6"/>
  <c r="C190" i="6"/>
  <c r="H190" i="6" s="1"/>
  <c r="H57" i="6" s="1"/>
  <c r="K190" i="6"/>
  <c r="K57" i="6" s="1"/>
  <c r="G189" i="6"/>
  <c r="F189" i="6"/>
  <c r="I189" i="6" s="1"/>
  <c r="G190" i="6" l="1"/>
  <c r="G57" i="6" s="1"/>
  <c r="F190" i="6"/>
  <c r="E57" i="6"/>
  <c r="N190" i="6"/>
  <c r="L57" i="6"/>
  <c r="L191" i="6"/>
  <c r="C191" i="6"/>
  <c r="H191" i="6" s="1"/>
  <c r="K191" i="6"/>
  <c r="B192" i="6"/>
  <c r="D191" i="6"/>
  <c r="E191" i="6" s="1"/>
  <c r="B193" i="6" l="1"/>
  <c r="D192" i="6"/>
  <c r="E192" i="6" s="1"/>
  <c r="L192" i="6"/>
  <c r="N192" i="6" s="1"/>
  <c r="P192" i="6" s="1"/>
  <c r="C192" i="6"/>
  <c r="H192" i="6" s="1"/>
  <c r="K192" i="6"/>
  <c r="N191" i="6"/>
  <c r="P190" i="6"/>
  <c r="N57" i="6"/>
  <c r="P57" i="6" s="1"/>
  <c r="G191" i="6"/>
  <c r="F191" i="6"/>
  <c r="I190" i="6"/>
  <c r="I57" i="6" s="1"/>
  <c r="F57" i="6"/>
  <c r="P191" i="6" l="1"/>
  <c r="I191" i="6"/>
  <c r="G192" i="6"/>
  <c r="F192" i="6"/>
  <c r="I192" i="6" s="1"/>
  <c r="L193" i="6"/>
  <c r="C193" i="6"/>
  <c r="H193" i="6" s="1"/>
  <c r="K193" i="6"/>
  <c r="B194" i="6"/>
  <c r="D193" i="6"/>
  <c r="E193" i="6" s="1"/>
  <c r="B195" i="6" l="1"/>
  <c r="D194" i="6"/>
  <c r="E194" i="6" s="1"/>
  <c r="L194" i="6"/>
  <c r="N194" i="6" s="1"/>
  <c r="P194" i="6" s="1"/>
  <c r="C194" i="6"/>
  <c r="H194" i="6" s="1"/>
  <c r="K194" i="6"/>
  <c r="G193" i="6"/>
  <c r="F193" i="6"/>
  <c r="N193" i="6"/>
  <c r="P193" i="6" l="1"/>
  <c r="G194" i="6"/>
  <c r="F194" i="6"/>
  <c r="I194" i="6" s="1"/>
  <c r="L195" i="6"/>
  <c r="C195" i="6"/>
  <c r="H195" i="6" s="1"/>
  <c r="K195" i="6"/>
  <c r="B196" i="6"/>
  <c r="D195" i="6"/>
  <c r="E195" i="6" s="1"/>
  <c r="I193" i="6"/>
  <c r="N195" i="6" l="1"/>
  <c r="G195" i="6"/>
  <c r="F195" i="6"/>
  <c r="B197" i="6"/>
  <c r="D196" i="6"/>
  <c r="E196" i="6" s="1"/>
  <c r="L196" i="6"/>
  <c r="N196" i="6" s="1"/>
  <c r="P196" i="6" s="1"/>
  <c r="C196" i="6"/>
  <c r="H196" i="6" s="1"/>
  <c r="K196" i="6"/>
  <c r="I195" i="6" l="1"/>
  <c r="L197" i="6"/>
  <c r="C197" i="6"/>
  <c r="H197" i="6" s="1"/>
  <c r="K197" i="6"/>
  <c r="B198" i="6"/>
  <c r="D197" i="6"/>
  <c r="E197" i="6" s="1"/>
  <c r="P195" i="6"/>
  <c r="G196" i="6"/>
  <c r="F196" i="6"/>
  <c r="I196" i="6" s="1"/>
  <c r="B199" i="6" l="1"/>
  <c r="D198" i="6"/>
  <c r="E198" i="6" s="1"/>
  <c r="L198" i="6"/>
  <c r="N198" i="6" s="1"/>
  <c r="P198" i="6" s="1"/>
  <c r="C198" i="6"/>
  <c r="H198" i="6" s="1"/>
  <c r="K198" i="6"/>
  <c r="N197" i="6"/>
  <c r="G197" i="6"/>
  <c r="F197" i="6"/>
  <c r="I197" i="6" s="1"/>
  <c r="P197" i="6" l="1"/>
  <c r="G198" i="6"/>
  <c r="F198" i="6"/>
  <c r="L199" i="6"/>
  <c r="C199" i="6"/>
  <c r="H199" i="6" s="1"/>
  <c r="K199" i="6"/>
  <c r="B200" i="6"/>
  <c r="D199" i="6"/>
  <c r="E199" i="6" s="1"/>
  <c r="B201" i="6" l="1"/>
  <c r="D200" i="6"/>
  <c r="E200" i="6" s="1"/>
  <c r="L200" i="6"/>
  <c r="N200" i="6" s="1"/>
  <c r="P200" i="6" s="1"/>
  <c r="C200" i="6"/>
  <c r="H200" i="6" s="1"/>
  <c r="K200" i="6"/>
  <c r="N199" i="6"/>
  <c r="I198" i="6"/>
  <c r="G199" i="6"/>
  <c r="F199" i="6"/>
  <c r="I199" i="6" s="1"/>
  <c r="P199" i="6" l="1"/>
  <c r="G200" i="6"/>
  <c r="F200" i="6"/>
  <c r="I200" i="6" s="1"/>
  <c r="L201" i="6"/>
  <c r="N201" i="6" s="1"/>
  <c r="P201" i="6" s="1"/>
  <c r="C201" i="6"/>
  <c r="H201" i="6" s="1"/>
  <c r="K201" i="6"/>
  <c r="B202" i="6"/>
  <c r="D201" i="6"/>
  <c r="E201" i="6" s="1"/>
  <c r="B203" i="6" l="1"/>
  <c r="D202" i="6"/>
  <c r="E202" i="6" s="1"/>
  <c r="L202" i="6"/>
  <c r="C202" i="6"/>
  <c r="H202" i="6" s="1"/>
  <c r="H58" i="6" s="1"/>
  <c r="K202" i="6"/>
  <c r="K58" i="6" s="1"/>
  <c r="G201" i="6"/>
  <c r="F201" i="6"/>
  <c r="I201" i="6" s="1"/>
  <c r="N202" i="6" l="1"/>
  <c r="L58" i="6"/>
  <c r="G202" i="6"/>
  <c r="G58" i="6" s="1"/>
  <c r="F202" i="6"/>
  <c r="E58" i="6"/>
  <c r="L203" i="6"/>
  <c r="C203" i="6"/>
  <c r="H203" i="6" s="1"/>
  <c r="K203" i="6"/>
  <c r="B204" i="6"/>
  <c r="D203" i="6"/>
  <c r="E203" i="6" s="1"/>
  <c r="N203" i="6" l="1"/>
  <c r="I202" i="6"/>
  <c r="I58" i="6" s="1"/>
  <c r="F58" i="6"/>
  <c r="G203" i="6"/>
  <c r="F203" i="6"/>
  <c r="B205" i="6"/>
  <c r="D204" i="6"/>
  <c r="E204" i="6" s="1"/>
  <c r="L204" i="6"/>
  <c r="N204" i="6" s="1"/>
  <c r="P204" i="6" s="1"/>
  <c r="C204" i="6"/>
  <c r="H204" i="6" s="1"/>
  <c r="K204" i="6"/>
  <c r="P202" i="6"/>
  <c r="N58" i="6"/>
  <c r="P58" i="6" s="1"/>
  <c r="I203" i="6" l="1"/>
  <c r="G204" i="6"/>
  <c r="F204" i="6"/>
  <c r="I204" i="6" s="1"/>
  <c r="L205" i="6"/>
  <c r="N205" i="6" s="1"/>
  <c r="P205" i="6" s="1"/>
  <c r="C205" i="6"/>
  <c r="H205" i="6" s="1"/>
  <c r="K205" i="6"/>
  <c r="B206" i="6"/>
  <c r="D205" i="6"/>
  <c r="E205" i="6" s="1"/>
  <c r="P203" i="6"/>
  <c r="G205" i="6" l="1"/>
  <c r="F205" i="6"/>
  <c r="B207" i="6"/>
  <c r="D206" i="6"/>
  <c r="E206" i="6" s="1"/>
  <c r="L206" i="6"/>
  <c r="C206" i="6"/>
  <c r="H206" i="6" s="1"/>
  <c r="K206" i="6"/>
  <c r="I205" i="6" l="1"/>
  <c r="G206" i="6"/>
  <c r="F206" i="6"/>
  <c r="I206" i="6" s="1"/>
  <c r="C207" i="6"/>
  <c r="H207" i="6" s="1"/>
  <c r="L207" i="6"/>
  <c r="N207" i="6" s="1"/>
  <c r="P207" i="6" s="1"/>
  <c r="K207" i="6"/>
  <c r="B208" i="6"/>
  <c r="D207" i="6"/>
  <c r="E207" i="6" s="1"/>
  <c r="N206" i="6"/>
  <c r="P206" i="6" l="1"/>
  <c r="K208" i="6"/>
  <c r="B209" i="6"/>
  <c r="D208" i="6"/>
  <c r="E208" i="6" s="1"/>
  <c r="L208" i="6"/>
  <c r="C208" i="6"/>
  <c r="H208" i="6" s="1"/>
  <c r="G207" i="6"/>
  <c r="F207" i="6"/>
  <c r="I207" i="6" s="1"/>
  <c r="G208" i="6" l="1"/>
  <c r="F208" i="6"/>
  <c r="I208" i="6" s="1"/>
  <c r="N208" i="6"/>
  <c r="B210" i="6"/>
  <c r="D209" i="6"/>
  <c r="E209" i="6" s="1"/>
  <c r="C209" i="6"/>
  <c r="H209" i="6" s="1"/>
  <c r="L209" i="6"/>
  <c r="N209" i="6" s="1"/>
  <c r="P209" i="6" s="1"/>
  <c r="K209" i="6"/>
  <c r="D210" i="6" l="1"/>
  <c r="E210" i="6" s="1"/>
  <c r="C210" i="6"/>
  <c r="H210" i="6" s="1"/>
  <c r="L210" i="6"/>
  <c r="K210" i="6"/>
  <c r="B211" i="6"/>
  <c r="P208" i="6"/>
  <c r="G209" i="6"/>
  <c r="F209" i="6"/>
  <c r="N210" i="6" l="1"/>
  <c r="I209" i="6"/>
  <c r="G210" i="6"/>
  <c r="F210" i="6"/>
  <c r="I210" i="6" s="1"/>
  <c r="K211" i="6"/>
  <c r="B212" i="6"/>
  <c r="D211" i="6"/>
  <c r="E211" i="6" s="1"/>
  <c r="L211" i="6"/>
  <c r="N211" i="6" s="1"/>
  <c r="P211" i="6" s="1"/>
  <c r="C211" i="6"/>
  <c r="H211" i="6" s="1"/>
  <c r="B213" i="6" l="1"/>
  <c r="D212" i="6"/>
  <c r="E212" i="6" s="1"/>
  <c r="C212" i="6"/>
  <c r="H212" i="6" s="1"/>
  <c r="L212" i="6"/>
  <c r="N212" i="6" s="1"/>
  <c r="P212" i="6" s="1"/>
  <c r="K212" i="6"/>
  <c r="G211" i="6"/>
  <c r="F211" i="6"/>
  <c r="I211" i="6" s="1"/>
  <c r="P210" i="6"/>
  <c r="G212" i="6" l="1"/>
  <c r="F212" i="6"/>
  <c r="I212" i="6" s="1"/>
  <c r="B214" i="6"/>
  <c r="D213" i="6"/>
  <c r="E213" i="6" s="1"/>
  <c r="C213" i="6"/>
  <c r="H213" i="6" s="1"/>
  <c r="L213" i="6"/>
  <c r="N213" i="6" s="1"/>
  <c r="P213" i="6" s="1"/>
  <c r="K213" i="6"/>
  <c r="F213" i="6" l="1"/>
  <c r="I213" i="6" s="1"/>
  <c r="G213" i="6"/>
  <c r="L214" i="6"/>
  <c r="K214" i="6"/>
  <c r="K59" i="6" s="1"/>
  <c r="B215" i="6"/>
  <c r="C214" i="6"/>
  <c r="H214" i="6" s="1"/>
  <c r="H59" i="6" s="1"/>
  <c r="D214" i="6"/>
  <c r="E214" i="6" s="1"/>
  <c r="N214" i="6" l="1"/>
  <c r="L59" i="6"/>
  <c r="G214" i="6"/>
  <c r="G59" i="6" s="1"/>
  <c r="F214" i="6"/>
  <c r="E59" i="6"/>
  <c r="B216" i="6"/>
  <c r="D215" i="6"/>
  <c r="E215" i="6" s="1"/>
  <c r="C215" i="6"/>
  <c r="H215" i="6" s="1"/>
  <c r="L215" i="6"/>
  <c r="K215" i="6"/>
  <c r="G215" i="6" l="1"/>
  <c r="F215" i="6"/>
  <c r="B217" i="6"/>
  <c r="D216" i="6"/>
  <c r="E216" i="6" s="1"/>
  <c r="C216" i="6"/>
  <c r="H216" i="6" s="1"/>
  <c r="L216" i="6"/>
  <c r="N216" i="6" s="1"/>
  <c r="P216" i="6" s="1"/>
  <c r="K216" i="6"/>
  <c r="I214" i="6"/>
  <c r="I59" i="6" s="1"/>
  <c r="F59" i="6"/>
  <c r="N215" i="6"/>
  <c r="P214" i="6"/>
  <c r="N59" i="6"/>
  <c r="P59" i="6" s="1"/>
  <c r="P215" i="6" l="1"/>
  <c r="L217" i="6"/>
  <c r="N217" i="6" s="1"/>
  <c r="P217" i="6" s="1"/>
  <c r="K217" i="6"/>
  <c r="C217" i="6"/>
  <c r="H217" i="6" s="1"/>
  <c r="B218" i="6"/>
  <c r="D217" i="6"/>
  <c r="E217" i="6" s="1"/>
  <c r="I215" i="6"/>
  <c r="F216" i="6"/>
  <c r="I216" i="6" s="1"/>
  <c r="G216" i="6"/>
  <c r="D218" i="6" l="1"/>
  <c r="E218" i="6" s="1"/>
  <c r="K218" i="6"/>
  <c r="B219" i="6"/>
  <c r="C218" i="6"/>
  <c r="H218" i="6" s="1"/>
  <c r="L218" i="6"/>
  <c r="N218" i="6" s="1"/>
  <c r="P218" i="6" s="1"/>
  <c r="G217" i="6"/>
  <c r="F217" i="6"/>
  <c r="I217" i="6" l="1"/>
  <c r="G218" i="6"/>
  <c r="F218" i="6"/>
  <c r="I218" i="6" s="1"/>
  <c r="D219" i="6"/>
  <c r="E219" i="6" s="1"/>
  <c r="B220" i="6"/>
  <c r="C219" i="6"/>
  <c r="H219" i="6" s="1"/>
  <c r="K219" i="6"/>
  <c r="L219" i="6"/>
  <c r="G219" i="6" l="1"/>
  <c r="F219" i="6"/>
  <c r="I219" i="6" s="1"/>
  <c r="N219" i="6"/>
  <c r="D220" i="6"/>
  <c r="E220" i="6" s="1"/>
  <c r="B221" i="6"/>
  <c r="C220" i="6"/>
  <c r="H220" i="6" s="1"/>
  <c r="L220" i="6"/>
  <c r="N220" i="6" s="1"/>
  <c r="P220" i="6" s="1"/>
  <c r="K220" i="6"/>
  <c r="P219" i="6" l="1"/>
  <c r="D221" i="6"/>
  <c r="E221" i="6" s="1"/>
  <c r="B222" i="6"/>
  <c r="C221" i="6"/>
  <c r="H221" i="6" s="1"/>
  <c r="L221" i="6"/>
  <c r="K221" i="6"/>
  <c r="G220" i="6"/>
  <c r="F220" i="6"/>
  <c r="N221" i="6" l="1"/>
  <c r="B223" i="6"/>
  <c r="D222" i="6"/>
  <c r="E222" i="6" s="1"/>
  <c r="L222" i="6"/>
  <c r="N222" i="6" s="1"/>
  <c r="P222" i="6" s="1"/>
  <c r="C222" i="6"/>
  <c r="H222" i="6" s="1"/>
  <c r="K222" i="6"/>
  <c r="F221" i="6"/>
  <c r="I221" i="6" s="1"/>
  <c r="G221" i="6"/>
  <c r="I220" i="6"/>
  <c r="F222" i="6" l="1"/>
  <c r="G222" i="6"/>
  <c r="K223" i="6"/>
  <c r="B224" i="6"/>
  <c r="L223" i="6"/>
  <c r="N223" i="6" s="1"/>
  <c r="P223" i="6" s="1"/>
  <c r="D223" i="6"/>
  <c r="E223" i="6" s="1"/>
  <c r="C223" i="6"/>
  <c r="H223" i="6" s="1"/>
  <c r="P221" i="6"/>
  <c r="B225" i="6" l="1"/>
  <c r="D224" i="6"/>
  <c r="E224" i="6" s="1"/>
  <c r="L224" i="6"/>
  <c r="N224" i="6" s="1"/>
  <c r="P224" i="6" s="1"/>
  <c r="C224" i="6"/>
  <c r="H224" i="6" s="1"/>
  <c r="K224" i="6"/>
  <c r="G223" i="6"/>
  <c r="F223" i="6"/>
  <c r="I223" i="6" s="1"/>
  <c r="I222" i="6"/>
  <c r="F224" i="6" l="1"/>
  <c r="I224" i="6" s="1"/>
  <c r="G224" i="6"/>
  <c r="K225" i="6"/>
  <c r="B226" i="6"/>
  <c r="D225" i="6"/>
  <c r="E225" i="6" s="1"/>
  <c r="C225" i="6"/>
  <c r="H225" i="6" s="1"/>
  <c r="L225" i="6"/>
  <c r="N225" i="6" s="1"/>
  <c r="P225" i="6" s="1"/>
  <c r="G225" i="6" l="1"/>
  <c r="F225" i="6"/>
  <c r="I225" i="6" s="1"/>
  <c r="B227" i="6"/>
  <c r="D226" i="6"/>
  <c r="E226" i="6" s="1"/>
  <c r="L226" i="6"/>
  <c r="C226" i="6"/>
  <c r="H226" i="6" s="1"/>
  <c r="H60" i="6" s="1"/>
  <c r="K226" i="6"/>
  <c r="K60" i="6" s="1"/>
  <c r="F226" i="6" l="1"/>
  <c r="G226" i="6"/>
  <c r="G60" i="6" s="1"/>
  <c r="E60" i="6"/>
  <c r="K227" i="6"/>
  <c r="B228" i="6"/>
  <c r="D227" i="6"/>
  <c r="E227" i="6" s="1"/>
  <c r="C227" i="6"/>
  <c r="H227" i="6" s="1"/>
  <c r="L227" i="6"/>
  <c r="N226" i="6"/>
  <c r="L60" i="6"/>
  <c r="N227" i="6" l="1"/>
  <c r="B229" i="6"/>
  <c r="D228" i="6"/>
  <c r="E228" i="6" s="1"/>
  <c r="L228" i="6"/>
  <c r="N228" i="6" s="1"/>
  <c r="P228" i="6" s="1"/>
  <c r="C228" i="6"/>
  <c r="H228" i="6" s="1"/>
  <c r="K228" i="6"/>
  <c r="G227" i="6"/>
  <c r="F227" i="6"/>
  <c r="P226" i="6"/>
  <c r="N60" i="6"/>
  <c r="P60" i="6" s="1"/>
  <c r="I226" i="6"/>
  <c r="I60" i="6" s="1"/>
  <c r="F60" i="6"/>
  <c r="F228" i="6" l="1"/>
  <c r="I228" i="6" s="1"/>
  <c r="G228" i="6"/>
  <c r="K229" i="6"/>
  <c r="B230" i="6"/>
  <c r="C229" i="6"/>
  <c r="H229" i="6" s="1"/>
  <c r="L229" i="6"/>
  <c r="N229" i="6" s="1"/>
  <c r="P229" i="6" s="1"/>
  <c r="D229" i="6"/>
  <c r="E229" i="6" s="1"/>
  <c r="I227" i="6"/>
  <c r="P227" i="6"/>
  <c r="B231" i="6" l="1"/>
  <c r="D230" i="6"/>
  <c r="E230" i="6" s="1"/>
  <c r="L230" i="6"/>
  <c r="C230" i="6"/>
  <c r="H230" i="6" s="1"/>
  <c r="K230" i="6"/>
  <c r="G229" i="6"/>
  <c r="F229" i="6"/>
  <c r="N230" i="6" l="1"/>
  <c r="F230" i="6"/>
  <c r="I230" i="6" s="1"/>
  <c r="G230" i="6"/>
  <c r="K231" i="6"/>
  <c r="B232" i="6"/>
  <c r="L231" i="6"/>
  <c r="N231" i="6" s="1"/>
  <c r="P231" i="6" s="1"/>
  <c r="C231" i="6"/>
  <c r="H231" i="6" s="1"/>
  <c r="D231" i="6"/>
  <c r="E231" i="6" s="1"/>
  <c r="I229" i="6"/>
  <c r="B233" i="6" l="1"/>
  <c r="D232" i="6"/>
  <c r="E232" i="6" s="1"/>
  <c r="L232" i="6"/>
  <c r="N232" i="6" s="1"/>
  <c r="P232" i="6" s="1"/>
  <c r="C232" i="6"/>
  <c r="H232" i="6" s="1"/>
  <c r="K232" i="6"/>
  <c r="G231" i="6"/>
  <c r="F231" i="6"/>
  <c r="P230" i="6"/>
  <c r="F232" i="6" l="1"/>
  <c r="I232" i="6" s="1"/>
  <c r="G232" i="6"/>
  <c r="I231" i="6"/>
  <c r="K233" i="6"/>
  <c r="B234" i="6"/>
  <c r="L233" i="6"/>
  <c r="D233" i="6"/>
  <c r="E233" i="6" s="1"/>
  <c r="C233" i="6"/>
  <c r="H233" i="6" s="1"/>
  <c r="B235" i="6" l="1"/>
  <c r="D234" i="6"/>
  <c r="E234" i="6" s="1"/>
  <c r="L234" i="6"/>
  <c r="N234" i="6" s="1"/>
  <c r="P234" i="6" s="1"/>
  <c r="C234" i="6"/>
  <c r="H234" i="6" s="1"/>
  <c r="K234" i="6"/>
  <c r="G233" i="6"/>
  <c r="F233" i="6"/>
  <c r="N233" i="6"/>
  <c r="I233" i="6" l="1"/>
  <c r="F234" i="6"/>
  <c r="I234" i="6" s="1"/>
  <c r="G234" i="6"/>
  <c r="P233" i="6"/>
  <c r="K235" i="6"/>
  <c r="B236" i="6"/>
  <c r="L235" i="6"/>
  <c r="N235" i="6" s="1"/>
  <c r="P235" i="6" s="1"/>
  <c r="D235" i="6"/>
  <c r="E235" i="6" s="1"/>
  <c r="C235" i="6"/>
  <c r="H235" i="6" s="1"/>
  <c r="G235" i="6" l="1"/>
  <c r="F235" i="6"/>
  <c r="I235" i="6" s="1"/>
  <c r="B237" i="6"/>
  <c r="D236" i="6"/>
  <c r="E236" i="6" s="1"/>
  <c r="L236" i="6"/>
  <c r="N236" i="6" s="1"/>
  <c r="C236" i="6"/>
  <c r="H236" i="6" s="1"/>
  <c r="K236" i="6"/>
  <c r="K237" i="6" l="1"/>
  <c r="B238" i="6"/>
  <c r="L237" i="6"/>
  <c r="N237" i="6" s="1"/>
  <c r="P237" i="6" s="1"/>
  <c r="D237" i="6"/>
  <c r="E237" i="6" s="1"/>
  <c r="C237" i="6"/>
  <c r="H237" i="6" s="1"/>
  <c r="F236" i="6"/>
  <c r="I236" i="6" s="1"/>
  <c r="G236" i="6"/>
  <c r="P236" i="6"/>
  <c r="G237" i="6" l="1"/>
  <c r="F237" i="6"/>
  <c r="I237" i="6" s="1"/>
  <c r="B239" i="6"/>
  <c r="D238" i="6"/>
  <c r="E238" i="6" s="1"/>
  <c r="L238" i="6"/>
  <c r="C238" i="6"/>
  <c r="H238" i="6" s="1"/>
  <c r="H61" i="6" s="1"/>
  <c r="K238" i="6"/>
  <c r="K61" i="6" s="1"/>
  <c r="F238" i="6" l="1"/>
  <c r="G238" i="6"/>
  <c r="G61" i="6" s="1"/>
  <c r="E61" i="6"/>
  <c r="N238" i="6"/>
  <c r="L61" i="6"/>
  <c r="K239" i="6"/>
  <c r="B240" i="6"/>
  <c r="L239" i="6"/>
  <c r="D239" i="6"/>
  <c r="E239" i="6" s="1"/>
  <c r="C239" i="6"/>
  <c r="H239" i="6" s="1"/>
  <c r="B241" i="6" l="1"/>
  <c r="D240" i="6"/>
  <c r="E240" i="6" s="1"/>
  <c r="L240" i="6"/>
  <c r="N240" i="6" s="1"/>
  <c r="P240" i="6" s="1"/>
  <c r="C240" i="6"/>
  <c r="H240" i="6" s="1"/>
  <c r="K240" i="6"/>
  <c r="P238" i="6"/>
  <c r="N61" i="6"/>
  <c r="P61" i="6" s="1"/>
  <c r="N239" i="6"/>
  <c r="G239" i="6"/>
  <c r="F239" i="6"/>
  <c r="I238" i="6"/>
  <c r="I61" i="6" s="1"/>
  <c r="F61" i="6"/>
  <c r="I239" i="6" l="1"/>
  <c r="F240" i="6"/>
  <c r="I240" i="6" s="1"/>
  <c r="G240" i="6"/>
  <c r="P239" i="6"/>
  <c r="K241" i="6"/>
  <c r="B242" i="6"/>
  <c r="D241" i="6"/>
  <c r="E241" i="6" s="1"/>
  <c r="C241" i="6"/>
  <c r="H241" i="6" s="1"/>
  <c r="L241" i="6"/>
  <c r="N241" i="6" s="1"/>
  <c r="P241" i="6" s="1"/>
  <c r="G241" i="6" l="1"/>
  <c r="F241" i="6"/>
  <c r="I241" i="6" s="1"/>
  <c r="B243" i="6"/>
  <c r="D242" i="6"/>
  <c r="E242" i="6" s="1"/>
  <c r="L242" i="6"/>
  <c r="N242" i="6" s="1"/>
  <c r="P242" i="6" s="1"/>
  <c r="C242" i="6"/>
  <c r="H242" i="6" s="1"/>
  <c r="K242" i="6"/>
  <c r="K243" i="6" l="1"/>
  <c r="B244" i="6"/>
  <c r="D243" i="6"/>
  <c r="E243" i="6" s="1"/>
  <c r="C243" i="6"/>
  <c r="H243" i="6" s="1"/>
  <c r="L243" i="6"/>
  <c r="F242" i="6"/>
  <c r="G242" i="6"/>
  <c r="N243" i="6" l="1"/>
  <c r="G243" i="6"/>
  <c r="F243" i="6"/>
  <c r="I243" i="6" s="1"/>
  <c r="I242" i="6"/>
  <c r="B245" i="6"/>
  <c r="D244" i="6"/>
  <c r="E244" i="6" s="1"/>
  <c r="L244" i="6"/>
  <c r="N244" i="6" s="1"/>
  <c r="P244" i="6" s="1"/>
  <c r="C244" i="6"/>
  <c r="H244" i="6" s="1"/>
  <c r="K244" i="6"/>
  <c r="F244" i="6" l="1"/>
  <c r="G244" i="6"/>
  <c r="P243" i="6"/>
  <c r="K245" i="6"/>
  <c r="B246" i="6"/>
  <c r="C245" i="6"/>
  <c r="H245" i="6" s="1"/>
  <c r="L245" i="6"/>
  <c r="N245" i="6" s="1"/>
  <c r="P245" i="6" s="1"/>
  <c r="D245" i="6"/>
  <c r="E245" i="6" s="1"/>
  <c r="B247" i="6" l="1"/>
  <c r="D246" i="6"/>
  <c r="E246" i="6" s="1"/>
  <c r="L246" i="6"/>
  <c r="N246" i="6" s="1"/>
  <c r="C246" i="6"/>
  <c r="H246" i="6" s="1"/>
  <c r="K246" i="6"/>
  <c r="G245" i="6"/>
  <c r="F245" i="6"/>
  <c r="I245" i="6" s="1"/>
  <c r="I244" i="6"/>
  <c r="P246" i="6" l="1"/>
  <c r="F246" i="6"/>
  <c r="I246" i="6" s="1"/>
  <c r="G246" i="6"/>
  <c r="K247" i="6"/>
  <c r="B248" i="6"/>
  <c r="L247" i="6"/>
  <c r="N247" i="6" s="1"/>
  <c r="P247" i="6" s="1"/>
  <c r="C247" i="6"/>
  <c r="H247" i="6" s="1"/>
  <c r="D247" i="6"/>
  <c r="E247" i="6" s="1"/>
  <c r="B249" i="6" l="1"/>
  <c r="D248" i="6"/>
  <c r="E248" i="6" s="1"/>
  <c r="L248" i="6"/>
  <c r="N248" i="6" s="1"/>
  <c r="C248" i="6"/>
  <c r="H248" i="6" s="1"/>
  <c r="K248" i="6"/>
  <c r="G247" i="6"/>
  <c r="F247" i="6"/>
  <c r="I247" i="6" s="1"/>
  <c r="P248" i="6" l="1"/>
  <c r="F248" i="6"/>
  <c r="I248" i="6" s="1"/>
  <c r="G248" i="6"/>
  <c r="K249" i="6"/>
  <c r="B250" i="6"/>
  <c r="L249" i="6"/>
  <c r="N249" i="6" s="1"/>
  <c r="P249" i="6" s="1"/>
  <c r="D249" i="6"/>
  <c r="E249" i="6" s="1"/>
  <c r="C249" i="6"/>
  <c r="H249" i="6" s="1"/>
  <c r="G249" i="6" l="1"/>
  <c r="F249" i="6"/>
  <c r="I249" i="6" s="1"/>
  <c r="B251" i="6"/>
  <c r="D250" i="6"/>
  <c r="E250" i="6" s="1"/>
  <c r="L250" i="6"/>
  <c r="C250" i="6"/>
  <c r="H250" i="6" s="1"/>
  <c r="H62" i="6" s="1"/>
  <c r="K250" i="6"/>
  <c r="K62" i="6" s="1"/>
  <c r="N250" i="6" l="1"/>
  <c r="L62" i="6"/>
  <c r="K251" i="6"/>
  <c r="B252" i="6"/>
  <c r="L251" i="6"/>
  <c r="C251" i="6"/>
  <c r="H251" i="6" s="1"/>
  <c r="D251" i="6"/>
  <c r="E251" i="6" s="1"/>
  <c r="F250" i="6"/>
  <c r="G250" i="6"/>
  <c r="G62" i="6" s="1"/>
  <c r="E62" i="6"/>
  <c r="G251" i="6" l="1"/>
  <c r="F251" i="6"/>
  <c r="N251" i="6"/>
  <c r="I250" i="6"/>
  <c r="I62" i="6" s="1"/>
  <c r="F62" i="6"/>
  <c r="B253" i="6"/>
  <c r="D252" i="6"/>
  <c r="E252" i="6" s="1"/>
  <c r="L252" i="6"/>
  <c r="N252" i="6" s="1"/>
  <c r="P252" i="6" s="1"/>
  <c r="C252" i="6"/>
  <c r="H252" i="6" s="1"/>
  <c r="K252" i="6"/>
  <c r="P250" i="6"/>
  <c r="N62" i="6"/>
  <c r="P62" i="6" s="1"/>
  <c r="K253" i="6" l="1"/>
  <c r="B254" i="6"/>
  <c r="L253" i="6"/>
  <c r="C253" i="6"/>
  <c r="H253" i="6" s="1"/>
  <c r="D253" i="6"/>
  <c r="E253" i="6" s="1"/>
  <c r="P251" i="6"/>
  <c r="I251" i="6"/>
  <c r="F252" i="6"/>
  <c r="I252" i="6" s="1"/>
  <c r="G252" i="6"/>
  <c r="G253" i="6" l="1"/>
  <c r="F253" i="6"/>
  <c r="I253" i="6" s="1"/>
  <c r="N253" i="6"/>
  <c r="B255" i="6"/>
  <c r="D254" i="6"/>
  <c r="E254" i="6" s="1"/>
  <c r="L254" i="6"/>
  <c r="N254" i="6" s="1"/>
  <c r="P254" i="6" s="1"/>
  <c r="C254" i="6"/>
  <c r="H254" i="6" s="1"/>
  <c r="K254" i="6"/>
  <c r="F254" i="6" l="1"/>
  <c r="G254" i="6"/>
  <c r="K255" i="6"/>
  <c r="B256" i="6"/>
  <c r="L255" i="6"/>
  <c r="N255" i="6" s="1"/>
  <c r="P255" i="6" s="1"/>
  <c r="C255" i="6"/>
  <c r="H255" i="6" s="1"/>
  <c r="D255" i="6"/>
  <c r="E255" i="6" s="1"/>
  <c r="P253" i="6"/>
  <c r="D256" i="6" l="1"/>
  <c r="E256" i="6" s="1"/>
  <c r="B257" i="6"/>
  <c r="C256" i="6"/>
  <c r="H256" i="6" s="1"/>
  <c r="K256" i="6"/>
  <c r="L256" i="6"/>
  <c r="I254" i="6"/>
  <c r="G255" i="6"/>
  <c r="F255" i="6"/>
  <c r="I255" i="6" s="1"/>
  <c r="N256" i="6" l="1"/>
  <c r="D257" i="6"/>
  <c r="E257" i="6" s="1"/>
  <c r="C257" i="6"/>
  <c r="H257" i="6" s="1"/>
  <c r="B258" i="6"/>
  <c r="K257" i="6"/>
  <c r="L257" i="6"/>
  <c r="N257" i="6" s="1"/>
  <c r="P257" i="6" s="1"/>
  <c r="G256" i="6"/>
  <c r="F256" i="6"/>
  <c r="D258" i="6" l="1"/>
  <c r="E258" i="6" s="1"/>
  <c r="K258" i="6"/>
  <c r="C258" i="6"/>
  <c r="H258" i="6" s="1"/>
  <c r="B259" i="6"/>
  <c r="L258" i="6"/>
  <c r="G257" i="6"/>
  <c r="F257" i="6"/>
  <c r="I257" i="6" s="1"/>
  <c r="I256" i="6"/>
  <c r="P256" i="6"/>
  <c r="N258" i="6" l="1"/>
  <c r="D259" i="6"/>
  <c r="E259" i="6" s="1"/>
  <c r="K259" i="6"/>
  <c r="C259" i="6"/>
  <c r="H259" i="6" s="1"/>
  <c r="L259" i="6"/>
  <c r="N259" i="6" s="1"/>
  <c r="P259" i="6" s="1"/>
  <c r="B260" i="6"/>
  <c r="G258" i="6"/>
  <c r="F258" i="6"/>
  <c r="D260" i="6" l="1"/>
  <c r="E260" i="6" s="1"/>
  <c r="L260" i="6"/>
  <c r="N260" i="6" s="1"/>
  <c r="P260" i="6" s="1"/>
  <c r="K260" i="6"/>
  <c r="C260" i="6"/>
  <c r="H260" i="6" s="1"/>
  <c r="B261" i="6"/>
  <c r="G259" i="6"/>
  <c r="F259" i="6"/>
  <c r="I259" i="6" s="1"/>
  <c r="I258" i="6"/>
  <c r="P258" i="6"/>
  <c r="D261" i="6" l="1"/>
  <c r="E261" i="6" s="1"/>
  <c r="L261" i="6"/>
  <c r="N261" i="6" s="1"/>
  <c r="P261" i="6" s="1"/>
  <c r="K261" i="6"/>
  <c r="C261" i="6"/>
  <c r="H261" i="6" s="1"/>
  <c r="B262" i="6"/>
  <c r="G260" i="6"/>
  <c r="F260" i="6"/>
  <c r="I260" i="6" s="1"/>
  <c r="D262" i="6" l="1"/>
  <c r="E262" i="6" s="1"/>
  <c r="L262" i="6"/>
  <c r="K262" i="6"/>
  <c r="K63" i="6" s="1"/>
  <c r="B263" i="6"/>
  <c r="C262" i="6"/>
  <c r="H262" i="6" s="1"/>
  <c r="H63" i="6" s="1"/>
  <c r="G261" i="6"/>
  <c r="F261" i="6"/>
  <c r="I261" i="6" s="1"/>
  <c r="D263" i="6" l="1"/>
  <c r="E263" i="6" s="1"/>
  <c r="B264" i="6"/>
  <c r="L263" i="6"/>
  <c r="K263" i="6"/>
  <c r="C263" i="6"/>
  <c r="H263" i="6" s="1"/>
  <c r="N262" i="6"/>
  <c r="L63" i="6"/>
  <c r="G262" i="6"/>
  <c r="G63" i="6" s="1"/>
  <c r="F262" i="6"/>
  <c r="E63" i="6"/>
  <c r="P262" i="6" l="1"/>
  <c r="N63" i="6"/>
  <c r="P63" i="6" s="1"/>
  <c r="N263" i="6"/>
  <c r="D264" i="6"/>
  <c r="E264" i="6" s="1"/>
  <c r="B265" i="6"/>
  <c r="L264" i="6"/>
  <c r="N264" i="6" s="1"/>
  <c r="P264" i="6" s="1"/>
  <c r="K264" i="6"/>
  <c r="C264" i="6"/>
  <c r="H264" i="6" s="1"/>
  <c r="I262" i="6"/>
  <c r="I63" i="6" s="1"/>
  <c r="F63" i="6"/>
  <c r="G263" i="6"/>
  <c r="F263" i="6"/>
  <c r="B266" i="6" l="1"/>
  <c r="D265" i="6"/>
  <c r="E265" i="6" s="1"/>
  <c r="L265" i="6"/>
  <c r="N265" i="6" s="1"/>
  <c r="P265" i="6" s="1"/>
  <c r="C265" i="6"/>
  <c r="H265" i="6" s="1"/>
  <c r="K265" i="6"/>
  <c r="I263" i="6"/>
  <c r="G264" i="6"/>
  <c r="F264" i="6"/>
  <c r="I264" i="6" s="1"/>
  <c r="P263" i="6"/>
  <c r="F265" i="6" l="1"/>
  <c r="G265" i="6"/>
  <c r="D266" i="6"/>
  <c r="E266" i="6" s="1"/>
  <c r="K266" i="6"/>
  <c r="B267" i="6"/>
  <c r="L266" i="6"/>
  <c r="C266" i="6"/>
  <c r="H266" i="6" s="1"/>
  <c r="G266" i="6" l="1"/>
  <c r="F266" i="6"/>
  <c r="I266" i="6" s="1"/>
  <c r="N266" i="6"/>
  <c r="I265" i="6"/>
  <c r="B268" i="6"/>
  <c r="D267" i="6"/>
  <c r="E267" i="6" s="1"/>
  <c r="L267" i="6"/>
  <c r="N267" i="6" s="1"/>
  <c r="P267" i="6" s="1"/>
  <c r="C267" i="6"/>
  <c r="H267" i="6" s="1"/>
  <c r="K267" i="6"/>
  <c r="P266" i="6" l="1"/>
  <c r="F267" i="6"/>
  <c r="G267" i="6"/>
  <c r="D268" i="6"/>
  <c r="E268" i="6" s="1"/>
  <c r="K268" i="6"/>
  <c r="L268" i="6"/>
  <c r="C268" i="6"/>
  <c r="H268" i="6" s="1"/>
  <c r="B269" i="6"/>
  <c r="G268" i="6" l="1"/>
  <c r="F268" i="6"/>
  <c r="I268" i="6" s="1"/>
  <c r="B270" i="6"/>
  <c r="D269" i="6"/>
  <c r="E269" i="6" s="1"/>
  <c r="L269" i="6"/>
  <c r="N269" i="6" s="1"/>
  <c r="P269" i="6" s="1"/>
  <c r="C269" i="6"/>
  <c r="H269" i="6" s="1"/>
  <c r="K269" i="6"/>
  <c r="N268" i="6"/>
  <c r="I267" i="6"/>
  <c r="P268" i="6" l="1"/>
  <c r="F269" i="6"/>
  <c r="G269" i="6"/>
  <c r="D270" i="6"/>
  <c r="E270" i="6" s="1"/>
  <c r="K270" i="6"/>
  <c r="L270" i="6"/>
  <c r="N270" i="6" s="1"/>
  <c r="P270" i="6" s="1"/>
  <c r="C270" i="6"/>
  <c r="H270" i="6" s="1"/>
  <c r="B271" i="6"/>
  <c r="G270" i="6" l="1"/>
  <c r="F270" i="6"/>
  <c r="I270" i="6" s="1"/>
  <c r="I269" i="6"/>
  <c r="B272" i="6"/>
  <c r="D271" i="6"/>
  <c r="E271" i="6" s="1"/>
  <c r="L271" i="6"/>
  <c r="N271" i="6" s="1"/>
  <c r="P271" i="6" s="1"/>
  <c r="C271" i="6"/>
  <c r="H271" i="6" s="1"/>
  <c r="K271" i="6"/>
  <c r="D272" i="6" l="1"/>
  <c r="E272" i="6" s="1"/>
  <c r="K272" i="6"/>
  <c r="B273" i="6"/>
  <c r="L272" i="6"/>
  <c r="N272" i="6" s="1"/>
  <c r="C272" i="6"/>
  <c r="H272" i="6" s="1"/>
  <c r="F271" i="6"/>
  <c r="G271" i="6"/>
  <c r="P272" i="6" l="1"/>
  <c r="I271" i="6"/>
  <c r="B274" i="6"/>
  <c r="D273" i="6"/>
  <c r="E273" i="6" s="1"/>
  <c r="L273" i="6"/>
  <c r="N273" i="6" s="1"/>
  <c r="P273" i="6" s="1"/>
  <c r="C273" i="6"/>
  <c r="H273" i="6" s="1"/>
  <c r="K273" i="6"/>
  <c r="G272" i="6"/>
  <c r="F272" i="6"/>
  <c r="I272" i="6" s="1"/>
  <c r="D274" i="6" l="1"/>
  <c r="E274" i="6" s="1"/>
  <c r="K274" i="6"/>
  <c r="K64" i="6" s="1"/>
  <c r="B275" i="6"/>
  <c r="L274" i="6"/>
  <c r="C274" i="6"/>
  <c r="H274" i="6" s="1"/>
  <c r="H64" i="6" s="1"/>
  <c r="F273" i="6"/>
  <c r="I273" i="6" s="1"/>
  <c r="G273" i="6"/>
  <c r="N274" i="6" l="1"/>
  <c r="L64" i="6"/>
  <c r="B276" i="6"/>
  <c r="D275" i="6"/>
  <c r="E275" i="6" s="1"/>
  <c r="L275" i="6"/>
  <c r="C275" i="6"/>
  <c r="H275" i="6" s="1"/>
  <c r="K275" i="6"/>
  <c r="G274" i="6"/>
  <c r="G64" i="6" s="1"/>
  <c r="F274" i="6"/>
  <c r="E64" i="6"/>
  <c r="N275" i="6" l="1"/>
  <c r="F275" i="6"/>
  <c r="G275" i="6"/>
  <c r="D276" i="6"/>
  <c r="E276" i="6" s="1"/>
  <c r="K276" i="6"/>
  <c r="B277" i="6"/>
  <c r="L276" i="6"/>
  <c r="N276" i="6" s="1"/>
  <c r="P276" i="6" s="1"/>
  <c r="C276" i="6"/>
  <c r="H276" i="6" s="1"/>
  <c r="I274" i="6"/>
  <c r="I64" i="6" s="1"/>
  <c r="F64" i="6"/>
  <c r="P274" i="6"/>
  <c r="N64" i="6"/>
  <c r="P64" i="6" s="1"/>
  <c r="I275" i="6" l="1"/>
  <c r="P275" i="6"/>
  <c r="G276" i="6"/>
  <c r="F276" i="6"/>
  <c r="I276" i="6" s="1"/>
  <c r="B278" i="6"/>
  <c r="D277" i="6"/>
  <c r="E277" i="6" s="1"/>
  <c r="L277" i="6"/>
  <c r="C277" i="6"/>
  <c r="H277" i="6" s="1"/>
  <c r="K277" i="6"/>
  <c r="N277" i="6" l="1"/>
  <c r="D278" i="6"/>
  <c r="E278" i="6" s="1"/>
  <c r="K278" i="6"/>
  <c r="B279" i="6"/>
  <c r="C278" i="6"/>
  <c r="H278" i="6" s="1"/>
  <c r="L278" i="6"/>
  <c r="N278" i="6" s="1"/>
  <c r="P278" i="6" s="1"/>
  <c r="F277" i="6"/>
  <c r="G277" i="6"/>
  <c r="G278" i="6" l="1"/>
  <c r="F278" i="6"/>
  <c r="I278" i="6" s="1"/>
  <c r="P277" i="6"/>
  <c r="I277" i="6"/>
  <c r="B280" i="6"/>
  <c r="D279" i="6"/>
  <c r="E279" i="6" s="1"/>
  <c r="L279" i="6"/>
  <c r="C279" i="6"/>
  <c r="H279" i="6" s="1"/>
  <c r="K279" i="6"/>
  <c r="N279" i="6" l="1"/>
  <c r="F279" i="6"/>
  <c r="G279" i="6"/>
  <c r="D280" i="6"/>
  <c r="E280" i="6" s="1"/>
  <c r="K280" i="6"/>
  <c r="B281" i="6"/>
  <c r="L280" i="6"/>
  <c r="N280" i="6" s="1"/>
  <c r="P280" i="6" s="1"/>
  <c r="C280" i="6"/>
  <c r="H280" i="6" s="1"/>
  <c r="B282" i="6" l="1"/>
  <c r="D281" i="6"/>
  <c r="E281" i="6" s="1"/>
  <c r="L281" i="6"/>
  <c r="C281" i="6"/>
  <c r="H281" i="6" s="1"/>
  <c r="K281" i="6"/>
  <c r="I279" i="6"/>
  <c r="P279" i="6"/>
  <c r="G280" i="6"/>
  <c r="F280" i="6"/>
  <c r="I280" i="6" s="1"/>
  <c r="N281" i="6" l="1"/>
  <c r="F281" i="6"/>
  <c r="G281" i="6"/>
  <c r="D282" i="6"/>
  <c r="E282" i="6" s="1"/>
  <c r="K282" i="6"/>
  <c r="B283" i="6"/>
  <c r="L282" i="6"/>
  <c r="N282" i="6" s="1"/>
  <c r="P282" i="6" s="1"/>
  <c r="C282" i="6"/>
  <c r="H282" i="6" s="1"/>
  <c r="B284" i="6" l="1"/>
  <c r="D283" i="6"/>
  <c r="E283" i="6" s="1"/>
  <c r="L283" i="6"/>
  <c r="N283" i="6" s="1"/>
  <c r="P283" i="6" s="1"/>
  <c r="C283" i="6"/>
  <c r="H283" i="6" s="1"/>
  <c r="K283" i="6"/>
  <c r="G282" i="6"/>
  <c r="F282" i="6"/>
  <c r="I282" i="6" s="1"/>
  <c r="I281" i="6"/>
  <c r="P281" i="6"/>
  <c r="F283" i="6" l="1"/>
  <c r="I283" i="6" s="1"/>
  <c r="G283" i="6"/>
  <c r="D284" i="6"/>
  <c r="E284" i="6" s="1"/>
  <c r="K284" i="6"/>
  <c r="B285" i="6"/>
  <c r="L284" i="6"/>
  <c r="N284" i="6" s="1"/>
  <c r="C284" i="6"/>
  <c r="H284" i="6" s="1"/>
  <c r="P284" i="6" l="1"/>
  <c r="G284" i="6"/>
  <c r="F284" i="6"/>
  <c r="I284" i="6" s="1"/>
  <c r="B286" i="6"/>
  <c r="D285" i="6"/>
  <c r="E285" i="6" s="1"/>
  <c r="L285" i="6"/>
  <c r="N285" i="6" s="1"/>
  <c r="P285" i="6" s="1"/>
  <c r="C285" i="6"/>
  <c r="H285" i="6" s="1"/>
  <c r="K285" i="6"/>
  <c r="D286" i="6" l="1"/>
  <c r="E286" i="6" s="1"/>
  <c r="K286" i="6"/>
  <c r="K65" i="6" s="1"/>
  <c r="B287" i="6"/>
  <c r="C286" i="6"/>
  <c r="H286" i="6" s="1"/>
  <c r="H65" i="6" s="1"/>
  <c r="L286" i="6"/>
  <c r="F285" i="6"/>
  <c r="I285" i="6" s="1"/>
  <c r="G285" i="6"/>
  <c r="N286" i="6" l="1"/>
  <c r="L65" i="6"/>
  <c r="B288" i="6"/>
  <c r="D287" i="6"/>
  <c r="E287" i="6" s="1"/>
  <c r="L287" i="6"/>
  <c r="C287" i="6"/>
  <c r="H287" i="6" s="1"/>
  <c r="K287" i="6"/>
  <c r="G286" i="6"/>
  <c r="G65" i="6" s="1"/>
  <c r="F286" i="6"/>
  <c r="E65" i="6"/>
  <c r="F287" i="6" l="1"/>
  <c r="G287" i="6"/>
  <c r="D288" i="6"/>
  <c r="E288" i="6" s="1"/>
  <c r="K288" i="6"/>
  <c r="B289" i="6"/>
  <c r="L288" i="6"/>
  <c r="N288" i="6" s="1"/>
  <c r="P288" i="6" s="1"/>
  <c r="C288" i="6"/>
  <c r="H288" i="6" s="1"/>
  <c r="N287" i="6"/>
  <c r="I286" i="6"/>
  <c r="I65" i="6" s="1"/>
  <c r="F65" i="6"/>
  <c r="P286" i="6"/>
  <c r="N65" i="6"/>
  <c r="P65" i="6" s="1"/>
  <c r="B290" i="6" l="1"/>
  <c r="D289" i="6"/>
  <c r="E289" i="6" s="1"/>
  <c r="L289" i="6"/>
  <c r="C289" i="6"/>
  <c r="H289" i="6" s="1"/>
  <c r="K289" i="6"/>
  <c r="P287" i="6"/>
  <c r="I287" i="6"/>
  <c r="G288" i="6"/>
  <c r="F288" i="6"/>
  <c r="I288" i="6" s="1"/>
  <c r="N289" i="6" l="1"/>
  <c r="F289" i="6"/>
  <c r="I289" i="6" s="1"/>
  <c r="G289" i="6"/>
  <c r="D290" i="6"/>
  <c r="E290" i="6" s="1"/>
  <c r="K290" i="6"/>
  <c r="B291" i="6"/>
  <c r="L290" i="6"/>
  <c r="N290" i="6" s="1"/>
  <c r="P290" i="6" s="1"/>
  <c r="C290" i="6"/>
  <c r="H290" i="6" s="1"/>
  <c r="G290" i="6" l="1"/>
  <c r="F290" i="6"/>
  <c r="P289" i="6"/>
  <c r="B292" i="6"/>
  <c r="D291" i="6"/>
  <c r="E291" i="6" s="1"/>
  <c r="L291" i="6"/>
  <c r="C291" i="6"/>
  <c r="H291" i="6" s="1"/>
  <c r="K291" i="6"/>
  <c r="F291" i="6" l="1"/>
  <c r="I291" i="6" s="1"/>
  <c r="G291" i="6"/>
  <c r="I290" i="6"/>
  <c r="D292" i="6"/>
  <c r="E292" i="6" s="1"/>
  <c r="K292" i="6"/>
  <c r="B293" i="6"/>
  <c r="L292" i="6"/>
  <c r="N292" i="6" s="1"/>
  <c r="P292" i="6" s="1"/>
  <c r="C292" i="6"/>
  <c r="H292" i="6" s="1"/>
  <c r="N291" i="6"/>
  <c r="B294" i="6" l="1"/>
  <c r="D293" i="6"/>
  <c r="E293" i="6" s="1"/>
  <c r="L293" i="6"/>
  <c r="C293" i="6"/>
  <c r="H293" i="6" s="1"/>
  <c r="K293" i="6"/>
  <c r="G292" i="6"/>
  <c r="F292" i="6"/>
  <c r="P291" i="6"/>
  <c r="I292" i="6" l="1"/>
  <c r="N293" i="6"/>
  <c r="F293" i="6"/>
  <c r="I293" i="6" s="1"/>
  <c r="G293" i="6"/>
  <c r="D294" i="6"/>
  <c r="E294" i="6" s="1"/>
  <c r="K294" i="6"/>
  <c r="B295" i="6"/>
  <c r="C294" i="6"/>
  <c r="H294" i="6" s="1"/>
  <c r="L294" i="6"/>
  <c r="N294" i="6" s="1"/>
  <c r="P294" i="6" s="1"/>
  <c r="P293" i="6" l="1"/>
  <c r="G294" i="6"/>
  <c r="F294" i="6"/>
  <c r="I294" i="6" s="1"/>
  <c r="B296" i="6"/>
  <c r="D295" i="6"/>
  <c r="E295" i="6" s="1"/>
  <c r="L295" i="6"/>
  <c r="C295" i="6"/>
  <c r="H295" i="6" s="1"/>
  <c r="K295" i="6"/>
  <c r="N295" i="6" l="1"/>
  <c r="F295" i="6"/>
  <c r="I295" i="6" s="1"/>
  <c r="G295" i="6"/>
  <c r="D296" i="6"/>
  <c r="E296" i="6" s="1"/>
  <c r="K296" i="6"/>
  <c r="B297" i="6"/>
  <c r="L296" i="6"/>
  <c r="N296" i="6" s="1"/>
  <c r="P296" i="6" s="1"/>
  <c r="C296" i="6"/>
  <c r="H296" i="6" s="1"/>
  <c r="B298" i="6" l="1"/>
  <c r="D297" i="6"/>
  <c r="E297" i="6" s="1"/>
  <c r="L297" i="6"/>
  <c r="N297" i="6" s="1"/>
  <c r="P297" i="6" s="1"/>
  <c r="C297" i="6"/>
  <c r="H297" i="6" s="1"/>
  <c r="K297" i="6"/>
  <c r="G296" i="6"/>
  <c r="F296" i="6"/>
  <c r="I296" i="6" s="1"/>
  <c r="P295" i="6"/>
  <c r="F297" i="6" l="1"/>
  <c r="I297" i="6" s="1"/>
  <c r="G297" i="6"/>
  <c r="D298" i="6"/>
  <c r="E298" i="6" s="1"/>
  <c r="K298" i="6"/>
  <c r="K66" i="6" s="1"/>
  <c r="B299" i="6"/>
  <c r="L298" i="6"/>
  <c r="C298" i="6"/>
  <c r="H298" i="6" s="1"/>
  <c r="H66" i="6" s="1"/>
  <c r="B300" i="6" l="1"/>
  <c r="D299" i="6"/>
  <c r="E299" i="6" s="1"/>
  <c r="L299" i="6"/>
  <c r="C299" i="6"/>
  <c r="H299" i="6" s="1"/>
  <c r="K299" i="6"/>
  <c r="N298" i="6"/>
  <c r="L66" i="6"/>
  <c r="G298" i="6"/>
  <c r="G66" i="6" s="1"/>
  <c r="F298" i="6"/>
  <c r="E66" i="6"/>
  <c r="P298" i="6" l="1"/>
  <c r="N66" i="6"/>
  <c r="P66" i="6" s="1"/>
  <c r="N299" i="6"/>
  <c r="F299" i="6"/>
  <c r="G299" i="6"/>
  <c r="I298" i="6"/>
  <c r="I66" i="6" s="1"/>
  <c r="F66" i="6"/>
  <c r="D300" i="6"/>
  <c r="E300" i="6" s="1"/>
  <c r="K300" i="6"/>
  <c r="B301" i="6"/>
  <c r="L300" i="6"/>
  <c r="N300" i="6" s="1"/>
  <c r="P300" i="6" s="1"/>
  <c r="C300" i="6"/>
  <c r="H300" i="6" s="1"/>
  <c r="B302" i="6" l="1"/>
  <c r="D301" i="6"/>
  <c r="E301" i="6" s="1"/>
  <c r="L301" i="6"/>
  <c r="C301" i="6"/>
  <c r="H301" i="6" s="1"/>
  <c r="K301" i="6"/>
  <c r="P299" i="6"/>
  <c r="G300" i="6"/>
  <c r="F300" i="6"/>
  <c r="I300" i="6" s="1"/>
  <c r="I299" i="6"/>
  <c r="N301" i="6" l="1"/>
  <c r="F301" i="6"/>
  <c r="G301" i="6"/>
  <c r="D302" i="6"/>
  <c r="E302" i="6" s="1"/>
  <c r="K302" i="6"/>
  <c r="B303" i="6"/>
  <c r="C302" i="6"/>
  <c r="H302" i="6" s="1"/>
  <c r="L302" i="6"/>
  <c r="N302" i="6" s="1"/>
  <c r="P302" i="6" s="1"/>
  <c r="I301" i="6" l="1"/>
  <c r="P301" i="6"/>
  <c r="G302" i="6"/>
  <c r="F302" i="6"/>
  <c r="I302" i="6" s="1"/>
  <c r="B304" i="6"/>
  <c r="D303" i="6"/>
  <c r="E303" i="6" s="1"/>
  <c r="L303" i="6"/>
  <c r="C303" i="6"/>
  <c r="H303" i="6" s="1"/>
  <c r="K303" i="6"/>
  <c r="F303" i="6" l="1"/>
  <c r="I303" i="6" s="1"/>
  <c r="G303" i="6"/>
  <c r="N303" i="6"/>
  <c r="D304" i="6"/>
  <c r="E304" i="6" s="1"/>
  <c r="K304" i="6"/>
  <c r="B305" i="6"/>
  <c r="L304" i="6"/>
  <c r="N304" i="6" s="1"/>
  <c r="P304" i="6" s="1"/>
  <c r="C304" i="6"/>
  <c r="H304" i="6" s="1"/>
  <c r="G304" i="6" l="1"/>
  <c r="F304" i="6"/>
  <c r="P303" i="6"/>
  <c r="B306" i="6"/>
  <c r="D305" i="6"/>
  <c r="E305" i="6" s="1"/>
  <c r="L305" i="6"/>
  <c r="C305" i="6"/>
  <c r="H305" i="6" s="1"/>
  <c r="K305" i="6"/>
  <c r="F305" i="6" l="1"/>
  <c r="I305" i="6" s="1"/>
  <c r="G305" i="6"/>
  <c r="N305" i="6"/>
  <c r="D306" i="6"/>
  <c r="E306" i="6" s="1"/>
  <c r="K306" i="6"/>
  <c r="B307" i="6"/>
  <c r="L306" i="6"/>
  <c r="N306" i="6" s="1"/>
  <c r="P306" i="6" s="1"/>
  <c r="C306" i="6"/>
  <c r="H306" i="6" s="1"/>
  <c r="I304" i="6"/>
  <c r="B308" i="6" l="1"/>
  <c r="D307" i="6"/>
  <c r="E307" i="6" s="1"/>
  <c r="L307" i="6"/>
  <c r="C307" i="6"/>
  <c r="H307" i="6" s="1"/>
  <c r="K307" i="6"/>
  <c r="P305" i="6"/>
  <c r="G306" i="6"/>
  <c r="F306" i="6"/>
  <c r="N307" i="6" l="1"/>
  <c r="I306" i="6"/>
  <c r="F307" i="6"/>
  <c r="I307" i="6" s="1"/>
  <c r="G307" i="6"/>
  <c r="D308" i="6"/>
  <c r="E308" i="6" s="1"/>
  <c r="K308" i="6"/>
  <c r="B309" i="6"/>
  <c r="L308" i="6"/>
  <c r="N308" i="6" s="1"/>
  <c r="P308" i="6" s="1"/>
  <c r="C308" i="6"/>
  <c r="H308" i="6" s="1"/>
  <c r="G308" i="6" l="1"/>
  <c r="F308" i="6"/>
  <c r="I308" i="6" s="1"/>
  <c r="B310" i="6"/>
  <c r="D309" i="6"/>
  <c r="E309" i="6" s="1"/>
  <c r="L309" i="6"/>
  <c r="N309" i="6" s="1"/>
  <c r="P309" i="6" s="1"/>
  <c r="C309" i="6"/>
  <c r="H309" i="6" s="1"/>
  <c r="K309" i="6"/>
  <c r="P307" i="6"/>
  <c r="D310" i="6" l="1"/>
  <c r="E310" i="6" s="1"/>
  <c r="K310" i="6"/>
  <c r="C310" i="6"/>
  <c r="H310" i="6" s="1"/>
  <c r="H67" i="6" s="1"/>
  <c r="L310" i="6"/>
  <c r="F309" i="6"/>
  <c r="I309" i="6" s="1"/>
  <c r="G309" i="6"/>
  <c r="N310" i="6" l="1"/>
  <c r="H44" i="6"/>
  <c r="H41" i="6"/>
  <c r="L67" i="6"/>
  <c r="F41" i="6"/>
  <c r="F42" i="6" s="1"/>
  <c r="F43" i="6" s="1"/>
  <c r="F44" i="6"/>
  <c r="K67" i="6"/>
  <c r="G310" i="6"/>
  <c r="G67" i="6" s="1"/>
  <c r="F310" i="6"/>
  <c r="D44" i="6"/>
  <c r="D41" i="6"/>
  <c r="E67" i="6"/>
  <c r="G6" i="2" l="1"/>
  <c r="D42" i="6"/>
  <c r="D43" i="6" s="1"/>
  <c r="H42" i="6"/>
  <c r="H43" i="6" s="1"/>
  <c r="I310" i="6"/>
  <c r="F67" i="6"/>
  <c r="P310" i="6"/>
  <c r="N67" i="6"/>
  <c r="P67" i="6" s="1"/>
  <c r="E44" i="6" l="1"/>
  <c r="K44" i="6" s="1"/>
  <c r="E41" i="6"/>
  <c r="I67" i="6"/>
  <c r="G7" i="2"/>
  <c r="H6" i="2" l="1"/>
  <c r="E42" i="6"/>
  <c r="E43" i="6" s="1"/>
  <c r="K41" i="6"/>
  <c r="K42" i="6" s="1"/>
  <c r="K43" i="6" s="1"/>
  <c r="H7" i="2" l="1"/>
  <c r="M6" i="2"/>
  <c r="M7" i="2" s="1"/>
</calcChain>
</file>

<file path=xl/sharedStrings.xml><?xml version="1.0" encoding="utf-8"?>
<sst xmlns="http://schemas.openxmlformats.org/spreadsheetml/2006/main" count="966" uniqueCount="567">
  <si>
    <t>Site Name</t>
  </si>
  <si>
    <t>TM</t>
  </si>
  <si>
    <t xml:space="preserve">Site Address (Put in full address w/City &amp; State): </t>
  </si>
  <si>
    <t>Tenant Improvement Allowance/Landlord Work Total $ (Dollar values only)</t>
  </si>
  <si>
    <t>Description of LL Work</t>
  </si>
  <si>
    <t>Site Justification</t>
  </si>
  <si>
    <t>Site Justification:  &lt;Add site address&gt;Of the ## site metrics evaluated on the scorecard, this site has ## green (happy path) and ## yellow (medium risk). Data based on 1500 orders per day. &lt;Enter reason why the site has been selected&gt;</t>
  </si>
  <si>
    <t>Category</t>
  </si>
  <si>
    <t>Metric</t>
  </si>
  <si>
    <t>Sub Category/Additional Notes</t>
  </si>
  <si>
    <t>Input</t>
  </si>
  <si>
    <t>Input Category</t>
  </si>
  <si>
    <t>Green Critieria</t>
  </si>
  <si>
    <t>Yellow Criteria</t>
  </si>
  <si>
    <t>Red Criteria</t>
  </si>
  <si>
    <t>Risk Indicator</t>
  </si>
  <si>
    <t>Commentary (Please enter bridge if risk is Yellow/Red)</t>
  </si>
  <si>
    <t>Input Owner</t>
  </si>
  <si>
    <t>If risk indicator is red or yellow, enter bridge in column K</t>
  </si>
  <si>
    <t>Financials</t>
  </si>
  <si>
    <t>PDC (12PM)</t>
  </si>
  <si>
    <t>10-Minute</t>
  </si>
  <si>
    <t>%</t>
  </si>
  <si>
    <t>10-Min PDC &gt;= 0.031%</t>
  </si>
  <si>
    <t>10 Min &gt;= 0.015% And</t>
  </si>
  <si>
    <t>Topology</t>
  </si>
  <si>
    <t>20-Minute</t>
  </si>
  <si>
    <t>20-Min &gt;= 0.031%</t>
  </si>
  <si>
    <t>Drive Time To Centroid (12 PM)</t>
  </si>
  <si>
    <t>NA</t>
  </si>
  <si>
    <t>Minutes</t>
  </si>
  <si>
    <t>&lt;= 6 Minutes</t>
  </si>
  <si>
    <t>Between 6-10 Minutes</t>
  </si>
  <si>
    <t>How many packages per day does the design allow? (Enter whole number)</t>
  </si>
  <si>
    <t>Dropdown</t>
  </si>
  <si>
    <t>1k-1499</t>
  </si>
  <si>
    <t>Design</t>
  </si>
  <si>
    <t>SqFt</t>
  </si>
  <si>
    <t>Sq. Ft</t>
  </si>
  <si>
    <t>2.4k-5k</t>
  </si>
  <si>
    <t>5k to 10k</t>
  </si>
  <si>
    <t>RE TM</t>
  </si>
  <si>
    <t xml:space="preserve">Rent </t>
  </si>
  <si>
    <t>At or below the market comp average?</t>
  </si>
  <si>
    <t>Yes</t>
  </si>
  <si>
    <t>No</t>
  </si>
  <si>
    <t>Asking Rent</t>
  </si>
  <si>
    <t>$</t>
  </si>
  <si>
    <t>&lt;=200k/yr</t>
  </si>
  <si>
    <t>&gt; 200k/yr</t>
  </si>
  <si>
    <t>Estimated Construction/Startup Cost</t>
  </si>
  <si>
    <t>With Contingency</t>
  </si>
  <si>
    <t>&lt;=300k/yr</t>
  </si>
  <si>
    <t>&gt;300k/y</t>
  </si>
  <si>
    <t>&gt;400k/y</t>
  </si>
  <si>
    <t xml:space="preserve">If yellow, provide high level drivers of what is raising the cost here. </t>
  </si>
  <si>
    <t>PreCon ROM</t>
  </si>
  <si>
    <t>Without Contingency</t>
  </si>
  <si>
    <t>NA*</t>
  </si>
  <si>
    <t>With Contingency - TI</t>
  </si>
  <si>
    <t>Without Contingency - TI</t>
  </si>
  <si>
    <t>Pull from the modified by Dennis version</t>
  </si>
  <si>
    <t>Site Conditions</t>
  </si>
  <si>
    <t>Bathroom</t>
  </si>
  <si>
    <t>&gt;=1 functioning unisex stall (shared or non-shared)</t>
  </si>
  <si>
    <t>&gt;=1 unisex stall, requires upgrade (shared or non-shared)</t>
  </si>
  <si>
    <t>PreCon</t>
  </si>
  <si>
    <t>Parking</t>
  </si>
  <si>
    <t>&gt;=6 designated surface stalls</t>
  </si>
  <si>
    <t>&lt;6 designated stalls in surface lot or parking garage</t>
  </si>
  <si>
    <t>Power</t>
  </si>
  <si>
    <t>&gt;=400A</t>
  </si>
  <si>
    <t>&gt;= 200 A, 3 phase, or TBD</t>
  </si>
  <si>
    <t>HVAC</t>
  </si>
  <si>
    <t>Adequate</t>
  </si>
  <si>
    <t>Not adequate but can be remediated with reasonable cost</t>
  </si>
  <si>
    <t>Flooring</t>
  </si>
  <si>
    <t>Not permeable</t>
  </si>
  <si>
    <t>Permeable but can be remediated with reasonable cost</t>
  </si>
  <si>
    <t>Customer Facing</t>
  </si>
  <si>
    <t>Requires Customer Facing Element</t>
  </si>
  <si>
    <t>Operational - Alcohol Risk</t>
  </si>
  <si>
    <t>Alcohol Sales Restrictions</t>
  </si>
  <si>
    <t>No Restrictions</t>
  </si>
  <si>
    <t>Partial Restrictions</t>
  </si>
  <si>
    <t>Completely Restricted</t>
  </si>
  <si>
    <t>Operating - Safety</t>
  </si>
  <si>
    <t>GRSA Score</t>
  </si>
  <si>
    <t>Operating - Zoning</t>
  </si>
  <si>
    <t>Zoning Risk</t>
  </si>
  <si>
    <t>Zoning Permits</t>
  </si>
  <si>
    <t>Likely Permits QC Use</t>
  </si>
  <si>
    <t>QC use permitted with Modifications.</t>
  </si>
  <si>
    <t>Operating - WHS DD</t>
  </si>
  <si>
    <t>Environmental Risk</t>
  </si>
  <si>
    <t>Low Risk (no known/potential life safety issues)</t>
  </si>
  <si>
    <t>Medium Risk (potential life safety / health risk)</t>
  </si>
  <si>
    <t>Operating - WHS Safety</t>
  </si>
  <si>
    <t>Safety Risk</t>
  </si>
  <si>
    <t>Meets safety requirements</t>
  </si>
  <si>
    <t>Does not meet safety requirements but can be brought into compliance with reasonable cost</t>
  </si>
  <si>
    <t>Operating - Other Tenant Exclusives</t>
  </si>
  <si>
    <t>Restrictions on specific ASINS</t>
  </si>
  <si>
    <t>No tenant exclusives</t>
  </si>
  <si>
    <t>Existing tenant exclusives with restrictions that are acceptable to Amazon</t>
  </si>
  <si>
    <t>*NA indicates the item is not to be included in the field count summary</t>
  </si>
  <si>
    <t>Scorecard</t>
  </si>
  <si>
    <t>Total Field Count</t>
  </si>
  <si>
    <t>Total Green Fields</t>
  </si>
  <si>
    <t>Total Yellow Fields</t>
  </si>
  <si>
    <t>Total Red Fields</t>
  </si>
  <si>
    <t>ZCL2 - Quick Commerce</t>
  </si>
  <si>
    <t>Please fill out commentary on any fields showing red or yellow fields in page 0.</t>
  </si>
  <si>
    <t>Total Amazon Commitment 
  shown in Millions ($USD)</t>
  </si>
  <si>
    <t>DD &amp; Design</t>
  </si>
  <si>
    <t>Real Estate</t>
  </si>
  <si>
    <t>Construction</t>
  </si>
  <si>
    <t>Startup</t>
  </si>
  <si>
    <t>Total Request</t>
  </si>
  <si>
    <t>Total Spent </t>
  </si>
  <si>
    <t>Capex </t>
  </si>
  <si>
    <t>Lease Approved</t>
  </si>
  <si>
    <t>Opex</t>
  </si>
  <si>
    <t>Previously Approved Funding</t>
  </si>
  <si>
    <t xml:space="preserve"> - </t>
  </si>
  <si>
    <t>Current  Request (minus Previously Approved Funding)</t>
  </si>
  <si>
    <t>Total Project  Cost </t>
  </si>
  <si>
    <t>Tenant Improvement Allowance: (Use whole numbers; Do not use cost per sq ft.)</t>
  </si>
  <si>
    <t>Key Metrics:</t>
  </si>
  <si>
    <t>Payback: (6 UPO)</t>
  </si>
  <si>
    <t>FA Input</t>
  </si>
  <si>
    <t>Total Capex (DD &amp; Design, Construction &amp; Startup)  - TI</t>
  </si>
  <si>
    <t>Total Capex (DD &amp; Design, Construction &amp; Startup)</t>
  </si>
  <si>
    <t>Section Owner:</t>
  </si>
  <si>
    <t>Launch Manager</t>
  </si>
  <si>
    <t>Input from RE, PCM, CM, and TM</t>
  </si>
  <si>
    <t>Site Details</t>
  </si>
  <si>
    <t>Site  Details Commentary</t>
  </si>
  <si>
    <t>Description of Landlord Work (If Applicable)</t>
  </si>
  <si>
    <t>Transaction Manager</t>
  </si>
  <si>
    <t>Business Unit</t>
  </si>
  <si>
    <t>Quick Commerce</t>
  </si>
  <si>
    <t>The subject site is a 7700 suite wthin a a multi-tenant building.  The other uses within the buidling are compatible industrial/commercial uses.  Since October 2025, Real Estate has surveyed over a dozen sites.  This site offers suffient power to launch the facility, and the landlord will install additional power, bringing the site to 400A 3-phase total power, by December 2026.  Sites of with the appropriate zoning, parking, power and other requirements are extremely limited within the service area for this centroid.  Replacing this site would be difficult.</t>
  </si>
  <si>
    <t>Site Code</t>
  </si>
  <si>
    <t>ZCL2</t>
  </si>
  <si>
    <t>Site Address (Full Address w/City &amp; State)</t>
  </si>
  <si>
    <t>Building Type/Former Use</t>
  </si>
  <si>
    <t>Industrial Warehouse</t>
  </si>
  <si>
    <t>Launch Type</t>
  </si>
  <si>
    <t>New Launch</t>
  </si>
  <si>
    <t>City/MSA</t>
  </si>
  <si>
    <t>Cleveland, OH</t>
  </si>
  <si>
    <t># of available parking spots</t>
  </si>
  <si>
    <t>Building Square Footage</t>
  </si>
  <si>
    <t>Transaction Type</t>
  </si>
  <si>
    <t>Lease</t>
  </si>
  <si>
    <t xml:space="preserve">How many Packages per day does the design allow? </t>
  </si>
  <si>
    <t xml:space="preserve">This site has a maximum capacity of 7500 units per day. With 6 units per order (UPO), site can handle capacity of 1250 orders per day. </t>
  </si>
  <si>
    <t>Does Site Require Customer Facing Element?</t>
  </si>
  <si>
    <t>Financial Analysis ($MM)</t>
  </si>
  <si>
    <t>Commentary (Please enter bridge if appropriate)</t>
  </si>
  <si>
    <t>Finance</t>
  </si>
  <si>
    <t>Hurdle Rate</t>
  </si>
  <si>
    <t>5 YR NPV</t>
  </si>
  <si>
    <t>Amount of Current SU Request included in OP SU estimate ( % / $MM )</t>
  </si>
  <si>
    <t>Over 100%</t>
  </si>
  <si>
    <t>Doug Richardson/Scott Sawrey (Finance)</t>
  </si>
  <si>
    <t>Amount of Total Project Cost included in OP Total Project estimate ( % / $MM )</t>
  </si>
  <si>
    <t>Real Estate Summary and  Agreement  Details</t>
  </si>
  <si>
    <t>Site</t>
  </si>
  <si>
    <t>Lease Term (Years)</t>
  </si>
  <si>
    <t>Forecast Lease Start Date</t>
  </si>
  <si>
    <t>Forecast Lease End Date</t>
  </si>
  <si>
    <t>Extension Options: # and FMV or Fixed Rate</t>
  </si>
  <si>
    <t>Three renewals for five years each, at FRM.</t>
  </si>
  <si>
    <t>Year 1 Base Rent PSF</t>
  </si>
  <si>
    <t xml:space="preserve">Describe median and avg. rent comps here.  </t>
  </si>
  <si>
    <t>Annual Rent Increases</t>
  </si>
  <si>
    <t>OPEX</t>
  </si>
  <si>
    <t>OPEX estimated annual increase</t>
  </si>
  <si>
    <t>Year 1 Total Gross Rent PSF</t>
  </si>
  <si>
    <t>Tenant Improvement  Allowance ($)</t>
  </si>
  <si>
    <t xml:space="preserve">Rent at or below market average? </t>
  </si>
  <si>
    <t>Total Gross Yr 1 Annual Rent (Target below 200k)</t>
  </si>
  <si>
    <t>Was the QC Addendum Used?</t>
  </si>
  <si>
    <t>Used Amazon lease form</t>
  </si>
  <si>
    <t>Commentary/Topology Summary (Please enter bridge if appropriate)</t>
  </si>
  <si>
    <t>25-minute PDC - 12PM</t>
  </si>
  <si>
    <t>Selected site is 16.17 min (12pm) from the University Heights demand center. Gopuff serves this demand center with a faster speed 11.75 min (12pm). 
The 2026 topology plan for the Cleveland metro is a 1-pin setup. See topology map tab for details.</t>
  </si>
  <si>
    <t>Transit time to Ideal Centroid - 12PM</t>
  </si>
  <si>
    <t>Transit time to Ideal Centroid - 5PM</t>
  </si>
  <si>
    <t>Distance to Ideal Centroid</t>
  </si>
  <si>
    <t>Zoning/Operational Risk Assessment</t>
  </si>
  <si>
    <t>Risk Rating</t>
  </si>
  <si>
    <t>Commentary/Summary/Bridge (Please enter bridge if red/yellow)</t>
  </si>
  <si>
    <t>Multiple</t>
  </si>
  <si>
    <t>Zoning Risk Assessment</t>
  </si>
  <si>
    <t>Green</t>
  </si>
  <si>
    <t>Wholesale is permitted/by-right.
Retail sales ancillary to wholesale businesses are permitted.
Storage and distribution of packaged goods is permitted/by-right.</t>
  </si>
  <si>
    <t>Econ Dev</t>
  </si>
  <si>
    <t>Jurisdictional Risk Assessment</t>
  </si>
  <si>
    <t>Low-risk/Green. Zoning allows both distribution/wholesale and retail (if ancillary to wholesale). No adjacent residential. Project site is located within an industrial node; no adjacent residential.</t>
  </si>
  <si>
    <t>EDP - Geographic lead</t>
  </si>
  <si>
    <t>Ergonomic Safety Review</t>
  </si>
  <si>
    <t>Yellow</t>
  </si>
  <si>
    <t>Medium-Low risk. Ergonomic risk dependent on implementation of tech weight filter, approved bin drawer solution, and cart selection. Global Ergonomics is working with QC team as design develops; site-specific assessments to follow.</t>
  </si>
  <si>
    <t>CAR Approval Manager</t>
  </si>
  <si>
    <t>WHS Safety Risk (Parking, associate safety, ADA compliance etc.)</t>
  </si>
  <si>
    <t xml:space="preserve">Low risk based on WHS FEC fully approved condition in approvals correspondence from 3/19/2026. </t>
  </si>
  <si>
    <t>TM/CAR Approval Manager</t>
  </si>
  <si>
    <t>WHS environmental Risk assessment</t>
  </si>
  <si>
    <t>Medium Risk - Site is located in a primarily industrial and commercial area with a history of nearby hazardous substance releases which may have migrated onsite potentially affecting subsurface medias. 
- Vapor intrusion is not suspected to be an issue and sampling is not required.
- Soil contamination possible; construction team will need to disclose site conditions to the general contractor. General contractor will be responsible for health and safety and soil management according to the Amazon WHS DD Soil Management SOP.
- Building constructed by 1970; hazardous building materials possible.</t>
  </si>
  <si>
    <t>Permit Contingency Details</t>
  </si>
  <si>
    <t>There is a 90 day permit contingency.  If exercised, Tenant must pay landlord up to $12,000 in LL's out of pocket costs.</t>
  </si>
  <si>
    <t>Early Termination Right</t>
  </si>
  <si>
    <t>Red</t>
  </si>
  <si>
    <t>No early termination option available.</t>
  </si>
  <si>
    <t>Any LL  requirements that add Risk</t>
  </si>
  <si>
    <t>None</t>
  </si>
  <si>
    <t>Operational Risk Call outs?</t>
  </si>
  <si>
    <t>Alcohol Assessment</t>
  </si>
  <si>
    <t>Enter Details</t>
  </si>
  <si>
    <t>TM with support from Legal</t>
  </si>
  <si>
    <t>Tenant Exclusives: Restrictions on specific ASINs</t>
  </si>
  <si>
    <t>Preconstruction Cost and Building Condition Summary</t>
  </si>
  <si>
    <t>Risk Rating/Category</t>
  </si>
  <si>
    <t>Precon</t>
  </si>
  <si>
    <t>Construction/SU CAPEX Cost</t>
  </si>
  <si>
    <t>Main CAPEX Driver</t>
  </si>
  <si>
    <t>Please input main CAPEX drivers in cost estimation summary; this field always requires input</t>
  </si>
  <si>
    <t xml:space="preserve">Construction Field. </t>
  </si>
  <si>
    <t>Permit Risk Assessment</t>
  </si>
  <si>
    <t>Bathroom; ADA Compliance</t>
  </si>
  <si>
    <t>Existing Building Conditions Narrative</t>
  </si>
  <si>
    <t>Summarize</t>
  </si>
  <si>
    <t>Cost Estimation Basis</t>
  </si>
  <si>
    <t>Power Assessment Narrative</t>
  </si>
  <si>
    <t xml:space="preserve">Enter Power Assessment Narrative. </t>
  </si>
  <si>
    <t>HVAC Risk Narrative</t>
  </si>
  <si>
    <t>Please add age and condition of existing equipment</t>
  </si>
  <si>
    <t>Food Safe Finishes (Flooring/Walls/Ceiling)</t>
  </si>
  <si>
    <t>Design Stage</t>
  </si>
  <si>
    <t>Timeline Risks</t>
  </si>
  <si>
    <t>Budget Confidence Assessment</t>
  </si>
  <si>
    <t>Demolition</t>
  </si>
  <si>
    <t>Potential Timeline Risks</t>
  </si>
  <si>
    <t>Summary of any risks that could delay all or portion of launch, ex: not enough power, alcohol permits, food safety permits, etc</t>
  </si>
  <si>
    <t>SECTION</t>
  </si>
  <si>
    <t>FIELD</t>
  </si>
  <si>
    <t>INPUT</t>
  </si>
  <si>
    <t>required?</t>
  </si>
  <si>
    <t>Notes</t>
  </si>
  <si>
    <t>Site Detail</t>
  </si>
  <si>
    <t>Use Case (Feasibility or CAR)</t>
  </si>
  <si>
    <t>Feasibility</t>
  </si>
  <si>
    <t>Y</t>
  </si>
  <si>
    <t>Launch Date</t>
  </si>
  <si>
    <t>for launches before Jan 2026, enter launch date 01/01/26</t>
  </si>
  <si>
    <t>Capital Investment</t>
  </si>
  <si>
    <t>Construction Capex</t>
  </si>
  <si>
    <t>Start Up Capex</t>
  </si>
  <si>
    <t>Design &amp; DD Capex</t>
  </si>
  <si>
    <t>Startup (OPEX Only)</t>
  </si>
  <si>
    <t>Lease Obligation &amp; Details</t>
  </si>
  <si>
    <t>Lease start date</t>
  </si>
  <si>
    <t>Lease end date</t>
  </si>
  <si>
    <t>Lease term (months)</t>
  </si>
  <si>
    <t>formula</t>
  </si>
  <si>
    <t>TIA? (y/n)</t>
  </si>
  <si>
    <t>no</t>
  </si>
  <si>
    <t>TI (tenent improvement allowance)</t>
  </si>
  <si>
    <t>Base rent per sqft</t>
  </si>
  <si>
    <t>Guardrails only</t>
  </si>
  <si>
    <t>Annual Rent Increase</t>
  </si>
  <si>
    <t>Lease opex  per sqft</t>
  </si>
  <si>
    <t>Annual est Opex Increase</t>
  </si>
  <si>
    <t>Total building sqft</t>
  </si>
  <si>
    <t>mechanical capacity (orders per day)</t>
  </si>
  <si>
    <t>20-minute PDC - 12pm</t>
  </si>
  <si>
    <t>Alcohol</t>
  </si>
  <si>
    <t>Alcohol? (y/n)</t>
  </si>
  <si>
    <t>Alcohol launch date</t>
  </si>
  <si>
    <t>first date of alcohol availability</t>
  </si>
  <si>
    <t>Black Triangle: Selected Sites</t>
  </si>
  <si>
    <t>Green Triangle: Ideal Pin</t>
  </si>
  <si>
    <t>Purple Cross: Gopuff</t>
  </si>
  <si>
    <t>Page 0 Dropdowns</t>
  </si>
  <si>
    <t>General</t>
  </si>
  <si>
    <t>Y/N Dropdown</t>
  </si>
  <si>
    <t>G/Y/R</t>
  </si>
  <si>
    <t>Power Assessment</t>
  </si>
  <si>
    <t>HVAC Assessment</t>
  </si>
  <si>
    <t>Precon ROM</t>
  </si>
  <si>
    <t>Power is adequate</t>
  </si>
  <si>
    <t xml:space="preserve">1 Ton available per 400 sq ft. </t>
  </si>
  <si>
    <t>No drawing</t>
  </si>
  <si>
    <t>Permit Issues</t>
  </si>
  <si>
    <t>P2 Estimate - Final GMP</t>
  </si>
  <si>
    <t>Retrofit</t>
  </si>
  <si>
    <t>Own</t>
  </si>
  <si>
    <t>GC Validated</t>
  </si>
  <si>
    <t>Power Risk</t>
  </si>
  <si>
    <t>&lt;1 Ton per 400 sq ft</t>
  </si>
  <si>
    <t>Survey</t>
  </si>
  <si>
    <t>Power Upgrade Required</t>
  </si>
  <si>
    <t>P1 Estimate - CBRE Vendor ROM</t>
  </si>
  <si>
    <t>Expansion</t>
  </si>
  <si>
    <t>3P</t>
  </si>
  <si>
    <t>GC Budget</t>
  </si>
  <si>
    <t>Requires engineering</t>
  </si>
  <si>
    <t>No HVAC provided</t>
  </si>
  <si>
    <t>Amazon Test Fit</t>
  </si>
  <si>
    <t>Leadtimes for equipment</t>
  </si>
  <si>
    <t>P0 Estimate - Site Selection Checklist</t>
  </si>
  <si>
    <t>Initiative</t>
  </si>
  <si>
    <t>PC Rom + no drawing</t>
  </si>
  <si>
    <t>Schematic Design</t>
  </si>
  <si>
    <t>No known Risks</t>
  </si>
  <si>
    <t>Lease Renewal</t>
  </si>
  <si>
    <t>Construction Documents</t>
  </si>
  <si>
    <t>Other/Please Define</t>
  </si>
  <si>
    <t>No Survey</t>
  </si>
  <si>
    <t>No Survey; No Drawing</t>
  </si>
  <si>
    <t>Survey; Amazon Test Fit</t>
  </si>
  <si>
    <t>Scorecard Dropdowns</t>
  </si>
  <si>
    <t>GSRA Risk Scoring</t>
  </si>
  <si>
    <t>Alcohol Restrictions</t>
  </si>
  <si>
    <t>Existing ADA Restroom does not require modifications</t>
  </si>
  <si>
    <t>&gt;=400A (Or Amp appropriate for Orders Per Day Volume), 3 phase.  No panel modifications required</t>
  </si>
  <si>
    <t xml:space="preserve">Adequate; 10 tons per 5k sq feet </t>
  </si>
  <si>
    <t>Critical</t>
  </si>
  <si>
    <t xml:space="preserve">Existing restroom modifications required to make ADA compliant. </t>
  </si>
  <si>
    <t>&gt;=400A (Or Amp appropriate for Orders Per Day Volume), 3 Phase. Modifications required</t>
  </si>
  <si>
    <t>Very High</t>
  </si>
  <si>
    <t>No existing restroom/extensive modifications required</t>
  </si>
  <si>
    <t xml:space="preserve">&lt;400A (Amp not appropriate for Orders Per Day Volume), 3 Phase. </t>
  </si>
  <si>
    <t>Requires new finishes</t>
  </si>
  <si>
    <t>High</t>
  </si>
  <si>
    <t>Extensive Demolition/Patchback work</t>
  </si>
  <si>
    <t>Moderate</t>
  </si>
  <si>
    <t>Low</t>
  </si>
  <si>
    <t>ROM Dropdown</t>
  </si>
  <si>
    <t>Y/N</t>
  </si>
  <si>
    <t>Team</t>
  </si>
  <si>
    <t>CAPEX/OPEX</t>
  </si>
  <si>
    <t>CAPEX</t>
  </si>
  <si>
    <t>MR/SPEC:  UPDATE IN GREEN CELLS ONLY</t>
  </si>
  <si>
    <t>Address</t>
  </si>
  <si>
    <t>4353 Cranwood Parkway, Cleveland, OH, Cleveland Ohio</t>
  </si>
  <si>
    <t>Ownership</t>
  </si>
  <si>
    <t xml:space="preserve">CRANWOOD INVESTMENTS, LLC </t>
  </si>
  <si>
    <t>Lease Terms</t>
  </si>
  <si>
    <t>Base Rent Schedule</t>
  </si>
  <si>
    <t>Building Square footage</t>
  </si>
  <si>
    <t>Starting Mo.</t>
  </si>
  <si>
    <t>Ending Mo.</t>
  </si>
  <si>
    <t>$ Per SF
(Annual)</t>
  </si>
  <si>
    <t>Starting Base Rent (PSF)</t>
  </si>
  <si>
    <t>Base Rent Increases</t>
  </si>
  <si>
    <t>Starting OpEx (PSF)</t>
  </si>
  <si>
    <t>CAM</t>
  </si>
  <si>
    <t>Insurance</t>
  </si>
  <si>
    <t>Taxes</t>
  </si>
  <si>
    <t>Contingency %</t>
  </si>
  <si>
    <t>Base Rent</t>
  </si>
  <si>
    <t>Prop Mgmt Fee</t>
  </si>
  <si>
    <t>Rent Tax</t>
  </si>
  <si>
    <t>Annual OPEX Increases</t>
  </si>
  <si>
    <t>e</t>
  </si>
  <si>
    <t>OPEX Increases Occur (1/1/next year)</t>
  </si>
  <si>
    <t>Lease Commencement</t>
  </si>
  <si>
    <t>Term (Months)</t>
  </si>
  <si>
    <t>Free Rent (Months)</t>
  </si>
  <si>
    <t>Termination Option (Month?)</t>
  </si>
  <si>
    <t>Termination Fee (Inc. Un-Amot TI/Fees)</t>
  </si>
  <si>
    <t>Termination Fee Notes</t>
  </si>
  <si>
    <t>n/a</t>
  </si>
  <si>
    <t>Tenant Improvement $/SF</t>
  </si>
  <si>
    <t>Tenant Improvement Allowances</t>
  </si>
  <si>
    <t>TI Included
in Base Rent</t>
  </si>
  <si>
    <t>Additional Amortized TI
Bucket 1</t>
  </si>
  <si>
    <t>Additional Amortized TI
Bucket 2</t>
  </si>
  <si>
    <t>Total TI
Funds Available</t>
  </si>
  <si>
    <t>Total Development Budget</t>
  </si>
  <si>
    <t>Capital
Required</t>
  </si>
  <si>
    <t>Principal</t>
  </si>
  <si>
    <t>Term</t>
  </si>
  <si>
    <t>Interest Rate</t>
  </si>
  <si>
    <t>Monthly Payment</t>
  </si>
  <si>
    <t>Month Amortized TI Starts</t>
  </si>
  <si>
    <t>Entire Lease Obligation</t>
  </si>
  <si>
    <t>Operating
Expenses</t>
  </si>
  <si>
    <t>Amortized TI Bucket 1</t>
  </si>
  <si>
    <t>Amortized   Bucket 2</t>
  </si>
  <si>
    <t>Out of Pocket TI</t>
  </si>
  <si>
    <t>Total Obligation</t>
  </si>
  <si>
    <t>Totals</t>
  </si>
  <si>
    <t>Monthly Average</t>
  </si>
  <si>
    <t>Annual Average per SF</t>
  </si>
  <si>
    <t>Annual Lease Obligation</t>
  </si>
  <si>
    <t>Annualized
Base Rent</t>
  </si>
  <si>
    <t>PM Fee</t>
  </si>
  <si>
    <t>CAM, Tax
&amp; Ins</t>
  </si>
  <si>
    <t>Annualized
Operating Expenses</t>
  </si>
  <si>
    <t>Annualized
Amortized TI</t>
  </si>
  <si>
    <t>Annualized
Gross Rent</t>
  </si>
  <si>
    <t>Annualized
Gross Rent per SF</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</si>
  <si>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</si>
  <si>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</si>
  <si>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</si>
  <si>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</si>
  <si>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</si>
  <si>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</si>
  <si>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</si>
  <si>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</si>
  <si>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</si>
  <si>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</si>
  <si>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</si>
  <si>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</si>
  <si>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</si>
  <si>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</si>
  <si>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</si>
  <si>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</si>
  <si>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</si>
  <si>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</si>
  <si>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</si>
  <si>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</si>
  <si>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Monthly Cash Flow</t>
  </si>
  <si>
    <t>Base Rate PSF</t>
  </si>
  <si>
    <t>Monthly 
Base Rent</t>
  </si>
  <si>
    <t>Monthly
Operating Expenses</t>
  </si>
  <si>
    <t>Monthly
Amortized TI Bucket 1</t>
  </si>
  <si>
    <t>Monthly
Amortized TI Bucket 2</t>
  </si>
  <si>
    <t>Monthly
Gross Rent</t>
  </si>
  <si>
    <t>Annual
Gross Rent per SF</t>
  </si>
  <si>
    <t>#</t>
  </si>
  <si>
    <t>Property Name</t>
  </si>
  <si>
    <t>City</t>
  </si>
  <si>
    <t>State</t>
  </si>
  <si>
    <t>Zip Code</t>
  </si>
  <si>
    <t>Market</t>
  </si>
  <si>
    <t>Zoning</t>
  </si>
  <si>
    <t>Latitude</t>
  </si>
  <si>
    <t>Longitude</t>
  </si>
  <si>
    <t>Year Built</t>
  </si>
  <si>
    <t>Building Class</t>
  </si>
  <si>
    <t>Total Building SF</t>
  </si>
  <si>
    <t>Building Status</t>
  </si>
  <si>
    <t>Occupancy Status</t>
  </si>
  <si>
    <t>Landlord</t>
  </si>
  <si>
    <t>Current Tenant</t>
  </si>
  <si>
    <t>Lease Transaction Type
(New Lease/ Sublease/Renewal)</t>
  </si>
  <si>
    <t>Leased SF</t>
  </si>
  <si>
    <t>Annual Base Rent (PSF)</t>
  </si>
  <si>
    <t>Lease Structure</t>
  </si>
  <si>
    <t>Term (mo)</t>
  </si>
  <si>
    <t>Free Rent (mo)</t>
  </si>
  <si>
    <t>Lease Execution</t>
  </si>
  <si>
    <t>Lease Commencement Date</t>
  </si>
  <si>
    <t>Tenant Improvement (PSF)</t>
  </si>
  <si>
    <t>Annual Escalations</t>
  </si>
  <si>
    <t>Comments</t>
  </si>
  <si>
    <t>Subject</t>
  </si>
  <si>
    <t>4310-4340 Cranwood Pky</t>
  </si>
  <si>
    <t>Warrensville Heights</t>
  </si>
  <si>
    <t>OH</t>
  </si>
  <si>
    <t>Cleveland</t>
  </si>
  <si>
    <t>Industrial</t>
  </si>
  <si>
    <t>C</t>
  </si>
  <si>
    <t>Existing</t>
  </si>
  <si>
    <t>Occupied</t>
  </si>
  <si>
    <t>Brait Capital, Kumo Capital</t>
  </si>
  <si>
    <t>New Lease</t>
  </si>
  <si>
    <t>NNN</t>
  </si>
  <si>
    <t>Flex space, Suite 4316; starting rent</t>
  </si>
  <si>
    <t>Flex space, Suite 4310; starting rent</t>
  </si>
  <si>
    <t>12810 Buckeye Rd</t>
  </si>
  <si>
    <t>Jared Ray</t>
  </si>
  <si>
    <t>Plus Utilities</t>
  </si>
  <si>
    <t>Flex space; asking rent</t>
  </si>
  <si>
    <t>23645 Mercantile Rd</t>
  </si>
  <si>
    <t>Beachwood</t>
  </si>
  <si>
    <t>B</t>
  </si>
  <si>
    <t>Coven Goldman Associates</t>
  </si>
  <si>
    <t>Industrial space, Suite D; asking rent</t>
  </si>
  <si>
    <t>Prestige Center</t>
  </si>
  <si>
    <t>23400 Mercantile Rd</t>
  </si>
  <si>
    <t>Activity Capital</t>
  </si>
  <si>
    <t>Flex space, Suite 2; CAM $3.50/SF/Year; asking rent</t>
  </si>
  <si>
    <t>Median</t>
  </si>
  <si>
    <t>Average</t>
  </si>
  <si>
    <t>Table 1</t>
  </si>
  <si>
    <t>Table 2</t>
  </si>
  <si>
    <t>*Please do not edit table formulas</t>
  </si>
  <si>
    <t>Spending Category (If GMP, Enter GMP as the category</t>
  </si>
  <si>
    <t>Spending Type (Description in GMP Template)</t>
  </si>
  <si>
    <t>Taxable? (If GMP, Select "No")</t>
  </si>
  <si>
    <t>Request Team (If GMP, select Construction)</t>
  </si>
  <si>
    <t>CAPEX/OPEX (Selecting OPEX is very rare)</t>
  </si>
  <si>
    <t>Previously Approved?</t>
  </si>
  <si>
    <t>Previous ROM Cost (If using GMP)</t>
  </si>
  <si>
    <t>GMP/ROM (Enter most up to date cost Estimate)</t>
  </si>
  <si>
    <t>Delta (If using ROM, leave column empty)</t>
  </si>
  <si>
    <t>Contingency</t>
  </si>
  <si>
    <t>Cost Bridge (Please be as detailed as possible)</t>
  </si>
  <si>
    <t>Summary Table</t>
  </si>
  <si>
    <t>ROM</t>
  </si>
  <si>
    <t>Total</t>
  </si>
  <si>
    <t>Cost Bridge (If total request exceeds 200k)</t>
  </si>
  <si>
    <t>&lt;Enter Bridge here&gt;</t>
  </si>
  <si>
    <t>Previously Approved Funding*</t>
  </si>
  <si>
    <t>ROM Construction</t>
  </si>
  <si>
    <t>Startup Costs</t>
  </si>
  <si>
    <t>Sales Tax On Construction</t>
  </si>
  <si>
    <t>Sales Tax On Startup</t>
  </si>
  <si>
    <t>Current Total Construction Request (excl. Previously approved Funding)</t>
  </si>
  <si>
    <t>Total Contruction Cost (Including Previously approved Funding)</t>
  </si>
  <si>
    <t>Current Total Startup Request</t>
  </si>
  <si>
    <t>Construction &amp; Startup Cost Total</t>
  </si>
  <si>
    <t>Total OPEX (Construction &amp; Startup)</t>
  </si>
  <si>
    <t>Total CAPEX (Due Diligence, Construction, Startup)</t>
  </si>
  <si>
    <t xml:space="preserve">Tenant Improvement </t>
  </si>
  <si>
    <t>Total CAPEX Minus TI (Construction &amp; Startup No Contingency)</t>
  </si>
  <si>
    <t xml:space="preserve">*Formula assumes previously approved funding is contruction only. </t>
  </si>
  <si>
    <t>Variables</t>
  </si>
  <si>
    <t>Additional Notes</t>
  </si>
  <si>
    <t>Tax Rate</t>
  </si>
  <si>
    <t>Adjust tax rate if required</t>
  </si>
  <si>
    <t xml:space="preserve">General ROM Notes: </t>
  </si>
  <si>
    <t>Template Info</t>
  </si>
  <si>
    <t>PreCon POC</t>
  </si>
  <si>
    <t>&lt;Enter user ID&gt;</t>
  </si>
  <si>
    <t>Startup POC</t>
  </si>
  <si>
    <t>PreCon ROM Date</t>
  </si>
  <si>
    <t>&lt;Enter Date&gt;</t>
  </si>
  <si>
    <t>LOI Draft Date</t>
  </si>
  <si>
    <t>Enter Additional Notes/Pictures here</t>
  </si>
  <si>
    <t>Orders Per day</t>
  </si>
  <si>
    <t>Spending Type</t>
  </si>
  <si>
    <t>Request Team</t>
  </si>
  <si>
    <t>1500 Orders Per Day</t>
  </si>
  <si>
    <t>Previously Approved Funds</t>
  </si>
  <si>
    <t xml:space="preserve">Shelving </t>
  </si>
  <si>
    <t>Startup Costs 3P support</t>
  </si>
  <si>
    <t>Phys Sec</t>
  </si>
  <si>
    <t>IT Devices</t>
  </si>
  <si>
    <t>Arc Flash Test</t>
  </si>
  <si>
    <t>Module UINs</t>
  </si>
  <si>
    <t>Cooling Fixture Package</t>
  </si>
  <si>
    <t>Cooling Fixture Temp Monitoring Package</t>
  </si>
  <si>
    <t>1250 Orders Per Day</t>
  </si>
  <si>
    <t>1000 Orders Per day</t>
  </si>
  <si>
    <t>Per SUEX Cost Matrix 1.12 for 1K order site</t>
  </si>
  <si>
    <t>Base Startup BOM costs - Racking</t>
  </si>
  <si>
    <t xml:space="preserve"> Startup Costs 3P support</t>
  </si>
  <si>
    <t>Update Date</t>
  </si>
  <si>
    <t>Update Owner</t>
  </si>
  <si>
    <t>Link To Previous Version</t>
  </si>
  <si>
    <t>Reason for update</t>
  </si>
  <si>
    <t>Explanations</t>
  </si>
  <si>
    <t>The OP breakeven threshold of 250 orders/day translates to 0.05% PDC based on current forecast. Site needs to cover half or 0.025% PDC within 10-min raidus at 12pm to be deemed as close to demand</t>
  </si>
  <si>
    <t>Asking rent, with room for negotiation.</t>
  </si>
  <si>
    <t>400A or 200A 3 phase is required to support 3.6 DoC, 1k orders/day, based on the current perishable/ambient split</t>
  </si>
  <si>
    <t>Refrigeration equipment will create significant additional heat in the space. This heat needs to be remediated by the HVAC system.</t>
  </si>
  <si>
    <t>Zoning codes are bespoke to each jurisdiction, and are often outdated for modern uses. We will need to be nimble in how we present a QC use to a juridiction, and be flexible in how we operate for those which require things like being partially open to the public. This dovetails with some concerns raised for alcohol use below.</t>
  </si>
  <si>
    <t>Life safety and health risk to future associates and construction teams. Primary focus on vapor intrusion issues from nearby dry cleaners and gas stations. Corporate liability from pre-existing contamiantion will be covered via lease.</t>
  </si>
  <si>
    <t>See detailed requirements in Appendix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</si>
</sst>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00%"/>
    <numFmt numFmtId="166" formatCode="_(* #,##0_);_(* \(#,##0\);_(* &quot;-&quot;??_);_(@_)"/>
    <numFmt numFmtId="167" formatCode="0.0%"/>
    <numFmt numFmtId="168" formatCode="_(&quot;$&quot;* #,##0.000_);_(&quot;$&quot;* \(#,##0.000\);_(&quot;$&quot;* &quot;-&quot;??_);_(@_)"/>
    <numFmt numFmtId="169" formatCode="_(* #,##0.000000_);_(* \(#,##0.000000\);_(* &quot;-&quot;??_);_(@_)"/>
    <numFmt numFmtId="170" formatCode="&quot;$&quot;#,##0"/>
    <numFmt numFmtId="171" formatCode="_(&quot;$&quot;* #,##0.0000_);_(&quot;$&quot;* \(#,##0.0000\);_(&quot;$&quot;* &quot;-&quot;??_);_(@_)"/>
    <numFmt numFmtId="172" formatCode="_(&quot;$&quot;* #,##0_);_(&quot;$&quot;* \(#,##0\);_(&quot;$&quot;* &quot;-&quot;??_);_(@_)"/>
    <numFmt numFmtId="173" formatCode="0.0"/>
  </numFmts>
  <fonts count="54">
    <font>
      <sz val="11"/>
      <color theme="1"/>
      <name val="Aptos Narrow"/>
      <family val="2"/>
      <scheme val="minor"/>
    </font>
    <font>
      <b/>
      <sz val="11"/>
      <color theme="1"/>
      <name val="Aptos Narrow"/>
      <family val="2"/>
      <scheme val="minor"/>
    </font>
    <font>
      <b/>
      <sz val="11"/>
      <color theme="0"/>
      <name val="Aptos Narrow"/>
      <family val="2"/>
      <scheme val="minor"/>
    </font>
    <font>
      <sz val="12"/>
      <color theme="1"/>
      <name val="Aptos Narrow"/>
      <family val="2"/>
      <scheme val="minor"/>
    </font>
    <font>
      <b/>
      <sz val="12"/>
      <color theme="1"/>
      <name val="Aptos Narrow"/>
      <family val="2"/>
      <scheme val="minor"/>
    </font>
    <font>
      <b/>
      <sz val="12"/>
      <color theme="0"/>
      <name val="Aptos Narrow"/>
      <family val="2"/>
      <scheme val="minor"/>
    </font>
    <font>
      <sz val="12"/>
      <color theme="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sz val="11"/>
      <color theme="0"/>
      <name val="Aptos Narrow"/>
      <family val="2"/>
      <scheme val="minor"/>
    </font>
    <font>
      <b/>
      <sz val="20"/>
      <color theme="1"/>
      <name val="Aptos Narrow"/>
      <family val="2"/>
      <scheme val="minor"/>
    </font>
    <font>
      <sz val="11"/>
      <color theme="1"/>
      <name val="Aptos Narrow"/>
      <family val="2"/>
      <scheme val="minor"/>
    </font>
    <font>
      <sz val="11"/>
      <color rgb="FFFF0000"/>
      <name val="Aptos Narrow"/>
      <family val="2"/>
      <scheme val="minor"/>
    </font>
    <font>
      <b/>
      <sz val="10"/>
      <color theme="0"/>
      <name val="Aptos Narrow"/>
      <family val="2"/>
      <scheme val="minor"/>
    </font>
    <font>
      <sz val="11"/>
      <name val="Aptos Narrow"/>
      <family val="2"/>
      <scheme val="minor"/>
    </font>
    <font>
      <sz val="10"/>
      <color theme="1"/>
      <name val="Aptos Narrow"/>
      <family val="2"/>
      <scheme val="minor"/>
    </font>
    <font>
      <b/>
      <sz val="11"/>
      <color rgb="FFFF0000"/>
      <name val="Aptos Narrow"/>
      <family val="2"/>
      <scheme val="minor"/>
    </font>
    <font>
      <i/>
      <sz val="11"/>
      <color rgb="FFFF0000"/>
      <name val="Aptos Narrow"/>
      <family val="2"/>
      <scheme val="minor"/>
    </font>
    <font>
      <sz val="11"/>
      <color rgb="FF000000"/>
      <name val="Aptos Narrow"/>
      <family val="2"/>
      <scheme val="minor"/>
    </font>
    <font>
      <i/>
      <sz val="11"/>
      <color theme="1"/>
      <name val="Aptos Narrow"/>
      <family val="2"/>
      <scheme val="minor"/>
    </font>
    <font>
      <sz val="12"/>
      <name val="Aptos Narrow"/>
      <family val="2"/>
      <scheme val="minor"/>
    </font>
    <font>
      <b/>
      <sz val="10"/>
      <name val="Montserrat"/>
      <family val="3"/>
    </font>
    <font>
      <b/>
      <sz val="16"/>
      <name val="Montserrat"/>
      <family val="3"/>
    </font>
    <font>
      <sz val="10"/>
      <name val="Montserrat"/>
      <family val="3"/>
    </font>
    <font>
      <sz val="8"/>
      <name val="Montserrat"/>
      <family val="3"/>
    </font>
    <font>
      <b/>
      <sz val="8"/>
      <name val="Montserrat"/>
      <family val="3"/>
    </font>
    <font>
      <sz val="8"/>
      <name val="Montserrat Light"/>
      <family val="3"/>
    </font>
    <font>
      <sz val="8"/>
      <color rgb="FFD1BD94"/>
      <name val="Montserrat Light"/>
      <family val="3"/>
    </font>
    <font>
      <b/>
      <sz val="10"/>
      <color rgb="FFD1BD94"/>
      <name val="Montserrat"/>
      <family val="3"/>
    </font>
    <font>
      <sz val="8"/>
      <color rgb="FF000000"/>
      <name val="Montserrat Light"/>
      <family val="3"/>
    </font>
    <font>
      <b/>
      <sz val="8"/>
      <name val="Montserrat Light"/>
      <family val="3"/>
    </font>
    <font>
      <sz val="10"/>
      <name val="Arial"/>
      <family val="2"/>
    </font>
    <font>
      <sz val="10"/>
      <color theme="0"/>
      <name val="Montserrat"/>
      <family val="3"/>
    </font>
    <font>
      <b/>
      <u/>
      <sz val="10"/>
      <name val="Montserrat"/>
      <family val="3"/>
    </font>
    <font>
      <b/>
      <sz val="10"/>
      <color theme="0"/>
      <name val="Montserrat"/>
      <family val="3"/>
    </font>
    <font>
      <b/>
      <sz val="8"/>
      <name val="Montserrat "/>
    </font>
    <font>
      <b/>
      <sz val="10"/>
      <name val="Aptos Narrow"/>
      <family val="2"/>
      <scheme val="minor"/>
    </font>
    <font>
      <sz val="10"/>
      <name val="Aptos Narrow"/>
      <family val="2"/>
      <scheme val="minor"/>
    </font>
    <font>
      <sz val="8"/>
      <name val="Montserrat Light "/>
    </font>
    <font>
      <i/>
      <sz val="10"/>
      <name val="Aptos Narrow"/>
      <family val="2"/>
      <scheme val="minor"/>
    </font>
    <font>
      <sz val="10"/>
      <color theme="0"/>
      <name val="Aptos Narrow"/>
      <family val="2"/>
      <scheme val="minor"/>
    </font>
    <font>
      <b/>
      <sz val="8"/>
      <color rgb="FFFF0000"/>
      <name val="Montserrat Light "/>
    </font>
    <font>
      <sz val="8"/>
      <color rgb="FF000000"/>
      <name val="Montserrat Light "/>
    </font>
    <font>
      <b/>
      <sz val="8"/>
      <name val="Montserrat Light "/>
    </font>
    <font>
      <b/>
      <sz val="8"/>
      <color theme="0"/>
      <name val="Montserrat"/>
      <family val="3"/>
    </font>
    <font>
      <b/>
      <sz val="16"/>
      <color rgb="FFD1BD94"/>
      <name val="Aptos Narrow"/>
      <family val="2"/>
      <scheme val="minor"/>
    </font>
    <font>
      <sz val="11"/>
      <color rgb="FF000000"/>
      <name val="Aptos Narrow"/>
      <family val="2"/>
    </font>
    <font>
      <sz val="11"/>
      <name val="Aptos Narrow"/>
      <family val="2"/>
    </font>
    <font>
      <sz val="10"/>
      <name val="Arial Narrow"/>
      <family val="2"/>
    </font>
    <font>
      <sz val="11"/>
      <color rgb="FF000000"/>
      <name val="Aptos Narrow"/>
    </font>
    <font>
      <b/>
      <sz val="12"/>
      <color rgb="FFFFFFFF"/>
      <name val="Aptos Narrow"/>
      <scheme val="minor"/>
    </font>
    <font>
      <sz val="11"/>
      <color rgb="FF242424"/>
      <name val="Aptos Narrow"/>
      <charset val="1"/>
    </font>
  </fonts>
  <fills count="20">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D9E1F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99"/>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D1D3D4"/>
        <bgColor indexed="64"/>
      </patternFill>
    </fill>
    <fill>
      <patternFill patternType="solid">
        <fgColor rgb="FF94A6D0"/>
        <bgColor indexed="64"/>
      </patternFill>
    </fill>
    <fill>
      <patternFill patternType="solid">
        <fgColor rgb="FFFFFFFF"/>
        <bgColor rgb="FF000000"/>
      </patternFill>
    </fill>
  </fills>
  <borders count="94">
    <border>
      <left/>
      <right/>
      <top/>
      <bottom/>
      <diagonal/>
    </border>
    <border>
      <left style="medium">
        <color rgb="FFE6E6E6"/>
      </left>
      <right style="medium">
        <color rgb="FFE6E6E6"/>
      </right>
      <top style="medium">
        <color rgb="FFE6E6E6"/>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bottom/>
      <diagonal/>
    </border>
    <border>
      <left style="thin">
        <color indexed="64"/>
      </left>
      <right/>
      <top style="thin">
        <color indexed="64"/>
      </top>
      <bottom style="medium">
        <color indexed="64"/>
      </bottom>
      <diagonal/>
    </border>
    <border>
      <left style="thin">
        <color rgb="FF7F7F7F"/>
      </left>
      <right/>
      <top style="thin">
        <color rgb="FF7F7F7F"/>
      </top>
      <bottom style="thin">
        <color rgb="FF7F7F7F"/>
      </bottom>
      <diagonal/>
    </border>
    <border>
      <left style="thin">
        <color indexed="64"/>
      </left>
      <right style="thin">
        <color indexed="64"/>
      </right>
      <top/>
      <bottom/>
      <diagonal/>
    </border>
    <border>
      <left/>
      <right style="medium">
        <color indexed="64"/>
      </right>
      <top/>
      <bottom/>
      <diagonal/>
    </border>
    <border>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right style="hair">
        <color indexed="64"/>
      </right>
      <top/>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style="hair">
        <color indexed="64"/>
      </left>
      <right/>
      <top/>
      <bottom/>
      <diagonal/>
    </border>
    <border>
      <left/>
      <right/>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right style="hair">
        <color indexed="64"/>
      </right>
      <top/>
      <bottom style="hair">
        <color indexed="64"/>
      </bottom>
      <diagonal/>
    </border>
    <border>
      <left/>
      <right style="dotted">
        <color theme="0" tint="-0.499984740745262"/>
      </right>
      <top style="thin">
        <color indexed="64"/>
      </top>
      <bottom style="thin">
        <color indexed="64"/>
      </bottom>
      <diagonal/>
    </border>
    <border>
      <left style="hair">
        <color indexed="64"/>
      </left>
      <right style="dotted">
        <color theme="0" tint="-0.499984740745262"/>
      </right>
      <top style="thin">
        <color indexed="64"/>
      </top>
      <bottom/>
      <diagonal/>
    </border>
    <border>
      <left/>
      <right style="dotted">
        <color theme="0" tint="-0.499984740745262"/>
      </right>
      <top style="thin">
        <color indexed="64"/>
      </top>
      <bottom/>
      <diagonal/>
    </border>
    <border>
      <left style="hair">
        <color indexed="64"/>
      </left>
      <right style="dotted">
        <color theme="0" tint="-0.499984740745262"/>
      </right>
      <top/>
      <bottom/>
      <diagonal/>
    </border>
    <border>
      <left/>
      <right style="dotted">
        <color theme="0" tint="-0.499984740745262"/>
      </right>
      <top/>
      <bottom/>
      <diagonal/>
    </border>
    <border>
      <left style="dotted">
        <color theme="0" tint="-0.499984740745262"/>
      </left>
      <right/>
      <top/>
      <bottom/>
      <diagonal/>
    </border>
    <border>
      <left style="hair">
        <color indexed="64"/>
      </left>
      <right style="dotted">
        <color theme="0" tint="-0.499984740745262"/>
      </right>
      <top/>
      <bottom style="hair">
        <color indexed="64"/>
      </bottom>
      <diagonal/>
    </border>
    <border>
      <left/>
      <right style="dotted">
        <color theme="0" tint="-0.499984740745262"/>
      </right>
      <top/>
      <bottom style="hair">
        <color indexed="64"/>
      </bottom>
      <diagonal/>
    </border>
    <border>
      <left/>
      <right style="dotted">
        <color theme="0" tint="-0.499984740745262"/>
      </right>
      <top style="hair">
        <color indexed="64"/>
      </top>
      <bottom style="thin">
        <color indexed="64"/>
      </bottom>
      <diagonal/>
    </border>
    <border>
      <left/>
      <right style="dotted">
        <color theme="0" tint="-0.499984740745262"/>
      </right>
      <top/>
      <bottom style="thin">
        <color indexed="64"/>
      </bottom>
      <diagonal/>
    </border>
    <border>
      <left style="dotted">
        <color theme="0" tint="-0.499984740745262"/>
      </left>
      <right/>
      <top/>
      <bottom style="thin">
        <color indexed="64"/>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hair">
        <color indexed="64"/>
      </left>
      <right style="dotted">
        <color theme="0" tint="-0.499984740745262"/>
      </right>
      <top style="thin">
        <color indexed="64"/>
      </top>
      <bottom style="thin">
        <color indexed="64"/>
      </bottom>
      <diagonal/>
    </border>
    <border>
      <left style="dotted">
        <color theme="0" tint="-0.499984740745262"/>
      </left>
      <right style="dotted">
        <color theme="0" tint="-0.499984740745262"/>
      </right>
      <top style="thin">
        <color indexed="64"/>
      </top>
      <bottom style="thin">
        <color indexed="64"/>
      </bottom>
      <diagonal/>
    </border>
    <border>
      <left style="dotted">
        <color theme="0" tint="-0.499984740745262"/>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s>
  <cellStyleXfs count="17">
    <xf numFmtId="0" fontId="0" fillId="0" borderId="0"/>
    <xf numFmtId="0" fontId="3" fillId="0" borderId="0"/>
    <xf numFmtId="0" fontId="7" fillId="5" borderId="0"/>
    <xf numFmtId="0" fontId="8" fillId="6" borderId="0"/>
    <xf numFmtId="0" fontId="9" fillId="7" borderId="0"/>
    <xf numFmtId="0" fontId="10" fillId="8" borderId="24"/>
    <xf numFmtId="44" fontId="13" fillId="0" borderId="0"/>
    <xf numFmtId="43" fontId="13" fillId="0" borderId="0"/>
    <xf numFmtId="9" fontId="13" fillId="0" borderId="0"/>
    <xf numFmtId="0" fontId="33" fillId="0" borderId="0"/>
    <xf numFmtId="43" fontId="33" fillId="0" borderId="0"/>
    <xf numFmtId="0" fontId="33" fillId="0" borderId="0"/>
    <xf numFmtId="44" fontId="33" fillId="0" borderId="0"/>
    <xf numFmtId="0" fontId="33" fillId="0" borderId="0"/>
    <xf numFmtId="44" fontId="33" fillId="0" borderId="0"/>
    <xf numFmtId="0" fontId="33" fillId="0" borderId="0"/>
    <xf numFmtId="44" fontId="13" fillId="0" borderId="0"/>
  </cellStyleXfs>
  <cellXfs count="590">
    <xf numFmtId="0" fontId="0" fillId="0" borderId="0" xfId="0"/>
    <xf numFmtId="0" fontId="3" fillId="0" borderId="0" xfId="1" applyAlignment="1">
      <alignment wrapText="1"/>
    </xf>
    <xf numFmtId="164" fontId="4" fillId="0" borderId="0" xfId="1" applyNumberFormat="1" applyFont="1" applyAlignment="1">
      <alignment horizontal="center" vertical="center" wrapText="1"/>
    </xf>
    <xf numFmtId="0" fontId="4" fillId="0" borderId="0" xfId="1" applyFont="1" applyAlignment="1">
      <alignment horizontal="left" vertical="center" wrapText="1"/>
    </xf>
    <xf numFmtId="164" fontId="3" fillId="0" borderId="0" xfId="1" applyNumberFormat="1" applyAlignment="1">
      <alignment horizontal="center" vertical="center" wrapText="1"/>
    </xf>
    <xf numFmtId="0" fontId="6" fillId="0" borderId="0" xfId="1" applyFont="1" applyAlignment="1">
      <alignment wrapText="1"/>
    </xf>
    <xf numFmtId="0" fontId="3" fillId="0" borderId="2" xfId="1" applyBorder="1" applyAlignment="1">
      <alignment wrapText="1"/>
    </xf>
    <xf numFmtId="0" fontId="2" fillId="2" borderId="1" xfId="0" applyFont="1"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 fillId="0" borderId="2" xfId="1" applyFont="1" applyBorder="1" applyAlignment="1">
      <alignment horizontal="center" vertical="center" wrapText="1"/>
    </xf>
    <xf numFmtId="164" fontId="4" fillId="4" borderId="2" xfId="1" applyNumberFormat="1" applyFont="1" applyFill="1" applyBorder="1" applyAlignment="1">
      <alignment horizontal="center" vertical="center" wrapText="1"/>
    </xf>
    <xf numFmtId="164" fontId="4" fillId="0" borderId="2" xfId="1" applyNumberFormat="1" applyFont="1" applyBorder="1" applyAlignment="1">
      <alignment horizontal="center" vertical="center" wrapText="1"/>
    </xf>
    <xf numFmtId="0" fontId="3" fillId="0" borderId="2" xfId="1" applyBorder="1" applyAlignment="1">
      <alignment horizontal="center" vertical="center" wrapText="1"/>
    </xf>
    <xf numFmtId="0" fontId="5" fillId="2" borderId="2" xfId="1" applyFont="1" applyFill="1" applyBorder="1" applyAlignment="1">
      <alignment wrapText="1"/>
    </xf>
    <xf numFmtId="0" fontId="6" fillId="3" borderId="5" xfId="1" applyFont="1" applyFill="1" applyBorder="1" applyAlignment="1">
      <alignment horizontal="left" wrapText="1"/>
    </xf>
    <xf numFmtId="0" fontId="6" fillId="3" borderId="5" xfId="1" applyFont="1" applyFill="1" applyBorder="1" applyAlignment="1">
      <alignment horizontal="center" vertical="center" wrapText="1"/>
    </xf>
    <xf numFmtId="164" fontId="3" fillId="0" borderId="6" xfId="1" applyNumberFormat="1" applyBorder="1" applyAlignment="1">
      <alignment horizontal="center" vertical="center" wrapText="1"/>
    </xf>
    <xf numFmtId="164" fontId="4" fillId="0" borderId="6" xfId="1" applyNumberFormat="1" applyFont="1" applyBorder="1" applyAlignment="1">
      <alignment horizontal="center" vertical="center" wrapText="1"/>
    </xf>
    <xf numFmtId="0" fontId="4" fillId="0" borderId="12" xfId="1" applyFont="1" applyBorder="1" applyAlignment="1">
      <alignment horizontal="center" vertical="center" wrapText="1"/>
    </xf>
    <xf numFmtId="0" fontId="0" fillId="0" borderId="2" xfId="0" applyBorder="1"/>
    <xf numFmtId="0" fontId="0" fillId="0" borderId="2" xfId="0" applyBorder="1" applyAlignment="1">
      <alignment wrapText="1"/>
    </xf>
    <xf numFmtId="0" fontId="5" fillId="3" borderId="12" xfId="1" applyFont="1" applyFill="1" applyBorder="1" applyAlignment="1">
      <alignment horizontal="left" vertical="center" wrapText="1"/>
    </xf>
    <xf numFmtId="164" fontId="3" fillId="0" borderId="22" xfId="1" applyNumberFormat="1" applyBorder="1" applyAlignment="1">
      <alignment horizontal="center" vertical="center" wrapText="1"/>
    </xf>
    <xf numFmtId="3" fontId="3" fillId="0" borderId="12" xfId="1" applyNumberFormat="1" applyBorder="1" applyAlignment="1">
      <alignment horizontal="center" vertical="center" wrapText="1"/>
    </xf>
    <xf numFmtId="164" fontId="4" fillId="2" borderId="12" xfId="1" applyNumberFormat="1" applyFont="1" applyFill="1" applyBorder="1" applyAlignment="1">
      <alignment horizontal="center" vertical="center" wrapText="1"/>
    </xf>
    <xf numFmtId="164" fontId="4" fillId="2" borderId="11" xfId="1" applyNumberFormat="1"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xf>
    <xf numFmtId="0" fontId="0" fillId="0" borderId="0" xfId="0" applyAlignment="1">
      <alignment horizontal="center"/>
    </xf>
    <xf numFmtId="0" fontId="2" fillId="2" borderId="2" xfId="0" applyFont="1" applyFill="1" applyBorder="1" applyAlignment="1">
      <alignment horizont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7" xfId="0" applyBorder="1" applyAlignment="1">
      <alignment horizontal="center" wrapText="1"/>
    </xf>
    <xf numFmtId="0" fontId="0" fillId="0" borderId="2" xfId="0" applyBorder="1" applyAlignment="1">
      <alignment horizontal="center" vertical="center"/>
    </xf>
    <xf numFmtId="0" fontId="0" fillId="0" borderId="5" xfId="0" applyBorder="1" applyAlignment="1">
      <alignment horizontal="center"/>
    </xf>
    <xf numFmtId="0" fontId="0" fillId="0" borderId="2" xfId="0" quotePrefix="1" applyBorder="1" applyAlignment="1">
      <alignment horizontal="center" vertical="center"/>
    </xf>
    <xf numFmtId="10" fontId="0" fillId="0" borderId="2" xfId="0" applyNumberFormat="1" applyBorder="1" applyAlignment="1">
      <alignment horizontal="center" vertical="center"/>
    </xf>
    <xf numFmtId="0" fontId="2" fillId="2" borderId="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9" xfId="0" applyFont="1" applyFill="1" applyBorder="1" applyAlignment="1">
      <alignment horizontal="center" vertical="center"/>
    </xf>
    <xf numFmtId="0" fontId="7" fillId="5" borderId="2" xfId="2" applyBorder="1"/>
    <xf numFmtId="0" fontId="9" fillId="7" borderId="2" xfId="4" applyBorder="1"/>
    <xf numFmtId="0" fontId="8" fillId="6" borderId="2" xfId="3" applyBorder="1"/>
    <xf numFmtId="0" fontId="2" fillId="2" borderId="2" xfId="0" applyFont="1" applyFill="1" applyBorder="1"/>
    <xf numFmtId="0" fontId="0" fillId="9" borderId="2" xfId="0" applyFill="1" applyBorder="1"/>
    <xf numFmtId="0" fontId="3" fillId="10" borderId="0" xfId="1" applyFill="1" applyAlignment="1">
      <alignment wrapText="1"/>
    </xf>
    <xf numFmtId="0" fontId="6" fillId="2" borderId="28" xfId="1" applyFont="1" applyFill="1" applyBorder="1" applyAlignment="1">
      <alignment wrapText="1"/>
    </xf>
    <xf numFmtId="0" fontId="3" fillId="2" borderId="29" xfId="1" applyFill="1" applyBorder="1" applyAlignment="1">
      <alignment wrapText="1"/>
    </xf>
    <xf numFmtId="0" fontId="3" fillId="2" borderId="30" xfId="1" applyFill="1" applyBorder="1" applyAlignment="1">
      <alignment wrapText="1"/>
    </xf>
    <xf numFmtId="164" fontId="0" fillId="0" borderId="2" xfId="0" applyNumberFormat="1" applyBorder="1" applyAlignment="1">
      <alignment horizontal="center" vertical="center"/>
    </xf>
    <xf numFmtId="0" fontId="0" fillId="0" borderId="2" xfId="0" applyBorder="1" applyAlignment="1">
      <alignment horizontal="left" vertical="center"/>
    </xf>
    <xf numFmtId="164" fontId="0" fillId="10" borderId="2" xfId="0" applyNumberFormat="1" applyFill="1" applyBorder="1" applyAlignment="1">
      <alignment horizontal="center" vertical="center"/>
    </xf>
    <xf numFmtId="0" fontId="2" fillId="2" borderId="2" xfId="0" applyFont="1" applyFill="1" applyBorder="1" applyAlignment="1">
      <alignment wrapText="1"/>
    </xf>
    <xf numFmtId="0" fontId="0" fillId="0" borderId="20" xfId="0" applyBorder="1" applyAlignment="1">
      <alignment wrapText="1"/>
    </xf>
    <xf numFmtId="0" fontId="1" fillId="0" borderId="0" xfId="0" applyFont="1" applyAlignment="1">
      <alignment vertical="center" wrapText="1"/>
    </xf>
    <xf numFmtId="0" fontId="1" fillId="0" borderId="0" xfId="0" applyFont="1"/>
    <xf numFmtId="0" fontId="2" fillId="2" borderId="31" xfId="0" applyFont="1" applyFill="1" applyBorder="1"/>
    <xf numFmtId="0" fontId="2" fillId="2" borderId="27" xfId="0" applyFont="1" applyFill="1" applyBorder="1"/>
    <xf numFmtId="164" fontId="0" fillId="2" borderId="2" xfId="0" applyNumberFormat="1" applyFill="1" applyBorder="1" applyAlignment="1">
      <alignment horizontal="center" vertical="center"/>
    </xf>
    <xf numFmtId="0" fontId="0" fillId="10" borderId="2" xfId="0" applyFill="1" applyBorder="1"/>
    <xf numFmtId="10" fontId="10" fillId="8" borderId="2" xfId="5" applyNumberFormat="1" applyBorder="1" applyAlignment="1" applyProtection="1">
      <alignment horizontal="center" vertical="center" wrapText="1"/>
      <protection locked="0"/>
    </xf>
    <xf numFmtId="0" fontId="10" fillId="8" borderId="2" xfId="5" applyBorder="1" applyAlignment="1" applyProtection="1">
      <alignment horizontal="center" vertical="center" wrapText="1"/>
      <protection locked="0"/>
    </xf>
    <xf numFmtId="164" fontId="10" fillId="8" borderId="2" xfId="5" applyNumberFormat="1" applyBorder="1" applyAlignment="1" applyProtection="1">
      <alignment horizontal="center" vertical="center" wrapText="1"/>
      <protection locked="0"/>
    </xf>
    <xf numFmtId="0" fontId="10" fillId="8" borderId="10" xfId="5" applyBorder="1" applyAlignment="1" applyProtection="1">
      <alignment horizontal="center" vertical="center" wrapText="1"/>
      <protection locked="0"/>
    </xf>
    <xf numFmtId="0" fontId="0" fillId="0" borderId="2" xfId="0" applyBorder="1" applyProtection="1">
      <protection locked="0"/>
    </xf>
    <xf numFmtId="164" fontId="0" fillId="0" borderId="2" xfId="0" applyNumberFormat="1" applyBorder="1" applyAlignment="1" applyProtection="1">
      <alignment horizontal="right"/>
      <protection locked="0"/>
    </xf>
    <xf numFmtId="0" fontId="0" fillId="0" borderId="2" xfId="0" applyBorder="1" applyAlignment="1" applyProtection="1">
      <alignment horizontal="center"/>
      <protection locked="0"/>
    </xf>
    <xf numFmtId="164" fontId="0" fillId="0" borderId="2" xfId="0" applyNumberFormat="1" applyBorder="1" applyAlignment="1" applyProtection="1">
      <alignment horizontal="right" wrapText="1"/>
      <protection locked="0"/>
    </xf>
    <xf numFmtId="164" fontId="0" fillId="0" borderId="2" xfId="0" applyNumberFormat="1" applyBorder="1" applyAlignment="1" applyProtection="1">
      <alignment horizontal="right" vertical="top" wrapText="1"/>
      <protection locked="0"/>
    </xf>
    <xf numFmtId="0" fontId="2" fillId="2" borderId="32" xfId="0" applyFont="1" applyFill="1" applyBorder="1" applyAlignment="1">
      <alignment horizontal="center" vertical="center" wrapText="1"/>
    </xf>
    <xf numFmtId="164" fontId="0" fillId="0" borderId="17" xfId="0" applyNumberFormat="1" applyBorder="1" applyAlignment="1">
      <alignment horizontal="center" vertical="center"/>
    </xf>
    <xf numFmtId="164" fontId="0" fillId="10" borderId="17" xfId="0" applyNumberFormat="1" applyFill="1" applyBorder="1" applyAlignment="1">
      <alignment horizontal="center" vertical="center"/>
    </xf>
    <xf numFmtId="164" fontId="0" fillId="2" borderId="17" xfId="0" applyNumberFormat="1" applyFill="1" applyBorder="1" applyAlignment="1">
      <alignment horizontal="center" vertical="center"/>
    </xf>
    <xf numFmtId="0" fontId="2" fillId="2" borderId="17" xfId="0" applyFont="1" applyFill="1" applyBorder="1"/>
    <xf numFmtId="0" fontId="0" fillId="0" borderId="17" xfId="0" applyBorder="1" applyAlignment="1" applyProtection="1">
      <alignment horizontal="center" vertical="center"/>
      <protection locked="0"/>
    </xf>
    <xf numFmtId="0" fontId="0" fillId="0" borderId="2" xfId="0" applyBorder="1" applyAlignment="1">
      <alignment horizontal="left" vertical="center" wrapText="1"/>
    </xf>
    <xf numFmtId="0" fontId="0" fillId="0" borderId="2" xfId="0" applyBorder="1" applyAlignment="1">
      <alignment horizontal="left" wrapText="1"/>
    </xf>
    <xf numFmtId="0" fontId="0" fillId="0" borderId="2" xfId="0" applyBorder="1" applyAlignment="1">
      <alignment horizontal="left"/>
    </xf>
    <xf numFmtId="0" fontId="0" fillId="0" borderId="33" xfId="0" applyBorder="1" applyAlignment="1" applyProtection="1">
      <alignment horizontal="center" vertical="center"/>
      <protection locked="0"/>
    </xf>
    <xf numFmtId="0" fontId="1" fillId="0" borderId="20" xfId="0" applyFont="1" applyBorder="1"/>
    <xf numFmtId="0" fontId="0" fillId="0" borderId="0" xfId="0" applyAlignment="1">
      <alignment horizontal="left" vertical="center"/>
    </xf>
    <xf numFmtId="10" fontId="10" fillId="8" borderId="24" xfId="5" applyNumberFormat="1" applyProtection="1">
      <protection locked="0"/>
    </xf>
    <xf numFmtId="0" fontId="0" fillId="0" borderId="5" xfId="0" applyBorder="1" applyAlignment="1">
      <alignment horizontal="center" vertical="center"/>
    </xf>
    <xf numFmtId="0" fontId="2" fillId="2" borderId="26" xfId="0" applyFont="1" applyFill="1" applyBorder="1" applyAlignment="1">
      <alignment horizontal="center" vertical="center"/>
    </xf>
    <xf numFmtId="0" fontId="2" fillId="2" borderId="21" xfId="0" applyFont="1" applyFill="1" applyBorder="1" applyAlignment="1">
      <alignment horizontal="center" vertical="center"/>
    </xf>
    <xf numFmtId="0" fontId="11" fillId="2" borderId="2" xfId="0" applyFont="1" applyFill="1" applyBorder="1"/>
    <xf numFmtId="164" fontId="10" fillId="10" borderId="34" xfId="5" applyNumberFormat="1" applyFill="1" applyBorder="1" applyAlignment="1">
      <alignment horizontal="center" vertical="center" wrapText="1"/>
    </xf>
    <xf numFmtId="0" fontId="1" fillId="0" borderId="0" xfId="0" applyFont="1" applyAlignment="1">
      <alignment horizontal="center"/>
    </xf>
    <xf numFmtId="0" fontId="0" fillId="9" borderId="35" xfId="0" applyFill="1" applyBorder="1"/>
    <xf numFmtId="0" fontId="0" fillId="2" borderId="32" xfId="0" applyFill="1" applyBorder="1"/>
    <xf numFmtId="0" fontId="0" fillId="2" borderId="0" xfId="0" applyFill="1"/>
    <xf numFmtId="0" fontId="8" fillId="6" borderId="2" xfId="3" applyBorder="1" applyAlignment="1">
      <alignment wrapText="1"/>
    </xf>
    <xf numFmtId="0" fontId="11" fillId="2" borderId="22" xfId="0" applyFont="1" applyFill="1" applyBorder="1"/>
    <xf numFmtId="0" fontId="0" fillId="0" borderId="21" xfId="0" applyBorder="1"/>
    <xf numFmtId="0" fontId="0" fillId="0" borderId="21" xfId="0" applyBorder="1" applyAlignment="1">
      <alignment wrapText="1"/>
    </xf>
    <xf numFmtId="0" fontId="11" fillId="2" borderId="22" xfId="0" applyFont="1" applyFill="1" applyBorder="1" applyAlignment="1">
      <alignment wrapText="1"/>
    </xf>
    <xf numFmtId="0" fontId="0" fillId="0" borderId="12" xfId="0" applyBorder="1"/>
    <xf numFmtId="0" fontId="0" fillId="0" borderId="17" xfId="0"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wrapText="1"/>
    </xf>
    <xf numFmtId="164" fontId="3" fillId="10" borderId="2" xfId="1" applyNumberFormat="1" applyFill="1" applyBorder="1" applyAlignment="1">
      <alignment horizontal="center" vertical="center" wrapText="1"/>
    </xf>
    <xf numFmtId="0" fontId="11" fillId="2" borderId="2" xfId="0" applyFont="1" applyFill="1" applyBorder="1" applyAlignment="1">
      <alignment wrapText="1"/>
    </xf>
    <xf numFmtId="164" fontId="0" fillId="0" borderId="21" xfId="0" applyNumberFormat="1" applyBorder="1"/>
    <xf numFmtId="0" fontId="7" fillId="5" borderId="2" xfId="2" applyBorder="1" applyAlignment="1">
      <alignment wrapText="1"/>
    </xf>
    <xf numFmtId="0" fontId="9" fillId="7" borderId="2" xfId="4" applyBorder="1" applyAlignment="1">
      <alignment wrapText="1"/>
    </xf>
    <xf numFmtId="0" fontId="0" fillId="0" borderId="17" xfId="0" applyBorder="1" applyAlignment="1" applyProtection="1">
      <alignment horizontal="center" vertical="center" wrapText="1"/>
      <protection locked="0"/>
    </xf>
    <xf numFmtId="0" fontId="15" fillId="2" borderId="2" xfId="0" applyFont="1" applyFill="1" applyBorder="1" applyAlignment="1">
      <alignment horizontal="center"/>
    </xf>
    <xf numFmtId="0" fontId="16" fillId="11" borderId="2" xfId="0" applyFont="1" applyFill="1" applyBorder="1"/>
    <xf numFmtId="0" fontId="0" fillId="12" borderId="2" xfId="0" applyFill="1" applyBorder="1" applyAlignment="1">
      <alignment horizontal="left"/>
    </xf>
    <xf numFmtId="0" fontId="17" fillId="10" borderId="2" xfId="0" applyFont="1" applyFill="1" applyBorder="1" applyAlignment="1">
      <alignment horizontal="center"/>
    </xf>
    <xf numFmtId="0" fontId="0" fillId="13" borderId="2" xfId="0" applyFill="1" applyBorder="1" applyAlignment="1">
      <alignment horizontal="left"/>
    </xf>
    <xf numFmtId="0" fontId="18" fillId="10" borderId="2" xfId="0" applyFont="1" applyFill="1" applyBorder="1"/>
    <xf numFmtId="14" fontId="0" fillId="13" borderId="2" xfId="0" applyNumberFormat="1" applyFill="1" applyBorder="1" applyAlignment="1">
      <alignment horizontal="left"/>
    </xf>
    <xf numFmtId="0" fontId="19" fillId="10" borderId="2" xfId="0" applyFont="1" applyFill="1" applyBorder="1"/>
    <xf numFmtId="6" fontId="20" fillId="13" borderId="2" xfId="0" applyNumberFormat="1" applyFont="1" applyFill="1" applyBorder="1" applyAlignment="1">
      <alignment horizontal="left"/>
    </xf>
    <xf numFmtId="6" fontId="0" fillId="13" borderId="2" xfId="0" applyNumberFormat="1" applyFill="1" applyBorder="1" applyAlignment="1">
      <alignment horizontal="left"/>
    </xf>
    <xf numFmtId="0" fontId="14" fillId="10" borderId="2" xfId="0" applyFont="1" applyFill="1" applyBorder="1"/>
    <xf numFmtId="1" fontId="0" fillId="10" borderId="2" xfId="0" applyNumberFormat="1" applyFill="1" applyBorder="1" applyAlignment="1">
      <alignment horizontal="left"/>
    </xf>
    <xf numFmtId="0" fontId="21" fillId="10" borderId="2" xfId="0" applyFont="1" applyFill="1" applyBorder="1"/>
    <xf numFmtId="44" fontId="0" fillId="13" borderId="2" xfId="6" applyFont="1" applyFill="1" applyBorder="1" applyAlignment="1">
      <alignment horizontal="left"/>
    </xf>
    <xf numFmtId="9" fontId="0" fillId="13" borderId="2" xfId="0" applyNumberFormat="1" applyFill="1" applyBorder="1" applyAlignment="1">
      <alignment horizontal="left"/>
    </xf>
    <xf numFmtId="3" fontId="0" fillId="13" borderId="2" xfId="0" applyNumberFormat="1" applyFill="1" applyBorder="1" applyAlignment="1">
      <alignment horizontal="left"/>
    </xf>
    <xf numFmtId="165" fontId="0" fillId="13" borderId="2" xfId="0" applyNumberFormat="1" applyFill="1" applyBorder="1" applyAlignment="1">
      <alignment horizontal="left"/>
    </xf>
    <xf numFmtId="0" fontId="4" fillId="0" borderId="0" xfId="1" applyFont="1" applyAlignment="1">
      <alignment horizontal="center" vertical="center" wrapText="1"/>
    </xf>
    <xf numFmtId="0" fontId="0" fillId="14" borderId="0" xfId="0" applyFill="1"/>
    <xf numFmtId="0" fontId="0" fillId="9" borderId="0" xfId="0" applyFill="1"/>
    <xf numFmtId="0" fontId="0" fillId="15" borderId="0" xfId="0" applyFill="1"/>
    <xf numFmtId="0" fontId="0" fillId="14" borderId="2" xfId="0" applyFill="1" applyBorder="1" applyAlignment="1">
      <alignment horizontal="center" vertical="center"/>
    </xf>
    <xf numFmtId="0" fontId="0" fillId="15" borderId="2" xfId="0" applyFill="1" applyBorder="1" applyAlignment="1">
      <alignment horizontal="center" vertical="center"/>
    </xf>
    <xf numFmtId="164" fontId="10" fillId="15" borderId="2" xfId="5" applyNumberFormat="1" applyFill="1" applyBorder="1" applyAlignment="1" applyProtection="1">
      <alignment horizontal="center" vertical="center" wrapText="1"/>
      <protection locked="0"/>
    </xf>
    <xf numFmtId="0" fontId="0" fillId="10" borderId="2" xfId="0" applyFill="1" applyBorder="1" applyAlignment="1">
      <alignment horizontal="center" vertical="center" wrapText="1"/>
    </xf>
    <xf numFmtId="0" fontId="7" fillId="5" borderId="2" xfId="2" applyBorder="1" applyAlignment="1">
      <alignment horizontal="center" vertical="center" wrapText="1"/>
    </xf>
    <xf numFmtId="0" fontId="9" fillId="7" borderId="2" xfId="4" applyBorder="1" applyAlignment="1">
      <alignment horizontal="center" vertical="center" wrapText="1"/>
    </xf>
    <xf numFmtId="0" fontId="8" fillId="6" borderId="2" xfId="3" applyBorder="1" applyAlignment="1">
      <alignment horizontal="center" vertical="center" wrapText="1"/>
    </xf>
    <xf numFmtId="0" fontId="3" fillId="10" borderId="2" xfId="1" applyFill="1" applyBorder="1" applyAlignment="1">
      <alignment wrapText="1"/>
    </xf>
    <xf numFmtId="0" fontId="3" fillId="2" borderId="0" xfId="1" applyFill="1" applyAlignment="1">
      <alignment wrapText="1"/>
    </xf>
    <xf numFmtId="0" fontId="23" fillId="2" borderId="0" xfId="9" applyFont="1" applyFill="1" applyAlignment="1" applyProtection="1">
      <alignment vertical="center"/>
      <protection locked="0"/>
    </xf>
    <xf numFmtId="0" fontId="23" fillId="0" borderId="0" xfId="9" applyFont="1" applyAlignment="1" applyProtection="1">
      <alignment vertical="center"/>
      <protection locked="0"/>
    </xf>
    <xf numFmtId="0" fontId="24" fillId="0" borderId="0" xfId="9" applyFont="1" applyProtection="1">
      <protection locked="0"/>
    </xf>
    <xf numFmtId="0" fontId="25" fillId="0" borderId="0" xfId="9" applyFont="1" applyProtection="1">
      <protection locked="0"/>
    </xf>
    <xf numFmtId="0" fontId="27" fillId="0" borderId="0" xfId="9" applyFont="1" applyAlignment="1" applyProtection="1">
      <alignment vertical="center"/>
      <protection locked="0"/>
    </xf>
    <xf numFmtId="0" fontId="26" fillId="0" borderId="0" xfId="9" applyFont="1" applyProtection="1">
      <protection locked="0"/>
    </xf>
    <xf numFmtId="0" fontId="26" fillId="0" borderId="0" xfId="9" applyFont="1" applyAlignment="1" applyProtection="1">
      <alignment vertical="center"/>
      <protection locked="0"/>
    </xf>
    <xf numFmtId="0" fontId="34" fillId="0" borderId="0" xfId="9" applyFont="1" applyProtection="1">
      <protection locked="0"/>
    </xf>
    <xf numFmtId="0" fontId="30" fillId="2" borderId="17" xfId="9" applyFont="1" applyFill="1" applyBorder="1" applyAlignment="1" applyProtection="1">
      <alignment vertical="center"/>
      <protection locked="0"/>
    </xf>
    <xf numFmtId="0" fontId="35" fillId="2" borderId="18" xfId="9" applyFont="1" applyFill="1" applyBorder="1" applyAlignment="1" applyProtection="1">
      <alignment vertical="center"/>
      <protection locked="0"/>
    </xf>
    <xf numFmtId="0" fontId="23" fillId="2" borderId="18" xfId="9" applyFont="1" applyFill="1" applyBorder="1" applyAlignment="1" applyProtection="1">
      <alignment vertical="center"/>
      <protection locked="0"/>
    </xf>
    <xf numFmtId="0" fontId="23" fillId="2" borderId="19" xfId="9" applyFont="1" applyFill="1" applyBorder="1" applyAlignment="1" applyProtection="1">
      <alignment vertical="center"/>
      <protection locked="0"/>
    </xf>
    <xf numFmtId="0" fontId="23" fillId="0" borderId="35" xfId="9" applyFont="1" applyBorder="1" applyAlignment="1" applyProtection="1">
      <alignment vertical="center"/>
      <protection locked="0"/>
    </xf>
    <xf numFmtId="0" fontId="36" fillId="0" borderId="0" xfId="9" applyFont="1" applyAlignment="1" applyProtection="1">
      <alignment vertical="center"/>
      <protection locked="0"/>
    </xf>
    <xf numFmtId="166" fontId="23" fillId="0" borderId="0" xfId="10" applyNumberFormat="1" applyFont="1" applyAlignment="1" applyProtection="1">
      <alignment horizontal="center" vertical="center"/>
      <protection locked="0"/>
    </xf>
    <xf numFmtId="166" fontId="28" fillId="16" borderId="40" xfId="7" applyNumberFormat="1" applyFont="1" applyFill="1" applyBorder="1" applyProtection="1">
      <protection locked="0"/>
    </xf>
    <xf numFmtId="0" fontId="27" fillId="0" borderId="0" xfId="11" applyFont="1" applyProtection="1">
      <protection locked="0"/>
    </xf>
    <xf numFmtId="0" fontId="27" fillId="17" borderId="17" xfId="9" applyFont="1" applyFill="1" applyBorder="1" applyAlignment="1" applyProtection="1">
      <alignment horizontal="center" vertical="center" wrapText="1"/>
      <protection locked="0"/>
    </xf>
    <xf numFmtId="0" fontId="27" fillId="17" borderId="18" xfId="9" applyFont="1" applyFill="1" applyBorder="1" applyAlignment="1" applyProtection="1">
      <alignment horizontal="center" vertical="center" wrapText="1"/>
      <protection locked="0"/>
    </xf>
    <xf numFmtId="0" fontId="27" fillId="17" borderId="19" xfId="9" applyFont="1" applyFill="1" applyBorder="1" applyAlignment="1" applyProtection="1">
      <alignment horizontal="center" vertical="center" wrapText="1"/>
      <protection locked="0"/>
    </xf>
    <xf numFmtId="0" fontId="38" fillId="0" borderId="0" xfId="9" applyFont="1" applyAlignment="1" applyProtection="1">
      <alignment horizontal="center" vertical="center" wrapText="1"/>
      <protection locked="0"/>
    </xf>
    <xf numFmtId="0" fontId="15" fillId="0" borderId="0" xfId="9" applyFont="1" applyAlignment="1" applyProtection="1">
      <alignment horizontal="center" vertical="center"/>
      <protection locked="0"/>
    </xf>
    <xf numFmtId="0" fontId="39" fillId="0" borderId="0" xfId="9" applyFont="1" applyProtection="1">
      <protection locked="0"/>
    </xf>
    <xf numFmtId="44" fontId="28" fillId="16" borderId="41" xfId="6" applyFont="1" applyFill="1" applyBorder="1" applyAlignment="1" applyProtection="1">
      <alignment horizontal="right" vertical="center"/>
      <protection locked="0"/>
    </xf>
    <xf numFmtId="167" fontId="40" fillId="0" borderId="0" xfId="11" applyNumberFormat="1" applyFont="1" applyAlignment="1" applyProtection="1">
      <alignment horizontal="right" vertical="center"/>
      <protection locked="0"/>
    </xf>
    <xf numFmtId="0" fontId="28" fillId="10" borderId="42" xfId="9" applyFont="1" applyFill="1" applyBorder="1" applyAlignment="1">
      <alignment vertical="center"/>
    </xf>
    <xf numFmtId="0" fontId="28" fillId="10" borderId="43" xfId="9" applyFont="1" applyFill="1" applyBorder="1" applyAlignment="1">
      <alignment vertical="center"/>
    </xf>
    <xf numFmtId="44" fontId="28" fillId="10" borderId="44" xfId="12" applyFont="1" applyFill="1" applyBorder="1" applyAlignment="1">
      <alignment vertical="center"/>
    </xf>
    <xf numFmtId="0" fontId="41" fillId="0" borderId="32" xfId="9" applyFont="1" applyBorder="1" applyAlignment="1" applyProtection="1">
      <alignment vertical="center"/>
      <protection locked="0"/>
    </xf>
    <xf numFmtId="0" fontId="41" fillId="0" borderId="0" xfId="9" applyFont="1" applyAlignment="1" applyProtection="1">
      <alignment vertical="center"/>
      <protection locked="0"/>
    </xf>
    <xf numFmtId="166" fontId="39" fillId="0" borderId="0" xfId="10" applyNumberFormat="1" applyFont="1" applyAlignment="1" applyProtection="1">
      <alignment horizontal="center" vertical="center"/>
      <protection locked="0"/>
    </xf>
    <xf numFmtId="0" fontId="38" fillId="0" borderId="0" xfId="13" applyFont="1" applyAlignment="1" applyProtection="1">
      <alignment horizontal="center" vertical="center"/>
      <protection locked="0"/>
    </xf>
    <xf numFmtId="0" fontId="39" fillId="0" borderId="0" xfId="9" applyFont="1" applyAlignment="1" applyProtection="1">
      <alignment vertical="center"/>
      <protection locked="0"/>
    </xf>
    <xf numFmtId="0" fontId="38" fillId="0" borderId="0" xfId="9" applyFont="1" applyAlignment="1">
      <alignment horizontal="right"/>
    </xf>
    <xf numFmtId="44" fontId="39" fillId="0" borderId="0" xfId="6" applyFont="1"/>
    <xf numFmtId="0" fontId="38" fillId="0" borderId="0" xfId="9" applyFont="1"/>
    <xf numFmtId="10" fontId="28" fillId="16" borderId="41" xfId="11" applyNumberFormat="1" applyFont="1" applyFill="1" applyBorder="1" applyAlignment="1" applyProtection="1">
      <alignment horizontal="right" vertical="center"/>
      <protection locked="0"/>
    </xf>
    <xf numFmtId="0" fontId="28" fillId="10" borderId="45" xfId="9" applyFont="1" applyFill="1" applyBorder="1" applyAlignment="1" applyProtection="1">
      <alignment vertical="center"/>
      <protection locked="0"/>
    </xf>
    <xf numFmtId="0" fontId="28" fillId="10" borderId="46" xfId="9" applyFont="1" applyFill="1" applyBorder="1" applyAlignment="1" applyProtection="1">
      <alignment vertical="center"/>
      <protection locked="0"/>
    </xf>
    <xf numFmtId="44" fontId="28" fillId="10" borderId="41" xfId="14" applyFont="1" applyFill="1" applyBorder="1" applyAlignment="1">
      <alignment vertical="center"/>
    </xf>
    <xf numFmtId="0" fontId="42" fillId="0" borderId="0" xfId="9" applyFont="1" applyAlignment="1" applyProtection="1">
      <alignment vertical="center"/>
      <protection locked="0"/>
    </xf>
    <xf numFmtId="0" fontId="39" fillId="0" borderId="0" xfId="12" applyNumberFormat="1" applyFont="1" applyAlignment="1" applyProtection="1">
      <alignment vertical="center"/>
      <protection locked="0"/>
    </xf>
    <xf numFmtId="168" fontId="28" fillId="0" borderId="0" xfId="9" applyNumberFormat="1" applyFont="1" applyAlignment="1">
      <alignment vertical="center"/>
    </xf>
    <xf numFmtId="168" fontId="28" fillId="17" borderId="41" xfId="6" applyNumberFormat="1" applyFont="1" applyFill="1" applyBorder="1" applyAlignment="1">
      <alignment horizontal="right" vertical="center"/>
    </xf>
    <xf numFmtId="7" fontId="43" fillId="0" borderId="0" xfId="14" applyNumberFormat="1" applyFont="1" applyAlignment="1">
      <alignment horizontal="center" vertical="center"/>
    </xf>
    <xf numFmtId="44" fontId="28" fillId="10" borderId="41" xfId="12" applyFont="1" applyFill="1" applyBorder="1" applyAlignment="1">
      <alignment vertical="center"/>
    </xf>
    <xf numFmtId="166" fontId="39" fillId="0" borderId="0" xfId="10" applyNumberFormat="1" applyFont="1" applyAlignment="1" applyProtection="1">
      <alignment vertical="center"/>
      <protection locked="0"/>
    </xf>
    <xf numFmtId="0" fontId="38" fillId="0" borderId="0" xfId="9" applyFont="1" applyAlignment="1">
      <alignment horizontal="center"/>
    </xf>
    <xf numFmtId="0" fontId="28" fillId="0" borderId="0" xfId="9" applyFont="1" applyAlignment="1" applyProtection="1">
      <alignment horizontal="right" vertical="center"/>
      <protection locked="0"/>
    </xf>
    <xf numFmtId="168" fontId="28" fillId="16" borderId="41" xfId="6" applyNumberFormat="1" applyFont="1" applyFill="1" applyBorder="1" applyAlignment="1" applyProtection="1">
      <alignment horizontal="right" vertical="center"/>
      <protection locked="0"/>
    </xf>
    <xf numFmtId="167" fontId="40" fillId="0" borderId="0" xfId="13" applyNumberFormat="1" applyFont="1" applyAlignment="1" applyProtection="1">
      <alignment horizontal="right" vertical="center"/>
      <protection locked="0"/>
    </xf>
    <xf numFmtId="169" fontId="39" fillId="0" borderId="0" xfId="10" applyNumberFormat="1" applyFont="1" applyAlignment="1" applyProtection="1">
      <alignment vertical="center"/>
      <protection locked="0"/>
    </xf>
    <xf numFmtId="0" fontId="38" fillId="0" borderId="0" xfId="9" applyFont="1" applyAlignment="1">
      <alignment horizontal="left"/>
    </xf>
    <xf numFmtId="170" fontId="38" fillId="0" borderId="0" xfId="9" applyNumberFormat="1" applyFont="1" applyAlignment="1">
      <alignment horizontal="center"/>
    </xf>
    <xf numFmtId="0" fontId="40" fillId="0" borderId="0" xfId="13" applyFont="1" applyAlignment="1" applyProtection="1">
      <alignment horizontal="right" vertical="center"/>
      <protection locked="0"/>
    </xf>
    <xf numFmtId="44" fontId="42" fillId="0" borderId="0" xfId="12" applyFont="1" applyAlignment="1" applyProtection="1">
      <alignment vertical="center"/>
      <protection locked="0"/>
    </xf>
    <xf numFmtId="168" fontId="28" fillId="16" borderId="41" xfId="6" applyNumberFormat="1" applyFont="1" applyFill="1" applyBorder="1" applyAlignment="1" applyProtection="1">
      <alignment vertical="center"/>
      <protection locked="0"/>
    </xf>
    <xf numFmtId="0" fontId="40" fillId="0" borderId="0" xfId="13" applyFont="1" applyAlignment="1" applyProtection="1">
      <alignment vertical="center"/>
      <protection locked="0"/>
    </xf>
    <xf numFmtId="171" fontId="39" fillId="0" borderId="0" xfId="6" applyNumberFormat="1" applyFont="1" applyAlignment="1" applyProtection="1">
      <alignment vertical="center"/>
      <protection locked="0"/>
    </xf>
    <xf numFmtId="0" fontId="39" fillId="0" borderId="16" xfId="9" applyFont="1" applyBorder="1" applyAlignment="1" applyProtection="1">
      <alignment vertical="center"/>
      <protection locked="0"/>
    </xf>
    <xf numFmtId="167" fontId="28" fillId="16" borderId="47" xfId="8" applyNumberFormat="1" applyFont="1" applyFill="1" applyBorder="1" applyAlignment="1" applyProtection="1">
      <alignment vertical="center"/>
      <protection locked="0"/>
    </xf>
    <xf numFmtId="10" fontId="28" fillId="16" borderId="17" xfId="8" applyNumberFormat="1" applyFont="1" applyFill="1" applyBorder="1" applyAlignment="1" applyProtection="1">
      <alignment horizontal="center" vertical="center"/>
      <protection locked="0"/>
    </xf>
    <xf numFmtId="0" fontId="28" fillId="16" borderId="44" xfId="9" applyFont="1" applyFill="1" applyBorder="1" applyAlignment="1" applyProtection="1">
      <alignment horizontal="center" vertical="center"/>
      <protection locked="0"/>
    </xf>
    <xf numFmtId="171" fontId="28" fillId="17" borderId="41" xfId="6" applyNumberFormat="1" applyFont="1" applyFill="1" applyBorder="1" applyAlignment="1">
      <alignment horizontal="right" vertical="center"/>
    </xf>
    <xf numFmtId="0" fontId="40" fillId="0" borderId="0" xfId="10" applyNumberFormat="1" applyFont="1" applyAlignment="1" applyProtection="1">
      <alignment horizontal="right" vertical="center"/>
      <protection locked="0"/>
    </xf>
    <xf numFmtId="10" fontId="28" fillId="16" borderId="16" xfId="8" applyNumberFormat="1" applyFont="1" applyFill="1" applyBorder="1" applyAlignment="1" applyProtection="1">
      <alignment horizontal="center" vertical="center"/>
      <protection locked="0"/>
    </xf>
    <xf numFmtId="0" fontId="28" fillId="16" borderId="48" xfId="9" applyFont="1" applyFill="1" applyBorder="1" applyAlignment="1" applyProtection="1">
      <alignment horizontal="center" vertical="center"/>
      <protection locked="0"/>
    </xf>
    <xf numFmtId="164" fontId="38" fillId="0" borderId="0" xfId="9" applyNumberFormat="1" applyFont="1"/>
    <xf numFmtId="170" fontId="38" fillId="0" borderId="0" xfId="9" applyNumberFormat="1" applyFont="1"/>
    <xf numFmtId="0" fontId="27" fillId="0" borderId="32" xfId="9" applyFont="1" applyBorder="1" applyAlignment="1" applyProtection="1">
      <alignment vertical="center"/>
      <protection locked="0"/>
    </xf>
    <xf numFmtId="0" fontId="38" fillId="0" borderId="0" xfId="9" applyFont="1" applyAlignment="1" applyProtection="1">
      <alignment vertical="center"/>
      <protection locked="0"/>
    </xf>
    <xf numFmtId="10" fontId="28" fillId="17" borderId="41" xfId="8" applyNumberFormat="1" applyFont="1" applyFill="1" applyBorder="1" applyAlignment="1">
      <alignment horizontal="right" vertical="center"/>
    </xf>
    <xf numFmtId="0" fontId="44" fillId="0" borderId="0" xfId="0" applyFont="1" applyAlignment="1" applyProtection="1">
      <alignment horizontal="left" vertical="center" wrapText="1"/>
      <protection locked="0"/>
    </xf>
    <xf numFmtId="14" fontId="31" fillId="16" borderId="41" xfId="14" applyNumberFormat="1" applyFont="1" applyFill="1" applyBorder="1" applyAlignment="1" applyProtection="1">
      <alignment vertical="center" wrapText="1"/>
      <protection locked="0"/>
    </xf>
    <xf numFmtId="170" fontId="40" fillId="0" borderId="0" xfId="13" applyNumberFormat="1" applyFont="1" applyAlignment="1" applyProtection="1">
      <alignment horizontal="right" vertical="center"/>
      <protection locked="0"/>
    </xf>
    <xf numFmtId="14" fontId="28" fillId="16" borderId="41" xfId="13" applyNumberFormat="1" applyFont="1" applyFill="1" applyBorder="1" applyAlignment="1" applyProtection="1">
      <alignment vertical="center"/>
      <protection locked="0"/>
    </xf>
    <xf numFmtId="164" fontId="40" fillId="0" borderId="0" xfId="13" applyNumberFormat="1" applyFont="1" applyAlignment="1" applyProtection="1">
      <alignment horizontal="right" vertical="center"/>
      <protection locked="0"/>
    </xf>
    <xf numFmtId="0" fontId="39" fillId="0" borderId="0" xfId="9" applyFont="1"/>
    <xf numFmtId="170" fontId="39" fillId="0" borderId="0" xfId="9" applyNumberFormat="1" applyFont="1"/>
    <xf numFmtId="0" fontId="28" fillId="16" borderId="41" xfId="14" applyNumberFormat="1" applyFont="1" applyFill="1" applyBorder="1" applyAlignment="1" applyProtection="1">
      <alignment horizontal="right" vertical="center"/>
      <protection locked="0"/>
    </xf>
    <xf numFmtId="170" fontId="45" fillId="0" borderId="0" xfId="13" applyNumberFormat="1" applyFont="1" applyAlignment="1" applyProtection="1">
      <alignment horizontal="right" vertical="center"/>
      <protection locked="0"/>
    </xf>
    <xf numFmtId="0" fontId="28" fillId="16" borderId="41" xfId="13" applyFont="1" applyFill="1" applyBorder="1" applyAlignment="1" applyProtection="1">
      <alignment horizontal="right" vertical="center"/>
      <protection locked="0"/>
    </xf>
    <xf numFmtId="170" fontId="28" fillId="16" borderId="41" xfId="13" applyNumberFormat="1" applyFont="1" applyFill="1" applyBorder="1" applyAlignment="1" applyProtection="1">
      <alignment horizontal="right" vertical="center"/>
      <protection locked="0"/>
    </xf>
    <xf numFmtId="170" fontId="40" fillId="0" borderId="0" xfId="13" applyNumberFormat="1" applyFont="1" applyAlignment="1" applyProtection="1">
      <alignment vertical="center"/>
      <protection locked="0"/>
    </xf>
    <xf numFmtId="44" fontId="39" fillId="0" borderId="0" xfId="12" applyFont="1" applyAlignment="1" applyProtection="1">
      <alignment vertical="center"/>
      <protection locked="0"/>
    </xf>
    <xf numFmtId="170" fontId="28" fillId="16" borderId="41" xfId="13" applyNumberFormat="1" applyFont="1" applyFill="1" applyBorder="1" applyAlignment="1" applyProtection="1">
      <alignment vertical="center"/>
      <protection locked="0"/>
    </xf>
    <xf numFmtId="0" fontId="27" fillId="0" borderId="16" xfId="9" applyFont="1" applyBorder="1" applyAlignment="1" applyProtection="1">
      <alignment vertical="center"/>
      <protection locked="0"/>
    </xf>
    <xf numFmtId="0" fontId="27" fillId="0" borderId="20" xfId="9" applyFont="1" applyBorder="1" applyAlignment="1" applyProtection="1">
      <alignment vertical="center"/>
      <protection locked="0"/>
    </xf>
    <xf numFmtId="0" fontId="38" fillId="0" borderId="20" xfId="9" applyFont="1" applyBorder="1" applyAlignment="1" applyProtection="1">
      <alignment vertical="center"/>
      <protection locked="0"/>
    </xf>
    <xf numFmtId="44" fontId="28" fillId="16" borderId="48" xfId="6" applyFont="1" applyFill="1" applyBorder="1" applyAlignment="1" applyProtection="1">
      <alignment vertical="center"/>
      <protection locked="0"/>
    </xf>
    <xf numFmtId="0" fontId="28" fillId="0" borderId="0" xfId="9" applyFont="1" applyAlignment="1" applyProtection="1">
      <alignment vertical="center"/>
      <protection locked="0"/>
    </xf>
    <xf numFmtId="170" fontId="28" fillId="0" borderId="0" xfId="13" applyNumberFormat="1" applyFont="1" applyAlignment="1" applyProtection="1">
      <alignment vertical="center"/>
      <protection locked="0"/>
    </xf>
    <xf numFmtId="44" fontId="28" fillId="0" borderId="0" xfId="12" applyFont="1" applyAlignment="1" applyProtection="1">
      <alignment vertical="center"/>
      <protection locked="0"/>
    </xf>
    <xf numFmtId="0" fontId="32" fillId="0" borderId="0" xfId="9" applyFont="1" applyAlignment="1" applyProtection="1">
      <alignment vertical="center"/>
      <protection locked="0"/>
    </xf>
    <xf numFmtId="0" fontId="28" fillId="10" borderId="49" xfId="9" applyFont="1" applyFill="1" applyBorder="1" applyProtection="1">
      <protection locked="0"/>
    </xf>
    <xf numFmtId="0" fontId="28" fillId="10" borderId="50" xfId="9" applyFont="1" applyFill="1" applyBorder="1" applyProtection="1">
      <protection locked="0"/>
    </xf>
    <xf numFmtId="44" fontId="28" fillId="10" borderId="48" xfId="12" applyFont="1" applyFill="1" applyBorder="1" applyAlignment="1">
      <alignment vertical="center"/>
    </xf>
    <xf numFmtId="0" fontId="23" fillId="0" borderId="20" xfId="9" applyFont="1" applyBorder="1" applyAlignment="1" applyProtection="1">
      <alignment horizontal="left"/>
      <protection locked="0"/>
    </xf>
    <xf numFmtId="0" fontId="25" fillId="0" borderId="20" xfId="13" applyFont="1" applyBorder="1" applyProtection="1">
      <protection locked="0"/>
    </xf>
    <xf numFmtId="0" fontId="25" fillId="0" borderId="0" xfId="13" applyFont="1" applyProtection="1">
      <protection locked="0"/>
    </xf>
    <xf numFmtId="44" fontId="23" fillId="2" borderId="18" xfId="12" applyFont="1" applyFill="1" applyBorder="1" applyAlignment="1" applyProtection="1">
      <alignment horizontal="right" vertical="center"/>
      <protection locked="0"/>
    </xf>
    <xf numFmtId="44" fontId="23" fillId="2" borderId="14" xfId="12" applyFont="1" applyFill="1" applyBorder="1" applyAlignment="1" applyProtection="1">
      <alignment horizontal="right" vertical="center"/>
      <protection locked="0"/>
    </xf>
    <xf numFmtId="44" fontId="23" fillId="2" borderId="18" xfId="12" applyFont="1" applyFill="1" applyBorder="1" applyAlignment="1" applyProtection="1">
      <alignment horizontal="center" vertical="center"/>
      <protection locked="0"/>
    </xf>
    <xf numFmtId="44" fontId="23" fillId="2" borderId="19" xfId="12" applyFont="1" applyFill="1" applyBorder="1" applyAlignment="1" applyProtection="1">
      <alignment horizontal="center" vertical="center"/>
      <protection locked="0"/>
    </xf>
    <xf numFmtId="0" fontId="27" fillId="17" borderId="13" xfId="9" applyFont="1" applyFill="1" applyBorder="1" applyAlignment="1" applyProtection="1">
      <alignment vertical="center"/>
      <protection locked="0"/>
    </xf>
    <xf numFmtId="0" fontId="27" fillId="17" borderId="65" xfId="9" applyFont="1" applyFill="1" applyBorder="1" applyAlignment="1" applyProtection="1">
      <alignment vertical="center"/>
      <protection locked="0"/>
    </xf>
    <xf numFmtId="0" fontId="27" fillId="17" borderId="65" xfId="15" applyFont="1" applyFill="1" applyBorder="1" applyAlignment="1" applyProtection="1">
      <alignment horizontal="center" vertical="center" wrapText="1"/>
      <protection locked="0"/>
    </xf>
    <xf numFmtId="0" fontId="27" fillId="17" borderId="65" xfId="9" applyFont="1" applyFill="1" applyBorder="1" applyAlignment="1" applyProtection="1">
      <alignment horizontal="center" vertical="center" wrapText="1"/>
      <protection locked="0"/>
    </xf>
    <xf numFmtId="0" fontId="27" fillId="17" borderId="51" xfId="9" applyFont="1" applyFill="1" applyBorder="1" applyAlignment="1" applyProtection="1">
      <alignment horizontal="center" vertical="center" wrapText="1"/>
      <protection locked="0"/>
    </xf>
    <xf numFmtId="167" fontId="27" fillId="0" borderId="0" xfId="9" applyNumberFormat="1" applyFont="1" applyAlignment="1" applyProtection="1">
      <alignment horizontal="right"/>
      <protection locked="0"/>
    </xf>
    <xf numFmtId="0" fontId="27" fillId="0" borderId="0" xfId="9" applyFont="1" applyProtection="1">
      <protection locked="0"/>
    </xf>
    <xf numFmtId="5" fontId="28" fillId="0" borderId="66" xfId="15" applyNumberFormat="1" applyFont="1" applyBorder="1"/>
    <xf numFmtId="5" fontId="28" fillId="16" borderId="67" xfId="12" applyNumberFormat="1" applyFont="1" applyFill="1" applyBorder="1" applyProtection="1">
      <protection locked="0"/>
    </xf>
    <xf numFmtId="5" fontId="28" fillId="16" borderId="14" xfId="12" applyNumberFormat="1" applyFont="1" applyFill="1" applyBorder="1" applyProtection="1">
      <protection locked="0"/>
    </xf>
    <xf numFmtId="0" fontId="28" fillId="17" borderId="68" xfId="15" applyFont="1" applyFill="1" applyBorder="1" applyProtection="1">
      <protection locked="0"/>
    </xf>
    <xf numFmtId="0" fontId="28" fillId="16" borderId="69" xfId="12" applyNumberFormat="1" applyFont="1" applyFill="1" applyBorder="1" applyProtection="1">
      <protection locked="0"/>
    </xf>
    <xf numFmtId="0" fontId="28" fillId="16" borderId="0" xfId="12" applyNumberFormat="1" applyFont="1" applyFill="1" applyProtection="1">
      <protection locked="0"/>
    </xf>
    <xf numFmtId="0" fontId="28" fillId="17" borderId="71" xfId="13" applyFont="1" applyFill="1" applyBorder="1" applyAlignment="1" applyProtection="1">
      <alignment horizontal="right"/>
      <protection locked="0"/>
    </xf>
    <xf numFmtId="0" fontId="28" fillId="16" borderId="72" xfId="13" applyFont="1" applyFill="1" applyBorder="1" applyProtection="1">
      <protection locked="0"/>
    </xf>
    <xf numFmtId="0" fontId="28" fillId="16" borderId="54" xfId="13" applyFont="1" applyFill="1" applyBorder="1" applyProtection="1">
      <protection locked="0"/>
    </xf>
    <xf numFmtId="44" fontId="28" fillId="0" borderId="71" xfId="12" applyFont="1" applyBorder="1" applyAlignment="1" applyProtection="1">
      <alignment horizontal="right"/>
      <protection locked="0"/>
    </xf>
    <xf numFmtId="172" fontId="28" fillId="0" borderId="69" xfId="12" applyNumberFormat="1" applyFont="1" applyBorder="1" applyAlignment="1" applyProtection="1">
      <alignment horizontal="center"/>
      <protection locked="0"/>
    </xf>
    <xf numFmtId="172" fontId="28" fillId="0" borderId="55" xfId="12" applyNumberFormat="1" applyFont="1" applyBorder="1" applyProtection="1">
      <protection locked="0"/>
    </xf>
    <xf numFmtId="0" fontId="27" fillId="0" borderId="56" xfId="15" applyFont="1" applyBorder="1" applyAlignment="1" applyProtection="1">
      <alignment horizontal="center"/>
      <protection locked="0"/>
    </xf>
    <xf numFmtId="0" fontId="28" fillId="16" borderId="73" xfId="12" applyNumberFormat="1" applyFont="1" applyFill="1" applyBorder="1" applyProtection="1">
      <protection locked="0"/>
    </xf>
    <xf numFmtId="0" fontId="28" fillId="16" borderId="57" xfId="12" applyNumberFormat="1" applyFont="1" applyFill="1" applyBorder="1" applyProtection="1">
      <protection locked="0"/>
    </xf>
    <xf numFmtId="0" fontId="30" fillId="2" borderId="13" xfId="9" applyFont="1" applyFill="1" applyBorder="1" applyAlignment="1" applyProtection="1">
      <alignment vertical="center"/>
      <protection locked="0"/>
    </xf>
    <xf numFmtId="0" fontId="23" fillId="2" borderId="14" xfId="9" applyFont="1" applyFill="1" applyBorder="1" applyAlignment="1" applyProtection="1">
      <alignment vertical="center"/>
      <protection locked="0"/>
    </xf>
    <xf numFmtId="0" fontId="23" fillId="2" borderId="14" xfId="9" applyFont="1" applyFill="1" applyBorder="1" applyAlignment="1" applyProtection="1">
      <alignment horizontal="left" vertical="center"/>
      <protection locked="0"/>
    </xf>
    <xf numFmtId="0" fontId="23" fillId="2" borderId="14" xfId="9" applyFont="1" applyFill="1" applyBorder="1" applyAlignment="1" applyProtection="1">
      <alignment horizontal="center" vertical="center"/>
      <protection locked="0"/>
    </xf>
    <xf numFmtId="170" fontId="23" fillId="2" borderId="14" xfId="9" applyNumberFormat="1" applyFont="1" applyFill="1" applyBorder="1" applyAlignment="1" applyProtection="1">
      <alignment vertical="center"/>
      <protection locked="0"/>
    </xf>
    <xf numFmtId="166" fontId="23" fillId="2" borderId="14" xfId="9" applyNumberFormat="1" applyFont="1" applyFill="1" applyBorder="1" applyAlignment="1" applyProtection="1">
      <alignment vertical="center"/>
      <protection locked="0"/>
    </xf>
    <xf numFmtId="0" fontId="27" fillId="17" borderId="17" xfId="9" applyFont="1" applyFill="1" applyBorder="1" applyAlignment="1" applyProtection="1">
      <alignment vertical="center"/>
      <protection locked="0"/>
    </xf>
    <xf numFmtId="0" fontId="27" fillId="17" borderId="18" xfId="9" applyFont="1" applyFill="1" applyBorder="1" applyAlignment="1" applyProtection="1">
      <alignment vertical="center"/>
      <protection locked="0"/>
    </xf>
    <xf numFmtId="0" fontId="27" fillId="17" borderId="58" xfId="9" applyFont="1" applyFill="1" applyBorder="1" applyAlignment="1" applyProtection="1">
      <alignment horizontal="center" vertical="center"/>
      <protection locked="0"/>
    </xf>
    <xf numFmtId="0" fontId="27" fillId="17" borderId="43" xfId="9" applyFont="1" applyFill="1" applyBorder="1" applyAlignment="1" applyProtection="1">
      <alignment horizontal="center" vertical="center" wrapText="1"/>
      <protection locked="0"/>
    </xf>
    <xf numFmtId="0" fontId="27" fillId="0" borderId="32" xfId="9" applyFont="1" applyBorder="1" applyProtection="1">
      <protection locked="0"/>
    </xf>
    <xf numFmtId="0" fontId="27" fillId="0" borderId="46" xfId="9" applyFont="1" applyBorder="1" applyAlignment="1" applyProtection="1">
      <alignment horizontal="right" vertical="center"/>
      <protection locked="0"/>
    </xf>
    <xf numFmtId="170" fontId="28" fillId="18" borderId="59" xfId="9" applyNumberFormat="1" applyFont="1" applyFill="1" applyBorder="1" applyAlignment="1">
      <alignment horizontal="right" vertical="center" indent="1"/>
    </xf>
    <xf numFmtId="170" fontId="28" fillId="18" borderId="52" xfId="9" applyNumberFormat="1" applyFont="1" applyFill="1" applyBorder="1" applyAlignment="1">
      <alignment horizontal="right" vertical="center" indent="1"/>
    </xf>
    <xf numFmtId="170" fontId="28" fillId="0" borderId="52" xfId="9" applyNumberFormat="1" applyFont="1" applyBorder="1" applyAlignment="1">
      <alignment horizontal="right" vertical="center" indent="1"/>
    </xf>
    <xf numFmtId="164" fontId="28" fillId="0" borderId="59" xfId="9" applyNumberFormat="1" applyFont="1" applyBorder="1" applyAlignment="1">
      <alignment horizontal="right" vertical="center" indent="1"/>
    </xf>
    <xf numFmtId="164" fontId="28" fillId="0" borderId="53" xfId="9" applyNumberFormat="1" applyFont="1" applyBorder="1" applyAlignment="1">
      <alignment horizontal="right" vertical="center" indent="1"/>
    </xf>
    <xf numFmtId="170" fontId="28" fillId="0" borderId="53" xfId="9" applyNumberFormat="1" applyFont="1" applyBorder="1" applyAlignment="1">
      <alignment horizontal="right" vertical="center" indent="1"/>
    </xf>
    <xf numFmtId="170" fontId="28" fillId="0" borderId="46" xfId="9" applyNumberFormat="1" applyFont="1" applyBorder="1" applyAlignment="1">
      <alignment vertical="center"/>
    </xf>
    <xf numFmtId="164" fontId="28" fillId="0" borderId="46" xfId="9" applyNumberFormat="1" applyFont="1" applyBorder="1" applyAlignment="1">
      <alignment vertical="center"/>
    </xf>
    <xf numFmtId="0" fontId="39" fillId="0" borderId="37" xfId="9" applyFont="1" applyBorder="1" applyProtection="1">
      <protection locked="0"/>
    </xf>
    <xf numFmtId="0" fontId="46" fillId="0" borderId="16" xfId="9" applyFont="1" applyBorder="1" applyProtection="1">
      <protection locked="0"/>
    </xf>
    <xf numFmtId="170" fontId="27" fillId="0" borderId="60" xfId="9" applyNumberFormat="1" applyFont="1" applyBorder="1" applyAlignment="1" applyProtection="1">
      <alignment horizontal="right" vertical="center"/>
      <protection locked="0"/>
    </xf>
    <xf numFmtId="170" fontId="28" fillId="0" borderId="61" xfId="9" applyNumberFormat="1" applyFont="1" applyBorder="1" applyAlignment="1">
      <alignment horizontal="right" vertical="center" indent="1"/>
    </xf>
    <xf numFmtId="0" fontId="23" fillId="0" borderId="0" xfId="9" applyFont="1" applyAlignment="1" applyProtection="1">
      <alignment horizontal="center"/>
      <protection locked="0"/>
    </xf>
    <xf numFmtId="170" fontId="25" fillId="0" borderId="0" xfId="9" applyNumberFormat="1" applyFont="1" applyProtection="1">
      <protection locked="0"/>
    </xf>
    <xf numFmtId="166" fontId="25" fillId="0" borderId="0" xfId="9" applyNumberFormat="1" applyFont="1" applyProtection="1">
      <protection locked="0"/>
    </xf>
    <xf numFmtId="0" fontId="23" fillId="2" borderId="18" xfId="9" applyFont="1" applyFill="1" applyBorder="1" applyAlignment="1" applyProtection="1">
      <alignment horizontal="left" vertical="center"/>
      <protection locked="0"/>
    </xf>
    <xf numFmtId="0" fontId="23" fillId="2" borderId="18" xfId="9" applyFont="1" applyFill="1" applyBorder="1" applyAlignment="1" applyProtection="1">
      <alignment horizontal="center" vertical="center"/>
      <protection locked="0"/>
    </xf>
    <xf numFmtId="170" fontId="23" fillId="2" borderId="18" xfId="9" applyNumberFormat="1" applyFont="1" applyFill="1" applyBorder="1" applyAlignment="1" applyProtection="1">
      <alignment vertical="center"/>
      <protection locked="0"/>
    </xf>
    <xf numFmtId="166" fontId="23" fillId="2" borderId="18" xfId="9" applyNumberFormat="1" applyFont="1" applyFill="1" applyBorder="1" applyAlignment="1" applyProtection="1">
      <alignment vertical="center"/>
      <protection locked="0"/>
    </xf>
    <xf numFmtId="166" fontId="23" fillId="2" borderId="19" xfId="9" applyNumberFormat="1" applyFont="1" applyFill="1" applyBorder="1" applyAlignment="1" applyProtection="1">
      <alignment vertical="center"/>
      <protection locked="0"/>
    </xf>
    <xf numFmtId="0" fontId="27" fillId="17" borderId="58" xfId="9" applyFont="1" applyFill="1" applyBorder="1" applyAlignment="1" applyProtection="1">
      <alignment horizontal="center" vertical="center" wrapText="1"/>
      <protection locked="0"/>
    </xf>
    <xf numFmtId="0" fontId="27" fillId="17" borderId="44" xfId="9" applyFont="1" applyFill="1" applyBorder="1" applyAlignment="1" applyProtection="1">
      <alignment horizontal="center" vertical="center" wrapText="1"/>
      <protection locked="0"/>
    </xf>
    <xf numFmtId="0" fontId="28" fillId="0" borderId="0" xfId="9" applyFont="1" applyProtection="1">
      <protection locked="0"/>
    </xf>
    <xf numFmtId="0" fontId="28" fillId="0" borderId="13" xfId="9" applyFont="1" applyBorder="1" applyProtection="1">
      <protection locked="0"/>
    </xf>
    <xf numFmtId="172" fontId="28" fillId="0" borderId="62" xfId="9" applyNumberFormat="1" applyFont="1" applyBorder="1" applyAlignment="1">
      <alignment horizontal="left"/>
    </xf>
    <xf numFmtId="44" fontId="28" fillId="0" borderId="40" xfId="12" applyFont="1" applyBorder="1"/>
    <xf numFmtId="0" fontId="28" fillId="0" borderId="32" xfId="9" applyFont="1" applyBorder="1" applyProtection="1">
      <protection locked="0"/>
    </xf>
    <xf numFmtId="172" fontId="28" fillId="0" borderId="59" xfId="9" applyNumberFormat="1" applyFont="1" applyBorder="1" applyAlignment="1">
      <alignment horizontal="left"/>
    </xf>
    <xf numFmtId="44" fontId="28" fillId="0" borderId="41" xfId="12" applyFont="1" applyBorder="1"/>
    <xf numFmtId="172" fontId="28" fillId="0" borderId="59" xfId="9" applyNumberFormat="1" applyFont="1" applyBorder="1" applyAlignment="1">
      <alignment horizontal="center"/>
    </xf>
    <xf numFmtId="43" fontId="28" fillId="0" borderId="32" xfId="10" applyFont="1" applyBorder="1" applyProtection="1">
      <protection locked="0"/>
    </xf>
    <xf numFmtId="43" fontId="28" fillId="0" borderId="16" xfId="10" applyFont="1" applyBorder="1" applyProtection="1">
      <protection locked="0"/>
    </xf>
    <xf numFmtId="172" fontId="28" fillId="0" borderId="50" xfId="9" applyNumberFormat="1" applyFont="1" applyBorder="1" applyAlignment="1">
      <alignment horizontal="left"/>
    </xf>
    <xf numFmtId="44" fontId="28" fillId="0" borderId="48" xfId="12" applyFont="1" applyBorder="1"/>
    <xf numFmtId="0" fontId="23" fillId="0" borderId="0" xfId="9" applyFont="1" applyAlignment="1" applyProtection="1">
      <alignment horizontal="left"/>
      <protection locked="0"/>
    </xf>
    <xf numFmtId="172" fontId="25" fillId="0" borderId="0" xfId="9" applyNumberFormat="1" applyFont="1" applyAlignment="1" applyProtection="1">
      <alignment horizontal="center"/>
      <protection locked="0"/>
    </xf>
    <xf numFmtId="44" fontId="25" fillId="0" borderId="0" xfId="12" applyFont="1" applyProtection="1">
      <protection locked="0"/>
    </xf>
    <xf numFmtId="0" fontId="27" fillId="17" borderId="42" xfId="9" applyFont="1" applyFill="1" applyBorder="1" applyAlignment="1" applyProtection="1">
      <alignment vertical="center"/>
      <protection locked="0"/>
    </xf>
    <xf numFmtId="0" fontId="28" fillId="0" borderId="45" xfId="9" applyFont="1" applyBorder="1"/>
    <xf numFmtId="14" fontId="28" fillId="0" borderId="0" xfId="9" applyNumberFormat="1" applyFont="1"/>
    <xf numFmtId="44" fontId="28" fillId="0" borderId="59" xfId="10" applyNumberFormat="1" applyFont="1" applyBorder="1"/>
    <xf numFmtId="172" fontId="28" fillId="0" borderId="59" xfId="12" applyNumberFormat="1" applyFont="1" applyBorder="1"/>
    <xf numFmtId="172" fontId="28" fillId="0" borderId="53" xfId="12" applyNumberFormat="1" applyFont="1" applyBorder="1"/>
    <xf numFmtId="44" fontId="28" fillId="0" borderId="40" xfId="12" applyFont="1" applyBorder="1" applyAlignment="1">
      <alignment horizontal="center"/>
    </xf>
    <xf numFmtId="44" fontId="28" fillId="0" borderId="41" xfId="12" applyFont="1" applyBorder="1" applyAlignment="1">
      <alignment horizontal="center"/>
    </xf>
    <xf numFmtId="44" fontId="28" fillId="0" borderId="37" xfId="12" applyFont="1" applyBorder="1"/>
    <xf numFmtId="0" fontId="28" fillId="0" borderId="49" xfId="9" applyFont="1" applyBorder="1"/>
    <xf numFmtId="14" fontId="28" fillId="0" borderId="20" xfId="9" applyNumberFormat="1" applyFont="1" applyBorder="1"/>
    <xf numFmtId="44" fontId="28" fillId="0" borderId="50" xfId="10" applyNumberFormat="1" applyFont="1" applyBorder="1"/>
    <xf numFmtId="172" fontId="28" fillId="0" borderId="50" xfId="12" applyNumberFormat="1" applyFont="1" applyBorder="1"/>
    <xf numFmtId="172" fontId="28" fillId="0" borderId="61" xfId="12" applyNumberFormat="1" applyFont="1" applyBorder="1"/>
    <xf numFmtId="0" fontId="47" fillId="2" borderId="76" xfId="0" applyFont="1" applyFill="1" applyBorder="1" applyAlignment="1">
      <alignment horizontal="center" vertical="center" wrapText="1"/>
    </xf>
    <xf numFmtId="0" fontId="47" fillId="2" borderId="77" xfId="0" applyFont="1" applyFill="1" applyBorder="1" applyAlignment="1">
      <alignment horizontal="center" vertical="center" wrapText="1"/>
    </xf>
    <xf numFmtId="166" fontId="47" fillId="2" borderId="77" xfId="7" applyNumberFormat="1" applyFont="1" applyFill="1" applyBorder="1" applyAlignment="1">
      <alignment horizontal="center" vertical="center" wrapText="1"/>
    </xf>
    <xf numFmtId="0" fontId="47" fillId="2" borderId="77" xfId="6" applyNumberFormat="1" applyFont="1" applyFill="1" applyBorder="1" applyAlignment="1">
      <alignment horizontal="center" vertical="center" wrapText="1"/>
    </xf>
    <xf numFmtId="44" fontId="47" fillId="2" borderId="77" xfId="6" applyFont="1" applyFill="1" applyBorder="1" applyAlignment="1">
      <alignment horizontal="center" vertical="center" wrapText="1"/>
    </xf>
    <xf numFmtId="1" fontId="47" fillId="2" borderId="77" xfId="6" applyNumberFormat="1" applyFont="1" applyFill="1" applyBorder="1" applyAlignment="1">
      <alignment horizontal="center" vertical="center" wrapText="1"/>
    </xf>
    <xf numFmtId="14" fontId="47" fillId="2" borderId="77" xfId="6" applyNumberFormat="1" applyFont="1" applyFill="1" applyBorder="1" applyAlignment="1">
      <alignment horizontal="center" vertical="center" wrapText="1"/>
    </xf>
    <xf numFmtId="10" fontId="47" fillId="2" borderId="77" xfId="8" applyNumberFormat="1" applyFont="1" applyFill="1" applyBorder="1" applyAlignment="1">
      <alignment horizontal="center" vertical="center" wrapText="1"/>
    </xf>
    <xf numFmtId="1" fontId="47" fillId="2" borderId="0" xfId="8" applyNumberFormat="1" applyFont="1" applyFill="1" applyAlignment="1">
      <alignment horizontal="center" vertical="center" wrapText="1"/>
    </xf>
    <xf numFmtId="0" fontId="3" fillId="11" borderId="21" xfId="0" applyFont="1" applyFill="1" applyBorder="1" applyAlignment="1">
      <alignment horizontal="center" vertical="center" wrapText="1"/>
    </xf>
    <xf numFmtId="0" fontId="4" fillId="11" borderId="21" xfId="0" applyFont="1" applyFill="1" applyBorder="1" applyAlignment="1">
      <alignment horizontal="center" wrapText="1"/>
    </xf>
    <xf numFmtId="0" fontId="4" fillId="11" borderId="21" xfId="7" applyNumberFormat="1" applyFont="1" applyFill="1" applyBorder="1" applyAlignment="1">
      <alignment horizontal="center" wrapText="1"/>
    </xf>
    <xf numFmtId="166" fontId="4" fillId="11" borderId="21" xfId="7" applyNumberFormat="1" applyFont="1" applyFill="1" applyBorder="1" applyAlignment="1">
      <alignment horizontal="center" wrapText="1"/>
    </xf>
    <xf numFmtId="44" fontId="4" fillId="11" borderId="21" xfId="6" applyFont="1" applyFill="1" applyBorder="1" applyAlignment="1">
      <alignment horizontal="center" wrapText="1"/>
    </xf>
    <xf numFmtId="173" fontId="4" fillId="11" borderId="21" xfId="6" applyNumberFormat="1" applyFont="1" applyFill="1" applyBorder="1" applyAlignment="1">
      <alignment horizontal="center" wrapText="1"/>
    </xf>
    <xf numFmtId="1" fontId="4" fillId="11" borderId="21" xfId="6" applyNumberFormat="1" applyFont="1" applyFill="1" applyBorder="1" applyAlignment="1">
      <alignment horizontal="center" wrapText="1"/>
    </xf>
    <xf numFmtId="14" fontId="4" fillId="11" borderId="21" xfId="6" applyNumberFormat="1" applyFont="1" applyFill="1" applyBorder="1" applyAlignment="1">
      <alignment horizontal="center" wrapText="1"/>
    </xf>
    <xf numFmtId="164" fontId="4" fillId="11" borderId="21" xfId="6" applyNumberFormat="1" applyFont="1" applyFill="1" applyBorder="1" applyAlignment="1">
      <alignment horizontal="center" wrapText="1"/>
    </xf>
    <xf numFmtId="10" fontId="4" fillId="11" borderId="21" xfId="8" applyNumberFormat="1" applyFont="1" applyFill="1" applyBorder="1" applyAlignment="1">
      <alignment horizontal="center" wrapText="1"/>
    </xf>
    <xf numFmtId="0" fontId="4" fillId="11" borderId="2" xfId="7" applyNumberFormat="1" applyFont="1" applyFill="1" applyBorder="1" applyAlignment="1">
      <alignment horizontal="center" wrapText="1"/>
    </xf>
    <xf numFmtId="0" fontId="3" fillId="0" borderId="2" xfId="0" applyFont="1" applyBorder="1" applyAlignment="1">
      <alignment horizontal="center" vertical="center" wrapText="1"/>
    </xf>
    <xf numFmtId="0" fontId="3" fillId="0" borderId="2" xfId="0" applyFont="1" applyBorder="1" applyAlignment="1">
      <alignment horizontal="center" wrapText="1"/>
    </xf>
    <xf numFmtId="3" fontId="3" fillId="0" borderId="2" xfId="0" applyNumberFormat="1" applyFont="1" applyBorder="1" applyAlignment="1">
      <alignment horizontal="center" wrapText="1"/>
    </xf>
    <xf numFmtId="0" fontId="3" fillId="0" borderId="2" xfId="7" applyNumberFormat="1" applyFont="1" applyBorder="1" applyAlignment="1">
      <alignment horizontal="center" wrapText="1"/>
    </xf>
    <xf numFmtId="166" fontId="3" fillId="0" borderId="2" xfId="7" applyNumberFormat="1" applyFont="1" applyBorder="1" applyAlignment="1">
      <alignment horizontal="center" wrapText="1"/>
    </xf>
    <xf numFmtId="164" fontId="3" fillId="0" borderId="2" xfId="6" applyNumberFormat="1" applyFont="1" applyBorder="1" applyAlignment="1">
      <alignment horizontal="center" wrapText="1"/>
    </xf>
    <xf numFmtId="173" fontId="3" fillId="0" borderId="2" xfId="6" applyNumberFormat="1" applyFont="1" applyBorder="1" applyAlignment="1">
      <alignment horizontal="center" wrapText="1"/>
    </xf>
    <xf numFmtId="1" fontId="3" fillId="0" borderId="2" xfId="6" applyNumberFormat="1" applyFont="1" applyBorder="1" applyAlignment="1">
      <alignment horizontal="center" wrapText="1"/>
    </xf>
    <xf numFmtId="14" fontId="3" fillId="0" borderId="2" xfId="6" applyNumberFormat="1" applyFont="1" applyBorder="1" applyAlignment="1">
      <alignment horizontal="center" wrapText="1"/>
    </xf>
    <xf numFmtId="10" fontId="3" fillId="0" borderId="2" xfId="8" applyNumberFormat="1" applyFont="1" applyBorder="1" applyAlignment="1">
      <alignment horizontal="center" wrapText="1"/>
    </xf>
    <xf numFmtId="44" fontId="3" fillId="0" borderId="2" xfId="6" applyFont="1" applyBorder="1" applyAlignment="1">
      <alignment horizontal="center" wrapText="1"/>
    </xf>
    <xf numFmtId="0" fontId="3" fillId="0" borderId="21" xfId="0" applyFont="1" applyBorder="1" applyAlignment="1">
      <alignment horizontal="center" vertical="center" wrapText="1"/>
    </xf>
    <xf numFmtId="164" fontId="0" fillId="0" borderId="0" xfId="0" applyNumberFormat="1"/>
    <xf numFmtId="0" fontId="3" fillId="0" borderId="17" xfId="1" applyBorder="1" applyAlignment="1">
      <alignment horizontal="center" wrapText="1"/>
    </xf>
    <xf numFmtId="0" fontId="3" fillId="0" borderId="18" xfId="1" applyBorder="1" applyAlignment="1">
      <alignment horizontal="center" wrapText="1"/>
    </xf>
    <xf numFmtId="0" fontId="3" fillId="0" borderId="23" xfId="1" applyBorder="1" applyAlignment="1">
      <alignment horizontal="center" wrapText="1"/>
    </xf>
    <xf numFmtId="0" fontId="3" fillId="10" borderId="0" xfId="1" applyFill="1" applyAlignment="1">
      <alignment vertical="center" wrapText="1"/>
    </xf>
    <xf numFmtId="0" fontId="48" fillId="19" borderId="2" xfId="0" applyFont="1" applyFill="1" applyBorder="1"/>
    <xf numFmtId="8" fontId="48" fillId="0" borderId="2" xfId="0" applyNumberFormat="1" applyFont="1" applyBorder="1"/>
    <xf numFmtId="0" fontId="20" fillId="19" borderId="21" xfId="0" applyFont="1" applyFill="1" applyBorder="1"/>
    <xf numFmtId="0" fontId="20" fillId="19" borderId="22" xfId="0" applyFont="1" applyFill="1" applyBorder="1"/>
    <xf numFmtId="0" fontId="20" fillId="0" borderId="21" xfId="0" applyFont="1" applyBorder="1"/>
    <xf numFmtId="0" fontId="20" fillId="0" borderId="22" xfId="0" applyFont="1" applyBorder="1"/>
    <xf numFmtId="0" fontId="20" fillId="0" borderId="2" xfId="0" applyFont="1" applyBorder="1"/>
    <xf numFmtId="8" fontId="20" fillId="0" borderId="2" xfId="0" applyNumberFormat="1" applyFont="1" applyBorder="1"/>
    <xf numFmtId="8" fontId="49" fillId="0" borderId="2" xfId="0" applyNumberFormat="1" applyFont="1" applyBorder="1"/>
    <xf numFmtId="8" fontId="48" fillId="19" borderId="2" xfId="0" applyNumberFormat="1" applyFont="1" applyFill="1" applyBorder="1"/>
    <xf numFmtId="0" fontId="49" fillId="0" borderId="2" xfId="0" applyFont="1" applyBorder="1"/>
    <xf numFmtId="8" fontId="50" fillId="0" borderId="2" xfId="0" applyNumberFormat="1" applyFont="1" applyBorder="1"/>
    <xf numFmtId="8" fontId="49" fillId="19" borderId="2" xfId="0" applyNumberFormat="1" applyFont="1" applyFill="1" applyBorder="1"/>
    <xf numFmtId="0" fontId="48" fillId="19" borderId="2" xfId="0" applyFont="1" applyFill="1" applyBorder="1" applyAlignment="1">
      <alignment wrapText="1"/>
    </xf>
    <xf numFmtId="8" fontId="48" fillId="19" borderId="2" xfId="0" applyNumberFormat="1" applyFont="1" applyFill="1" applyBorder="1" applyAlignment="1">
      <alignment wrapText="1"/>
    </xf>
    <xf numFmtId="0" fontId="20" fillId="19" borderId="2" xfId="0" applyFont="1" applyFill="1" applyBorder="1"/>
    <xf numFmtId="164" fontId="20" fillId="0" borderId="2" xfId="0" applyNumberFormat="1" applyFont="1" applyBorder="1" applyAlignment="1">
      <alignment horizontal="right"/>
    </xf>
    <xf numFmtId="164" fontId="20" fillId="0" borderId="2" xfId="0" applyNumberFormat="1" applyFont="1" applyBorder="1" applyAlignment="1">
      <alignment horizontal="right" wrapText="1"/>
    </xf>
    <xf numFmtId="8" fontId="20" fillId="0" borderId="2" xfId="0" applyNumberFormat="1" applyFont="1" applyBorder="1" applyAlignment="1">
      <alignment wrapText="1"/>
    </xf>
    <xf numFmtId="8" fontId="20" fillId="0" borderId="2" xfId="0" applyNumberFormat="1" applyFont="1" applyBorder="1" applyAlignment="1">
      <alignment horizontal="right" wrapText="1"/>
    </xf>
    <xf numFmtId="8" fontId="20" fillId="0" borderId="2" xfId="0" applyNumberFormat="1" applyFont="1" applyBorder="1" applyAlignment="1">
      <alignment horizontal="right"/>
    </xf>
    <xf numFmtId="0" fontId="20" fillId="19" borderId="9" xfId="0" applyFont="1" applyFill="1" applyBorder="1"/>
    <xf numFmtId="0" fontId="0" fillId="0" borderId="9" xfId="0" applyBorder="1"/>
    <xf numFmtId="164" fontId="20" fillId="19" borderId="9" xfId="0" applyNumberFormat="1" applyFont="1" applyFill="1" applyBorder="1" applyAlignment="1">
      <alignment horizontal="right"/>
    </xf>
    <xf numFmtId="0" fontId="0" fillId="0" borderId="4" xfId="0" applyBorder="1"/>
    <xf numFmtId="0" fontId="0" fillId="0" borderId="6" xfId="0" applyBorder="1"/>
    <xf numFmtId="0" fontId="20" fillId="0" borderId="10" xfId="0" applyFont="1" applyBorder="1"/>
    <xf numFmtId="0" fontId="20" fillId="19" borderId="10" xfId="0" applyFont="1" applyFill="1" applyBorder="1"/>
    <xf numFmtId="0" fontId="0" fillId="0" borderId="10" xfId="0" applyBorder="1"/>
    <xf numFmtId="164" fontId="20" fillId="0" borderId="10" xfId="0" applyNumberFormat="1" applyFont="1" applyBorder="1" applyAlignment="1">
      <alignment horizontal="right" wrapText="1"/>
    </xf>
    <xf numFmtId="0" fontId="0" fillId="0" borderId="8" xfId="0" applyBorder="1"/>
    <xf numFmtId="0" fontId="2" fillId="2" borderId="78" xfId="0" applyFont="1" applyFill="1" applyBorder="1" applyAlignment="1">
      <alignment vertical="center" wrapText="1"/>
    </xf>
    <xf numFmtId="0" fontId="2" fillId="2" borderId="80" xfId="0" applyFont="1" applyFill="1" applyBorder="1" applyAlignment="1">
      <alignment wrapText="1"/>
    </xf>
    <xf numFmtId="0" fontId="2" fillId="2" borderId="81" xfId="0" applyFont="1" applyFill="1" applyBorder="1" applyAlignment="1">
      <alignment wrapText="1"/>
    </xf>
    <xf numFmtId="0" fontId="20" fillId="0" borderId="9" xfId="0" applyFont="1" applyBorder="1"/>
    <xf numFmtId="0" fontId="20" fillId="0" borderId="82" xfId="0" applyFont="1" applyBorder="1"/>
    <xf numFmtId="0" fontId="20" fillId="19" borderId="82" xfId="0" applyFont="1" applyFill="1" applyBorder="1"/>
    <xf numFmtId="8" fontId="20" fillId="0" borderId="9" xfId="0" applyNumberFormat="1" applyFont="1" applyBorder="1" applyAlignment="1">
      <alignment wrapText="1"/>
    </xf>
    <xf numFmtId="8" fontId="20" fillId="0" borderId="9" xfId="0" applyNumberFormat="1" applyFont="1" applyBorder="1" applyAlignment="1">
      <alignment horizontal="right" wrapText="1"/>
    </xf>
    <xf numFmtId="0" fontId="20" fillId="0" borderId="35" xfId="0" applyFont="1" applyBorder="1"/>
    <xf numFmtId="0" fontId="20" fillId="0" borderId="37" xfId="0" applyFont="1" applyBorder="1"/>
    <xf numFmtId="0" fontId="20" fillId="19" borderId="37" xfId="0" applyFont="1" applyFill="1" applyBorder="1"/>
    <xf numFmtId="8" fontId="20" fillId="0" borderId="12" xfId="0" applyNumberFormat="1" applyFont="1" applyBorder="1" applyAlignment="1">
      <alignment wrapText="1"/>
    </xf>
    <xf numFmtId="8" fontId="20" fillId="0" borderId="12" xfId="0" applyNumberFormat="1" applyFont="1" applyBorder="1" applyAlignment="1">
      <alignment horizontal="right" wrapText="1"/>
    </xf>
    <xf numFmtId="0" fontId="0" fillId="0" borderId="11" xfId="0" applyBorder="1"/>
    <xf numFmtId="8" fontId="20" fillId="0" borderId="10" xfId="0" applyNumberFormat="1" applyFont="1" applyBorder="1"/>
    <xf numFmtId="0" fontId="51" fillId="0" borderId="21" xfId="0" applyFont="1" applyBorder="1"/>
    <xf numFmtId="0" fontId="51" fillId="0" borderId="22" xfId="0" applyFont="1" applyBorder="1" applyAlignment="1">
      <alignment wrapText="1"/>
    </xf>
    <xf numFmtId="0" fontId="51" fillId="0" borderId="22" xfId="0" applyFont="1" applyBorder="1"/>
    <xf numFmtId="0" fontId="51" fillId="10" borderId="22" xfId="0" applyFont="1" applyFill="1" applyBorder="1"/>
    <xf numFmtId="0" fontId="51" fillId="0" borderId="20" xfId="0" applyFont="1" applyBorder="1"/>
    <xf numFmtId="8" fontId="51" fillId="0" borderId="83" xfId="0" applyNumberFormat="1" applyFont="1" applyBorder="1" applyAlignment="1">
      <alignment wrapText="1"/>
    </xf>
    <xf numFmtId="8" fontId="51" fillId="0" borderId="83" xfId="0" applyNumberFormat="1" applyFont="1" applyBorder="1"/>
    <xf numFmtId="0" fontId="51" fillId="0" borderId="83" xfId="0" applyFont="1" applyBorder="1" applyAlignment="1">
      <alignment wrapText="1"/>
    </xf>
    <xf numFmtId="164" fontId="3" fillId="0" borderId="38" xfId="1" applyNumberFormat="1" applyBorder="1" applyAlignment="1">
      <alignment horizontal="center" vertical="center" wrapText="1"/>
    </xf>
    <xf numFmtId="0" fontId="2" fillId="0" borderId="2" xfId="0" applyFont="1" applyBorder="1" applyAlignment="1">
      <alignment wrapText="1"/>
    </xf>
    <xf numFmtId="0" fontId="53" fillId="0" borderId="83" xfId="0" applyFont="1" applyBorder="1"/>
    <xf numFmtId="0" fontId="12" fillId="0" borderId="2" xfId="0" applyFont="1" applyBorder="1" applyAlignment="1">
      <alignment horizontal="center" vertical="center" wrapText="1"/>
    </xf>
    <xf numFmtId="0" fontId="0" fillId="0" borderId="35" xfId="0" applyBorder="1"/>
    <xf numFmtId="0" fontId="0" fillId="0" borderId="21" xfId="0" applyBorder="1"/>
    <xf numFmtId="0" fontId="0" fillId="15" borderId="36" xfId="0" applyFill="1" applyBorder="1" applyAlignment="1">
      <alignment horizontal="center" vertical="center" wrapText="1"/>
    </xf>
    <xf numFmtId="0" fontId="0" fillId="0" borderId="36" xfId="0" applyBorder="1"/>
    <xf numFmtId="0" fontId="0" fillId="0" borderId="5" xfId="0" applyBorder="1" applyAlignment="1">
      <alignment horizontal="center" vertical="center"/>
    </xf>
    <xf numFmtId="0" fontId="0" fillId="0" borderId="25" xfId="0" applyBorder="1"/>
    <xf numFmtId="0" fontId="0" fillId="0" borderId="26" xfId="0" applyBorder="1"/>
    <xf numFmtId="0" fontId="0" fillId="0" borderId="2" xfId="0" applyBorder="1" applyAlignment="1">
      <alignment horizontal="center" vertical="center"/>
    </xf>
    <xf numFmtId="0" fontId="0" fillId="0" borderId="2" xfId="0" quotePrefix="1" applyBorder="1" applyAlignment="1">
      <alignment horizontal="center" vertical="center"/>
    </xf>
    <xf numFmtId="0" fontId="3" fillId="0" borderId="2" xfId="1" applyBorder="1" applyAlignment="1">
      <alignment horizontal="left" wrapText="1"/>
    </xf>
    <xf numFmtId="0" fontId="0" fillId="0" borderId="18" xfId="0" applyBorder="1"/>
    <xf numFmtId="0" fontId="0" fillId="0" borderId="19" xfId="0" applyBorder="1"/>
    <xf numFmtId="0" fontId="3" fillId="0" borderId="2" xfId="1" applyBorder="1" applyAlignment="1">
      <alignment wrapText="1"/>
    </xf>
    <xf numFmtId="0" fontId="3" fillId="0" borderId="2" xfId="1" applyBorder="1" applyAlignment="1">
      <alignment horizontal="left" vertical="center" wrapText="1"/>
    </xf>
    <xf numFmtId="0" fontId="3" fillId="0" borderId="19" xfId="1" applyBorder="1" applyAlignment="1">
      <alignment wrapText="1"/>
    </xf>
    <xf numFmtId="0" fontId="4" fillId="0" borderId="6" xfId="1" applyFont="1" applyBorder="1" applyAlignment="1">
      <alignment horizontal="center" vertical="center" wrapText="1"/>
    </xf>
    <xf numFmtId="0" fontId="0" fillId="0" borderId="87" xfId="0" applyBorder="1"/>
    <xf numFmtId="0" fontId="3" fillId="0" borderId="2" xfId="1" applyBorder="1" applyAlignment="1">
      <alignment horizontal="center" vertical="center" wrapText="1"/>
    </xf>
    <xf numFmtId="0" fontId="3" fillId="10" borderId="2" xfId="1" applyFill="1" applyBorder="1" applyAlignment="1">
      <alignment horizontal="center" wrapText="1"/>
    </xf>
    <xf numFmtId="0" fontId="3" fillId="10" borderId="2" xfId="1" applyFill="1" applyBorder="1" applyAlignment="1">
      <alignment horizontal="left" wrapText="1"/>
    </xf>
    <xf numFmtId="0" fontId="3" fillId="10" borderId="2" xfId="1" applyFill="1" applyBorder="1" applyAlignment="1">
      <alignment horizontal="center" vertical="center" wrapText="1"/>
    </xf>
    <xf numFmtId="0" fontId="5" fillId="3" borderId="12" xfId="1" applyFont="1" applyFill="1" applyBorder="1" applyAlignment="1">
      <alignment horizontal="left" vertical="center" wrapText="1"/>
    </xf>
    <xf numFmtId="0" fontId="0" fillId="0" borderId="14" xfId="0" applyBorder="1"/>
    <xf numFmtId="0" fontId="0" fillId="0" borderId="15" xfId="0" applyBorder="1"/>
    <xf numFmtId="0" fontId="4" fillId="0" borderId="2" xfId="1" applyFont="1" applyBorder="1" applyAlignment="1">
      <alignment horizontal="left" vertical="center" wrapText="1"/>
    </xf>
    <xf numFmtId="164" fontId="4" fillId="0" borderId="2" xfId="1" applyNumberFormat="1" applyFont="1" applyBorder="1" applyAlignment="1">
      <alignment horizontal="left" vertical="center" wrapText="1"/>
    </xf>
    <xf numFmtId="164" fontId="4" fillId="10" borderId="2" xfId="1" applyNumberFormat="1" applyFont="1" applyFill="1" applyBorder="1" applyAlignment="1">
      <alignment horizontal="center" vertical="center" wrapText="1"/>
    </xf>
    <xf numFmtId="164" fontId="3" fillId="0" borderId="2" xfId="1" applyNumberFormat="1" applyBorder="1" applyAlignment="1">
      <alignment horizontal="center" wrapText="1"/>
    </xf>
    <xf numFmtId="0" fontId="3" fillId="0" borderId="10" xfId="1" applyBorder="1" applyAlignment="1">
      <alignment horizontal="left" vertical="center" wrapText="1"/>
    </xf>
    <xf numFmtId="0" fontId="0" fillId="0" borderId="84" xfId="0" applyBorder="1"/>
    <xf numFmtId="0" fontId="0" fillId="0" borderId="85" xfId="0" applyBorder="1"/>
    <xf numFmtId="164" fontId="3" fillId="0" borderId="2" xfId="1" applyNumberFormat="1" applyBorder="1" applyAlignment="1">
      <alignment horizontal="left" vertical="center" wrapText="1"/>
    </xf>
    <xf numFmtId="0" fontId="3" fillId="0" borderId="6" xfId="1" applyBorder="1" applyAlignment="1">
      <alignment horizontal="center" wrapText="1"/>
    </xf>
    <xf numFmtId="0" fontId="0" fillId="0" borderId="23" xfId="0" applyBorder="1"/>
    <xf numFmtId="0" fontId="22" fillId="10" borderId="2" xfId="1" applyFont="1" applyFill="1" applyBorder="1" applyAlignment="1">
      <alignment horizontal="left" vertical="center" wrapText="1"/>
    </xf>
    <xf numFmtId="3" fontId="3" fillId="0" borderId="2" xfId="1" applyNumberFormat="1" applyBorder="1" applyAlignment="1">
      <alignment horizontal="center" vertical="center" wrapText="1"/>
    </xf>
    <xf numFmtId="0" fontId="5" fillId="3" borderId="2" xfId="1" applyFont="1" applyFill="1" applyBorder="1" applyAlignment="1">
      <alignment horizontal="left" vertical="center" wrapText="1"/>
    </xf>
    <xf numFmtId="10" fontId="3" fillId="0" borderId="2" xfId="1" applyNumberFormat="1" applyBorder="1" applyAlignment="1">
      <alignment horizontal="center" wrapText="1"/>
    </xf>
    <xf numFmtId="0" fontId="3" fillId="0" borderId="6" xfId="1" applyBorder="1" applyAlignment="1">
      <alignment horizontal="center" vertical="top" wrapText="1"/>
    </xf>
    <xf numFmtId="0" fontId="0" fillId="0" borderId="38" xfId="0" applyBorder="1"/>
    <xf numFmtId="0" fontId="0" fillId="0" borderId="32" xfId="0" applyBorder="1"/>
    <xf numFmtId="0" fontId="0" fillId="0" borderId="16" xfId="0" applyBorder="1"/>
    <xf numFmtId="0" fontId="0" fillId="0" borderId="39" xfId="0" applyBorder="1"/>
    <xf numFmtId="0" fontId="4" fillId="10" borderId="2" xfId="1" applyFont="1" applyFill="1" applyBorder="1" applyAlignment="1">
      <alignment horizontal="center" vertical="center" wrapText="1"/>
    </xf>
    <xf numFmtId="0" fontId="4" fillId="10" borderId="2" xfId="1" applyFont="1" applyFill="1" applyBorder="1" applyAlignment="1">
      <alignment horizontal="center" wrapText="1"/>
    </xf>
    <xf numFmtId="0" fontId="5" fillId="2" borderId="2" xfId="1" applyFont="1" applyFill="1" applyBorder="1" applyAlignment="1">
      <alignment wrapText="1"/>
    </xf>
    <xf numFmtId="0" fontId="3" fillId="10" borderId="2" xfId="1" applyFill="1" applyBorder="1" applyAlignment="1">
      <alignment horizontal="left" vertical="center" wrapText="1"/>
    </xf>
    <xf numFmtId="0" fontId="3" fillId="10" borderId="36" xfId="1" applyFill="1" applyBorder="1" applyAlignment="1">
      <alignment horizontal="center" vertical="center" wrapText="1"/>
    </xf>
    <xf numFmtId="3" fontId="3" fillId="10" borderId="2" xfId="1" applyNumberFormat="1" applyFill="1" applyBorder="1" applyAlignment="1">
      <alignment horizontal="center" vertical="center" wrapText="1"/>
    </xf>
    <xf numFmtId="44" fontId="3" fillId="0" borderId="21" xfId="1" applyNumberFormat="1" applyBorder="1" applyAlignment="1">
      <alignment horizontal="center" vertical="center" wrapText="1"/>
    </xf>
    <xf numFmtId="0" fontId="0" fillId="0" borderId="22" xfId="0" applyBorder="1"/>
    <xf numFmtId="10" fontId="3" fillId="0" borderId="2" xfId="1" applyNumberFormat="1" applyBorder="1" applyAlignment="1">
      <alignment horizontal="center" vertical="center" wrapText="1"/>
    </xf>
    <xf numFmtId="0" fontId="4" fillId="0" borderId="12" xfId="1" applyFont="1" applyBorder="1" applyAlignment="1">
      <alignment horizontal="center" vertical="center" wrapText="1"/>
    </xf>
    <xf numFmtId="164" fontId="3" fillId="0" borderId="12" xfId="1" applyNumberFormat="1" applyBorder="1" applyAlignment="1">
      <alignment horizontal="center" vertical="center" wrapText="1"/>
    </xf>
    <xf numFmtId="0" fontId="4" fillId="0" borderId="2" xfId="1" applyFont="1" applyBorder="1" applyAlignment="1">
      <alignment horizontal="center" vertical="center" wrapText="1"/>
    </xf>
    <xf numFmtId="0" fontId="52" fillId="2" borderId="86" xfId="1" applyFont="1" applyFill="1" applyBorder="1" applyAlignment="1">
      <alignment horizontal="center" vertical="center" wrapText="1"/>
    </xf>
    <xf numFmtId="0" fontId="3" fillId="0" borderId="0" xfId="1" applyAlignment="1">
      <alignment wrapText="1"/>
    </xf>
    <xf numFmtId="164" fontId="3" fillId="10" borderId="2" xfId="1" applyNumberFormat="1" applyFill="1" applyBorder="1" applyAlignment="1">
      <alignment horizontal="center" wrapText="1"/>
    </xf>
    <xf numFmtId="0" fontId="1" fillId="0" borderId="12" xfId="0" applyFont="1" applyBorder="1" applyAlignment="1">
      <alignment horizontal="center" vertical="center" wrapText="1"/>
    </xf>
    <xf numFmtId="0" fontId="0" fillId="0" borderId="20" xfId="0" applyBorder="1"/>
    <xf numFmtId="0" fontId="5" fillId="3" borderId="2" xfId="1" applyFont="1" applyFill="1" applyBorder="1" applyAlignment="1">
      <alignment horizontal="center" vertical="center" wrapText="1"/>
    </xf>
    <xf numFmtId="0" fontId="5" fillId="2" borderId="6" xfId="1" applyFont="1" applyFill="1" applyBorder="1" applyAlignment="1">
      <alignment horizontal="center" wrapText="1"/>
    </xf>
    <xf numFmtId="49" fontId="3" fillId="0" borderId="2" xfId="1" applyNumberFormat="1" applyBorder="1" applyAlignment="1">
      <alignment horizontal="center" vertical="center" wrapText="1"/>
    </xf>
    <xf numFmtId="0" fontId="5" fillId="3" borderId="21" xfId="1" applyFont="1" applyFill="1" applyBorder="1" applyAlignment="1">
      <alignment horizontal="left" vertical="center" wrapText="1"/>
    </xf>
    <xf numFmtId="0" fontId="4" fillId="10" borderId="6" xfId="1" applyFont="1" applyFill="1" applyBorder="1" applyAlignment="1">
      <alignment horizontal="left" vertical="center" wrapText="1"/>
    </xf>
    <xf numFmtId="0" fontId="3" fillId="0" borderId="6" xfId="1" applyBorder="1" applyAlignment="1">
      <alignment horizontal="left" wrapText="1"/>
    </xf>
    <xf numFmtId="0" fontId="1" fillId="4" borderId="2" xfId="0" applyFont="1" applyFill="1" applyBorder="1" applyAlignment="1">
      <alignment horizontal="left" vertical="center" wrapText="1"/>
    </xf>
    <xf numFmtId="0" fontId="3" fillId="2" borderId="10" xfId="1" applyFill="1" applyBorder="1" applyAlignment="1">
      <alignment horizontal="center" vertical="center" wrapText="1"/>
    </xf>
    <xf numFmtId="14" fontId="3" fillId="0" borderId="2" xfId="1" applyNumberFormat="1" applyBorder="1" applyAlignment="1">
      <alignment horizontal="center" wrapText="1"/>
    </xf>
    <xf numFmtId="0" fontId="22" fillId="10" borderId="2" xfId="1" applyFont="1" applyFill="1" applyBorder="1" applyAlignment="1">
      <alignment horizontal="center" wrapText="1"/>
    </xf>
    <xf numFmtId="0" fontId="3" fillId="0" borderId="11" xfId="1" applyBorder="1" applyAlignment="1">
      <alignment horizontal="left" vertical="top" wrapText="1"/>
    </xf>
    <xf numFmtId="0" fontId="4" fillId="10" borderId="6" xfId="1" applyFont="1" applyFill="1" applyBorder="1" applyAlignment="1">
      <alignment horizontal="center" wrapText="1"/>
    </xf>
    <xf numFmtId="0" fontId="4" fillId="0" borderId="17" xfId="1" applyFont="1" applyBorder="1" applyAlignment="1">
      <alignment horizontal="left" vertical="center" wrapText="1"/>
    </xf>
    <xf numFmtId="0" fontId="3" fillId="0" borderId="10" xfId="1" applyBorder="1" applyAlignment="1">
      <alignment horizontal="left" vertical="top" wrapText="1"/>
    </xf>
    <xf numFmtId="0" fontId="5" fillId="0" borderId="6" xfId="1" applyFont="1" applyBorder="1" applyAlignment="1">
      <alignment horizontal="center" wrapText="1"/>
    </xf>
    <xf numFmtId="0" fontId="3" fillId="0" borderId="2" xfId="1" applyBorder="1" applyAlignment="1">
      <alignment horizontal="center" vertical="top" wrapText="1"/>
    </xf>
    <xf numFmtId="0" fontId="0" fillId="0" borderId="37" xfId="0" applyBorder="1"/>
    <xf numFmtId="0" fontId="4" fillId="0" borderId="16" xfId="1" applyFont="1" applyBorder="1" applyAlignment="1">
      <alignment horizontal="center" vertical="center" wrapText="1"/>
    </xf>
    <xf numFmtId="0" fontId="3" fillId="0" borderId="2" xfId="1" applyBorder="1" applyAlignment="1">
      <alignment horizontal="center" wrapText="1"/>
    </xf>
    <xf numFmtId="0" fontId="3" fillId="10" borderId="2" xfId="1" applyFill="1" applyBorder="1" applyAlignment="1">
      <alignment horizontal="left" vertical="top" wrapText="1"/>
    </xf>
    <xf numFmtId="0" fontId="4" fillId="0" borderId="0" xfId="1" applyFont="1" applyAlignment="1">
      <alignment horizontal="center" vertical="center" wrapText="1"/>
    </xf>
    <xf numFmtId="0" fontId="2" fillId="2" borderId="2" xfId="0" applyFont="1" applyFill="1" applyBorder="1" applyAlignment="1">
      <alignment horizontal="center"/>
    </xf>
    <xf numFmtId="172" fontId="28" fillId="0" borderId="59" xfId="12" applyNumberFormat="1" applyFont="1" applyBorder="1"/>
    <xf numFmtId="0" fontId="0" fillId="0" borderId="46" xfId="0" applyBorder="1"/>
    <xf numFmtId="172" fontId="28" fillId="0" borderId="59" xfId="16" applyNumberFormat="1" applyFont="1" applyBorder="1"/>
    <xf numFmtId="172" fontId="28" fillId="0" borderId="59" xfId="9" applyNumberFormat="1" applyFont="1" applyBorder="1" applyAlignment="1">
      <alignment horizontal="center"/>
    </xf>
    <xf numFmtId="170" fontId="28" fillId="0" borderId="48" xfId="9" applyNumberFormat="1" applyFont="1" applyBorder="1" applyAlignment="1">
      <alignment horizontal="right" vertical="center" indent="1"/>
    </xf>
    <xf numFmtId="0" fontId="37" fillId="0" borderId="13" xfId="9" applyFont="1" applyBorder="1" applyAlignment="1" applyProtection="1">
      <alignment horizontal="left"/>
      <protection locked="0"/>
    </xf>
    <xf numFmtId="0" fontId="0" fillId="0" borderId="14" xfId="0" applyBorder="1" applyProtection="1">
      <protection locked="0"/>
    </xf>
    <xf numFmtId="0" fontId="37" fillId="0" borderId="32" xfId="9" applyFont="1" applyBorder="1" applyAlignment="1" applyProtection="1">
      <alignment horizontal="left" vertical="center"/>
      <protection locked="0"/>
    </xf>
    <xf numFmtId="0" fontId="0" fillId="0" borderId="0" xfId="0" applyProtection="1">
      <protection locked="0"/>
    </xf>
    <xf numFmtId="170" fontId="28" fillId="0" borderId="62" xfId="9" applyNumberFormat="1" applyFont="1" applyBorder="1" applyAlignment="1">
      <alignment horizontal="center" vertical="center"/>
    </xf>
    <xf numFmtId="0" fontId="0" fillId="0" borderId="63" xfId="0" applyBorder="1"/>
    <xf numFmtId="170" fontId="28" fillId="0" borderId="59" xfId="9" applyNumberFormat="1" applyFont="1" applyBorder="1" applyAlignment="1">
      <alignment horizontal="right" vertical="center" indent="1"/>
    </xf>
    <xf numFmtId="0" fontId="27" fillId="17" borderId="58" xfId="9" applyFont="1" applyFill="1" applyBorder="1" applyAlignment="1" applyProtection="1">
      <alignment horizontal="center" vertical="center" wrapText="1"/>
      <protection locked="0"/>
    </xf>
    <xf numFmtId="0" fontId="0" fillId="0" borderId="43" xfId="0" applyBorder="1" applyProtection="1">
      <protection locked="0"/>
    </xf>
    <xf numFmtId="0" fontId="28" fillId="0" borderId="46" xfId="9" applyFont="1" applyBorder="1" applyAlignment="1" applyProtection="1">
      <alignment horizontal="center"/>
      <protection locked="0"/>
    </xf>
    <xf numFmtId="0" fontId="0" fillId="0" borderId="46" xfId="0" applyBorder="1" applyProtection="1">
      <protection locked="0"/>
    </xf>
    <xf numFmtId="166" fontId="23" fillId="2" borderId="19" xfId="9" applyNumberFormat="1" applyFont="1" applyFill="1" applyBorder="1" applyAlignment="1" applyProtection="1">
      <alignment horizontal="center" vertical="center"/>
      <protection locked="0"/>
    </xf>
    <xf numFmtId="0" fontId="0" fillId="0" borderId="18" xfId="0" applyBorder="1" applyProtection="1">
      <protection locked="0"/>
    </xf>
    <xf numFmtId="0" fontId="0" fillId="0" borderId="19" xfId="0" applyBorder="1" applyProtection="1">
      <protection locked="0"/>
    </xf>
    <xf numFmtId="0" fontId="27" fillId="0" borderId="45" xfId="15" applyFont="1" applyBorder="1" applyAlignment="1" applyProtection="1">
      <alignment horizontal="right"/>
      <protection locked="0"/>
    </xf>
    <xf numFmtId="172" fontId="28" fillId="0" borderId="62" xfId="16" applyNumberFormat="1" applyFont="1" applyBorder="1"/>
    <xf numFmtId="172" fontId="28" fillId="0" borderId="62" xfId="12" applyNumberFormat="1" applyFont="1" applyBorder="1"/>
    <xf numFmtId="0" fontId="28" fillId="0" borderId="57" xfId="15" applyFont="1" applyBorder="1" applyAlignment="1" applyProtection="1">
      <alignment horizontal="right"/>
      <protection locked="0"/>
    </xf>
    <xf numFmtId="0" fontId="0" fillId="0" borderId="57" xfId="0" applyBorder="1" applyProtection="1">
      <protection locked="0"/>
    </xf>
    <xf numFmtId="0" fontId="27" fillId="0" borderId="92" xfId="15" applyFont="1" applyBorder="1" applyAlignment="1" applyProtection="1">
      <alignment horizontal="right"/>
      <protection locked="0"/>
    </xf>
    <xf numFmtId="0" fontId="0" fillId="0" borderId="64" xfId="0" applyBorder="1" applyProtection="1">
      <protection locked="0"/>
    </xf>
    <xf numFmtId="0" fontId="27" fillId="17" borderId="44" xfId="9" applyFont="1" applyFill="1" applyBorder="1" applyAlignment="1" applyProtection="1">
      <alignment horizontal="center" vertical="center"/>
      <protection locked="0"/>
    </xf>
    <xf numFmtId="172" fontId="28" fillId="0" borderId="62" xfId="9" applyNumberFormat="1" applyFont="1" applyBorder="1" applyAlignment="1">
      <alignment horizontal="center"/>
    </xf>
    <xf numFmtId="172" fontId="28" fillId="0" borderId="50" xfId="9" applyNumberFormat="1" applyFont="1" applyBorder="1" applyAlignment="1">
      <alignment horizontal="center"/>
    </xf>
    <xf numFmtId="0" fontId="0" fillId="0" borderId="60" xfId="0" applyBorder="1"/>
    <xf numFmtId="172" fontId="28" fillId="0" borderId="50" xfId="12" applyNumberFormat="1" applyFont="1" applyBorder="1"/>
    <xf numFmtId="0" fontId="28" fillId="0" borderId="63" xfId="9" applyFont="1" applyBorder="1" applyAlignment="1" applyProtection="1">
      <alignment horizontal="center"/>
      <protection locked="0"/>
    </xf>
    <xf numFmtId="0" fontId="0" fillId="0" borderId="63" xfId="0" applyBorder="1" applyProtection="1">
      <protection locked="0"/>
    </xf>
    <xf numFmtId="0" fontId="24" fillId="16" borderId="2" xfId="9" applyFont="1" applyFill="1" applyBorder="1" applyAlignment="1" applyProtection="1">
      <alignment horizontal="center" vertical="center"/>
      <protection locked="0"/>
    </xf>
    <xf numFmtId="170" fontId="28" fillId="0" borderId="41" xfId="9" applyNumberFormat="1" applyFont="1" applyBorder="1" applyAlignment="1">
      <alignment horizontal="right" vertical="center" indent="1"/>
    </xf>
    <xf numFmtId="0" fontId="39" fillId="0" borderId="0" xfId="9" applyFont="1" applyProtection="1">
      <protection locked="0"/>
    </xf>
    <xf numFmtId="170" fontId="28" fillId="0" borderId="90" xfId="9" applyNumberFormat="1" applyFont="1" applyBorder="1" applyAlignment="1">
      <alignment horizontal="center" vertical="center"/>
    </xf>
    <xf numFmtId="0" fontId="0" fillId="0" borderId="70" xfId="0" applyBorder="1"/>
    <xf numFmtId="0" fontId="0" fillId="0" borderId="75" xfId="0" applyBorder="1"/>
    <xf numFmtId="170" fontId="28" fillId="0" borderId="62" xfId="9" applyNumberFormat="1" applyFont="1" applyBorder="1" applyAlignment="1">
      <alignment horizontal="right" vertical="center" indent="1"/>
    </xf>
    <xf numFmtId="44" fontId="23" fillId="2" borderId="18" xfId="12" applyFont="1" applyFill="1" applyBorder="1" applyAlignment="1" applyProtection="1">
      <alignment horizontal="center" vertical="center"/>
      <protection locked="0"/>
    </xf>
    <xf numFmtId="44" fontId="23" fillId="2" borderId="18" xfId="12" applyFont="1" applyFill="1" applyBorder="1" applyAlignment="1" applyProtection="1">
      <alignment vertical="center"/>
      <protection locked="0"/>
    </xf>
    <xf numFmtId="44" fontId="29" fillId="16" borderId="2" xfId="9" applyNumberFormat="1" applyFont="1" applyFill="1" applyBorder="1" applyAlignment="1" applyProtection="1">
      <alignment horizontal="center" vertical="center" wrapText="1"/>
      <protection locked="0"/>
    </xf>
    <xf numFmtId="164" fontId="28" fillId="0" borderId="59" xfId="9" applyNumberFormat="1" applyFont="1" applyBorder="1" applyAlignment="1">
      <alignment horizontal="right" vertical="center" indent="1"/>
    </xf>
    <xf numFmtId="170" fontId="28" fillId="0" borderId="50" xfId="9" applyNumberFormat="1" applyFont="1" applyBorder="1" applyAlignment="1">
      <alignment horizontal="center" vertical="center"/>
    </xf>
    <xf numFmtId="0" fontId="27" fillId="0" borderId="32" xfId="9" applyFont="1" applyBorder="1" applyAlignment="1" applyProtection="1">
      <alignment horizontal="left" vertical="center"/>
      <protection locked="0"/>
    </xf>
    <xf numFmtId="0" fontId="27" fillId="17" borderId="89" xfId="9" applyFont="1" applyFill="1" applyBorder="1" applyAlignment="1" applyProtection="1">
      <alignment horizontal="center" vertical="center" wrapText="1"/>
      <protection locked="0"/>
    </xf>
    <xf numFmtId="0" fontId="0" fillId="0" borderId="65" xfId="0" applyBorder="1" applyProtection="1">
      <protection locked="0"/>
    </xf>
    <xf numFmtId="0" fontId="27" fillId="17" borderId="90" xfId="9" applyFont="1" applyFill="1" applyBorder="1" applyAlignment="1" applyProtection="1">
      <alignment horizontal="center" vertical="center" wrapText="1"/>
      <protection locked="0"/>
    </xf>
    <xf numFmtId="0" fontId="28" fillId="0" borderId="32" xfId="9" applyFont="1" applyBorder="1" applyAlignment="1" applyProtection="1">
      <alignment horizontal="right" vertical="center"/>
      <protection locked="0"/>
    </xf>
    <xf numFmtId="172" fontId="28" fillId="0" borderId="50" xfId="16" applyNumberFormat="1" applyFont="1" applyBorder="1"/>
    <xf numFmtId="170" fontId="28" fillId="18" borderId="40" xfId="9" applyNumberFormat="1" applyFont="1" applyFill="1" applyBorder="1" applyAlignment="1">
      <alignment horizontal="right" vertical="center" indent="1"/>
    </xf>
    <xf numFmtId="164" fontId="28" fillId="0" borderId="41" xfId="9" applyNumberFormat="1" applyFont="1" applyBorder="1" applyAlignment="1">
      <alignment horizontal="right" vertical="center" indent="1"/>
    </xf>
    <xf numFmtId="0" fontId="27" fillId="0" borderId="91" xfId="15" applyFont="1" applyBorder="1" applyAlignment="1" applyProtection="1">
      <alignment horizontal="right"/>
      <protection locked="0"/>
    </xf>
    <xf numFmtId="5" fontId="28" fillId="0" borderId="88" xfId="9" applyNumberFormat="1" applyFont="1" applyBorder="1" applyAlignment="1">
      <alignment horizontal="center" vertical="center"/>
    </xf>
    <xf numFmtId="0" fontId="0" fillId="0" borderId="67" xfId="0" applyBorder="1"/>
    <xf numFmtId="0" fontId="0" fillId="0" borderId="53" xfId="0" applyBorder="1"/>
    <xf numFmtId="0" fontId="0" fillId="0" borderId="69" xfId="0" applyBorder="1"/>
    <xf numFmtId="0" fontId="0" fillId="0" borderId="61" xfId="0" applyBorder="1"/>
    <xf numFmtId="0" fontId="0" fillId="0" borderId="74" xfId="0" applyBorder="1"/>
    <xf numFmtId="170" fontId="28" fillId="16" borderId="89" xfId="9" applyNumberFormat="1" applyFont="1" applyFill="1" applyBorder="1" applyAlignment="1" applyProtection="1">
      <alignment horizontal="center" vertical="center"/>
      <protection locked="0"/>
    </xf>
    <xf numFmtId="0" fontId="0" fillId="0" borderId="67" xfId="0" applyBorder="1" applyProtection="1">
      <protection locked="0"/>
    </xf>
    <xf numFmtId="0" fontId="0" fillId="0" borderId="70" xfId="0" applyBorder="1" applyProtection="1">
      <protection locked="0"/>
    </xf>
    <xf numFmtId="0" fontId="0" fillId="0" borderId="69" xfId="0" applyBorder="1" applyProtection="1">
      <protection locked="0"/>
    </xf>
    <xf numFmtId="0" fontId="0" fillId="0" borderId="75" xfId="0" applyBorder="1" applyProtection="1">
      <protection locked="0"/>
    </xf>
    <xf numFmtId="0" fontId="0" fillId="0" borderId="74" xfId="0" applyBorder="1" applyProtection="1">
      <protection locked="0"/>
    </xf>
    <xf numFmtId="0" fontId="28" fillId="0" borderId="60" xfId="9" applyFont="1" applyBorder="1" applyAlignment="1" applyProtection="1">
      <alignment horizontal="center"/>
      <protection locked="0"/>
    </xf>
    <xf numFmtId="0" fontId="0" fillId="0" borderId="60" xfId="0" applyBorder="1" applyProtection="1">
      <protection locked="0"/>
    </xf>
    <xf numFmtId="44" fontId="28" fillId="16" borderId="2" xfId="9" applyNumberFormat="1" applyFont="1" applyFill="1" applyBorder="1" applyAlignment="1" applyProtection="1">
      <alignment horizontal="center" vertical="center" wrapText="1"/>
      <protection locked="0"/>
    </xf>
    <xf numFmtId="0" fontId="27" fillId="17" borderId="88" xfId="9" applyFont="1" applyFill="1" applyBorder="1" applyAlignment="1" applyProtection="1">
      <alignment horizontal="center" vertical="center" wrapText="1"/>
      <protection locked="0"/>
    </xf>
    <xf numFmtId="0" fontId="27" fillId="17" borderId="58" xfId="9" applyFont="1" applyFill="1" applyBorder="1" applyAlignment="1" applyProtection="1">
      <alignment horizontal="center" vertical="center"/>
      <protection locked="0"/>
    </xf>
    <xf numFmtId="170" fontId="28" fillId="0" borderId="50" xfId="9" applyNumberFormat="1" applyFont="1" applyBorder="1" applyAlignment="1">
      <alignment horizontal="right" vertical="center" indent="1"/>
    </xf>
    <xf numFmtId="0" fontId="0" fillId="0" borderId="2" xfId="0" applyBorder="1" applyAlignment="1">
      <alignment horizontal="left" vertical="top"/>
    </xf>
    <xf numFmtId="0" fontId="0" fillId="0" borderId="0" xfId="0"/>
    <xf numFmtId="0" fontId="0" fillId="0" borderId="0" xfId="0" applyAlignment="1">
      <alignment horizontal="center"/>
    </xf>
    <xf numFmtId="0" fontId="2" fillId="2" borderId="2" xfId="0" applyFont="1" applyFill="1" applyBorder="1" applyAlignment="1">
      <alignment horizontal="left"/>
    </xf>
    <xf numFmtId="0" fontId="1" fillId="0" borderId="0" xfId="0" applyFont="1" applyAlignment="1">
      <alignment horizontal="center"/>
    </xf>
    <xf numFmtId="0" fontId="0" fillId="0" borderId="2" xfId="0" applyBorder="1" applyAlignment="1">
      <alignment horizontal="center" vertical="top"/>
    </xf>
    <xf numFmtId="0" fontId="0" fillId="0" borderId="93" xfId="0" applyBorder="1" applyAlignment="1">
      <alignment horizontal="center" vertical="center" wrapText="1"/>
    </xf>
    <xf numFmtId="0" fontId="0" fillId="0" borderId="79" xfId="0" applyBorder="1"/>
    <xf numFmtId="0" fontId="0" fillId="0" borderId="78"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cellXfs>
  <cellStyles count="17">
    <cellStyle name="Bad" xfId="3" builtinId="27"/>
    <cellStyle name="Comma" xfId="7" builtinId="3"/>
    <cellStyle name="Comma 10" xfId="10" xr:uid="{00000000-0005-0000-0000-00000A000000}"/>
    <cellStyle name="Currency" xfId="6" builtinId="4"/>
    <cellStyle name="Currency 10" xfId="14" xr:uid="{00000000-0005-0000-0000-00000E000000}"/>
    <cellStyle name="Currency 5" xfId="12" xr:uid="{00000000-0005-0000-0000-00000C000000}"/>
    <cellStyle name="Currency 6 2 2" xfId="16" xr:uid="{00000000-0005-0000-0000-000010000000}"/>
    <cellStyle name="Good" xfId="2" builtinId="26"/>
    <cellStyle name="Input" xfId="5" builtinId="20"/>
    <cellStyle name="Neutral" xfId="4" builtinId="28"/>
    <cellStyle name="Normal" xfId="0" builtinId="0"/>
    <cellStyle name="Normal 10" xfId="11" xr:uid="{00000000-0005-0000-0000-00000B000000}"/>
    <cellStyle name="Normal 2" xfId="1" xr:uid="{00000000-0005-0000-0000-000001000000}"/>
    <cellStyle name="Normal 3 2 2 2" xfId="9" xr:uid="{00000000-0005-0000-0000-000009000000}"/>
    <cellStyle name="Normal 4 2" xfId="15" xr:uid="{00000000-0005-0000-0000-00000F000000}"/>
    <cellStyle name="Percent" xfId="8" builtinId="5"/>
    <cellStyle name="Percent 10" xfId="13" xr:uid="{00000000-0005-0000-0000-00000D000000}"/>
  </cellStyles>
  <dxfs count="63">
    <dxf>
      <font>
        <color theme="0"/>
      </font>
    </dxf>
    <dxf>
      <font>
        <color theme="0"/>
      </font>
    </dxf>
    <dxf>
      <font>
        <color theme="0"/>
      </font>
    </dxf>
    <dxf>
      <font>
        <color theme="0"/>
      </font>
    </dxf>
    <dxf>
      <font>
        <color theme="0"/>
      </font>
    </dxf>
    <dxf>
      <fill>
        <patternFill>
          <bgColor rgb="FFFFFFCD"/>
        </patternFill>
      </fill>
    </dxf>
    <dxf>
      <font>
        <color theme="0"/>
      </font>
    </dxf>
    <dxf>
      <font>
        <color theme="0"/>
      </font>
    </dxf>
    <dxf>
      <font>
        <color theme="0"/>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M35"/>
  <sheetViews>
    <sheetView showGridLines="0" zoomScale="85" zoomScaleNormal="85" workbookViewId="0">
      <selection activeCell="B2" sqref="B2"/>
    </sheetView>
  </sheetViews>
  <sheetFormatPr defaultRowHeight="15"/>
  <cols>
    <col min="1" max="1" width="13.42578125" customWidth="1"/>
    <col min="2" max="2" width="25.140625" customWidth="1"/>
    <col min="3" max="3" width="56.140625" customWidth="1"/>
    <col min="4" max="4" width="26.7109375" customWidth="1"/>
    <col min="5" max="5" width="33.5703125" customWidth="1"/>
    <col min="6" max="6" width="14.7109375" customWidth="1"/>
    <col min="7" max="7" width="29.28515625" customWidth="1"/>
    <col min="8" max="8" width="32.5703125" customWidth="1"/>
    <col min="9" max="9" width="22.7109375" customWidth="1"/>
    <col min="10" max="10" width="12.42578125" customWidth="1"/>
    <col min="11" max="11" width="47.7109375" customWidth="1"/>
    <col min="12" max="12" width="41.42578125" customWidth="1"/>
    <col min="13" max="13" width="18.7109375" customWidth="1"/>
    <col min="14" max="14" width="14.42578125" customWidth="1"/>
    <col min="16" max="16" width="27.7109375" customWidth="1"/>
  </cols>
  <sheetData>
    <row r="1" spans="1:13">
      <c r="B1" s="88" t="s">
        <v>0</v>
      </c>
      <c r="C1" s="22"/>
      <c r="D1" s="128" t="s">
        <v>1</v>
      </c>
    </row>
    <row r="2" spans="1:13" ht="32.450000000000003" customHeight="1">
      <c r="B2" s="104" t="s">
        <v>2</v>
      </c>
      <c r="C2" s="22"/>
      <c r="D2" s="129" t="s">
        <v>1</v>
      </c>
    </row>
    <row r="3" spans="1:13" ht="43.5" customHeight="1">
      <c r="B3" s="98" t="s">
        <v>3</v>
      </c>
      <c r="C3" s="105"/>
      <c r="D3" s="127" t="s">
        <v>1</v>
      </c>
    </row>
    <row r="4" spans="1:13" ht="32.450000000000003" customHeight="1">
      <c r="B4" s="98" t="s">
        <v>4</v>
      </c>
      <c r="C4" s="96"/>
      <c r="D4" s="129" t="s">
        <v>1</v>
      </c>
    </row>
    <row r="5" spans="1:13" ht="65.099999999999994" customHeight="1" thickBot="1">
      <c r="B5" s="95" t="s">
        <v>5</v>
      </c>
      <c r="C5" s="97" t="s">
        <v>6</v>
      </c>
      <c r="D5" s="127" t="s">
        <v>1</v>
      </c>
    </row>
    <row r="6" spans="1:13" ht="45" customHeight="1">
      <c r="B6" s="86" t="s">
        <v>7</v>
      </c>
      <c r="C6" s="87" t="s">
        <v>8</v>
      </c>
      <c r="D6" s="41" t="s">
        <v>9</v>
      </c>
      <c r="E6" s="42" t="s">
        <v>10</v>
      </c>
      <c r="F6" s="41" t="s">
        <v>11</v>
      </c>
      <c r="G6" s="41" t="s">
        <v>12</v>
      </c>
      <c r="H6" s="41" t="s">
        <v>13</v>
      </c>
      <c r="I6" s="41" t="s">
        <v>14</v>
      </c>
      <c r="J6" s="41" t="s">
        <v>15</v>
      </c>
      <c r="K6" s="40" t="s">
        <v>16</v>
      </c>
      <c r="L6" s="72" t="s">
        <v>17</v>
      </c>
      <c r="M6" s="422" t="s">
        <v>18</v>
      </c>
    </row>
    <row r="7" spans="1:13">
      <c r="A7" s="127"/>
      <c r="B7" s="427" t="s">
        <v>19</v>
      </c>
      <c r="C7" s="430" t="s">
        <v>20</v>
      </c>
      <c r="D7" s="36" t="s">
        <v>21</v>
      </c>
      <c r="E7" s="63"/>
      <c r="F7" s="39" t="s">
        <v>22</v>
      </c>
      <c r="G7" s="431" t="s">
        <v>23</v>
      </c>
      <c r="H7" s="38" t="s">
        <v>24</v>
      </c>
      <c r="I7" s="38"/>
      <c r="J7" s="430" t="str">
        <f>IF(E7&gt;=0.031%,"Green",IF(AND(E7&gt;=0.015%,E8&gt;=0.031%),"Yellow","Red"))</f>
        <v>Red</v>
      </c>
      <c r="K7" s="77"/>
      <c r="L7" s="100" t="s">
        <v>25</v>
      </c>
      <c r="M7" s="423"/>
    </row>
    <row r="8" spans="1:13">
      <c r="A8" s="127"/>
      <c r="B8" s="428"/>
      <c r="C8" s="424"/>
      <c r="D8" s="36" t="s">
        <v>26</v>
      </c>
      <c r="E8" s="63"/>
      <c r="F8" s="39" t="s">
        <v>22</v>
      </c>
      <c r="G8" s="424"/>
      <c r="H8" s="38" t="s">
        <v>27</v>
      </c>
      <c r="I8" s="38"/>
      <c r="J8" s="424"/>
      <c r="K8" s="77"/>
      <c r="L8" s="100" t="s">
        <v>25</v>
      </c>
      <c r="M8" s="423"/>
    </row>
    <row r="9" spans="1:13" ht="29.1" customHeight="1">
      <c r="A9" s="127"/>
      <c r="B9" s="428"/>
      <c r="C9" s="29" t="s">
        <v>28</v>
      </c>
      <c r="D9" s="36" t="s">
        <v>29</v>
      </c>
      <c r="E9" s="64"/>
      <c r="F9" s="36" t="s">
        <v>30</v>
      </c>
      <c r="G9" s="38" t="s">
        <v>31</v>
      </c>
      <c r="H9" s="38" t="s">
        <v>32</v>
      </c>
      <c r="I9" s="38"/>
      <c r="J9" s="36" t="str">
        <f>IF(E9&lt;=6,"Green",IF(E9&lt;10,"Yellow","Red"))</f>
        <v>Green</v>
      </c>
      <c r="K9" s="77"/>
      <c r="L9" s="100" t="s">
        <v>25</v>
      </c>
      <c r="M9" s="423"/>
    </row>
    <row r="10" spans="1:13" ht="29.1" customHeight="1">
      <c r="A10" s="129"/>
      <c r="B10" s="428"/>
      <c r="C10" s="29" t="s">
        <v>33</v>
      </c>
      <c r="D10" s="36" t="s">
        <v>29</v>
      </c>
      <c r="E10" s="64"/>
      <c r="F10" s="36" t="s">
        <v>34</v>
      </c>
      <c r="G10" s="38">
        <v>1500</v>
      </c>
      <c r="H10" s="38" t="s">
        <v>35</v>
      </c>
      <c r="I10" s="38"/>
      <c r="J10" s="36" t="str">
        <f>IF(E10=1500,"Green",IF(E10&gt;1000,"Yellow","Red"))</f>
        <v>Red</v>
      </c>
      <c r="K10" s="77"/>
      <c r="L10" s="100" t="s">
        <v>36</v>
      </c>
      <c r="M10" s="423"/>
    </row>
    <row r="11" spans="1:13">
      <c r="A11" s="127"/>
      <c r="B11" s="428"/>
      <c r="C11" s="36" t="s">
        <v>37</v>
      </c>
      <c r="D11" s="36" t="s">
        <v>29</v>
      </c>
      <c r="E11" s="64"/>
      <c r="F11" s="36" t="s">
        <v>38</v>
      </c>
      <c r="G11" s="36" t="s">
        <v>39</v>
      </c>
      <c r="H11" s="36" t="s">
        <v>40</v>
      </c>
      <c r="I11" s="36"/>
      <c r="J11" s="36" t="str">
        <f>IF(E11&lt;5001,"Green",IF(E11&gt;10000,"Red","Yellow"))</f>
        <v>Green</v>
      </c>
      <c r="K11" s="77"/>
      <c r="L11" s="101" t="s">
        <v>41</v>
      </c>
      <c r="M11" s="423"/>
    </row>
    <row r="12" spans="1:13" ht="27.6" customHeight="1">
      <c r="A12" s="129"/>
      <c r="B12" s="428"/>
      <c r="C12" s="36" t="s">
        <v>42</v>
      </c>
      <c r="D12" s="29" t="s">
        <v>43</v>
      </c>
      <c r="E12" s="64"/>
      <c r="F12" s="36" t="s">
        <v>34</v>
      </c>
      <c r="G12" s="36" t="s">
        <v>44</v>
      </c>
      <c r="H12" s="36" t="s">
        <v>45</v>
      </c>
      <c r="I12" s="36"/>
      <c r="J12" s="36" t="str">
        <f>IF(E12="Yes","Green","Yellow")</f>
        <v>Yellow</v>
      </c>
      <c r="K12" s="77"/>
      <c r="L12" s="101" t="s">
        <v>41</v>
      </c>
      <c r="M12" s="423"/>
    </row>
    <row r="13" spans="1:13">
      <c r="A13" s="129"/>
      <c r="B13" s="428"/>
      <c r="C13" s="36" t="s">
        <v>46</v>
      </c>
      <c r="D13" s="36" t="s">
        <v>29</v>
      </c>
      <c r="E13" s="65"/>
      <c r="F13" s="36" t="s">
        <v>47</v>
      </c>
      <c r="G13" s="36" t="s">
        <v>48</v>
      </c>
      <c r="H13" s="36" t="s">
        <v>49</v>
      </c>
      <c r="I13" s="36"/>
      <c r="J13" s="36" t="str">
        <f>IF(E13&lt;=200000,"Green","Yellow")</f>
        <v>Green</v>
      </c>
      <c r="K13" s="77"/>
      <c r="L13" s="101" t="s">
        <v>41</v>
      </c>
      <c r="M13" s="423"/>
    </row>
    <row r="14" spans="1:13" ht="29.1" customHeight="1">
      <c r="A14" s="127"/>
      <c r="B14" s="428"/>
      <c r="C14" s="29" t="s">
        <v>50</v>
      </c>
      <c r="D14" s="36" t="s">
        <v>51</v>
      </c>
      <c r="E14" s="65">
        <f>'CAR Approval Page 0'!L9</f>
        <v>0</v>
      </c>
      <c r="F14" s="36" t="s">
        <v>47</v>
      </c>
      <c r="G14" s="36" t="s">
        <v>52</v>
      </c>
      <c r="H14" s="36" t="s">
        <v>53</v>
      </c>
      <c r="I14" s="36" t="s">
        <v>54</v>
      </c>
      <c r="J14" s="36" t="str">
        <f>IF(E14&lt;=300000,"Green",IF(E14&lt;400000,"Yellow","Red"))</f>
        <v>Green</v>
      </c>
      <c r="K14" s="108" t="s">
        <v>55</v>
      </c>
      <c r="L14" s="101" t="s">
        <v>56</v>
      </c>
      <c r="M14" s="423"/>
    </row>
    <row r="15" spans="1:13">
      <c r="A15" s="127"/>
      <c r="B15" s="428"/>
      <c r="C15" s="29" t="s">
        <v>50</v>
      </c>
      <c r="D15" s="36" t="s">
        <v>57</v>
      </c>
      <c r="E15" s="65">
        <f>'CAR Approval Page 0'!M9</f>
        <v>0</v>
      </c>
      <c r="F15" s="36" t="s">
        <v>47</v>
      </c>
      <c r="G15" s="36" t="s">
        <v>29</v>
      </c>
      <c r="H15" s="36" t="s">
        <v>29</v>
      </c>
      <c r="I15" s="36" t="s">
        <v>29</v>
      </c>
      <c r="J15" s="36" t="s">
        <v>58</v>
      </c>
      <c r="K15" s="77"/>
      <c r="L15" s="101" t="s">
        <v>56</v>
      </c>
      <c r="M15" s="423"/>
    </row>
    <row r="16" spans="1:13">
      <c r="A16" s="129"/>
      <c r="B16" s="428"/>
      <c r="C16" s="29" t="s">
        <v>50</v>
      </c>
      <c r="D16" s="36" t="s">
        <v>59</v>
      </c>
      <c r="E16" s="132">
        <f>'CAR Approval Page 0'!L9-'Site Selection Scorecard'!C3</f>
        <v>0</v>
      </c>
      <c r="F16" s="36"/>
      <c r="G16" s="36" t="s">
        <v>29</v>
      </c>
      <c r="H16" s="36" t="s">
        <v>29</v>
      </c>
      <c r="I16" s="36" t="s">
        <v>29</v>
      </c>
      <c r="J16" s="36" t="s">
        <v>58</v>
      </c>
      <c r="K16" s="77"/>
      <c r="L16" s="101"/>
      <c r="M16" s="423"/>
    </row>
    <row r="17" spans="1:13">
      <c r="A17" s="129"/>
      <c r="B17" s="429"/>
      <c r="C17" s="29" t="s">
        <v>50</v>
      </c>
      <c r="D17" s="36" t="s">
        <v>60</v>
      </c>
      <c r="E17" s="132">
        <f>E15-C3</f>
        <v>0</v>
      </c>
      <c r="F17" s="36" t="s">
        <v>47</v>
      </c>
      <c r="G17" s="36" t="s">
        <v>29</v>
      </c>
      <c r="H17" s="36" t="s">
        <v>29</v>
      </c>
      <c r="I17" s="36" t="s">
        <v>29</v>
      </c>
      <c r="J17" s="36" t="s">
        <v>58</v>
      </c>
      <c r="K17" s="77"/>
      <c r="L17" s="101" t="s">
        <v>56</v>
      </c>
      <c r="M17" s="423"/>
    </row>
    <row r="18" spans="1:13" ht="44.1" customHeight="1">
      <c r="A18" s="425" t="s">
        <v>61</v>
      </c>
      <c r="B18" s="427" t="s">
        <v>62</v>
      </c>
      <c r="C18" s="131" t="s">
        <v>63</v>
      </c>
      <c r="D18" s="36" t="s">
        <v>29</v>
      </c>
      <c r="E18" s="64"/>
      <c r="F18" s="36" t="s">
        <v>34</v>
      </c>
      <c r="G18" s="29" t="s">
        <v>64</v>
      </c>
      <c r="H18" s="29" t="s">
        <v>65</v>
      </c>
      <c r="I18" s="29"/>
      <c r="J18" s="36" t="str">
        <f>IF(E18="&gt;= 1 functioning unisex stall (Shared or non-shared), no upgrade required that is ADA Compliant.","Green","Yellow")</f>
        <v>Yellow</v>
      </c>
      <c r="K18" s="77"/>
      <c r="L18" s="102" t="s">
        <v>66</v>
      </c>
      <c r="M18" s="423"/>
    </row>
    <row r="19" spans="1:13" ht="32.1" customHeight="1">
      <c r="A19" s="426"/>
      <c r="B19" s="428"/>
      <c r="C19" s="130" t="s">
        <v>67</v>
      </c>
      <c r="D19" s="36" t="s">
        <v>29</v>
      </c>
      <c r="E19" s="64"/>
      <c r="F19" s="36" t="s">
        <v>29</v>
      </c>
      <c r="G19" s="29" t="s">
        <v>68</v>
      </c>
      <c r="H19" s="29" t="s">
        <v>69</v>
      </c>
      <c r="I19" s="29"/>
      <c r="J19" s="36" t="str">
        <f>IF(E19&gt;=6,"Green","Yellow")</f>
        <v>Yellow</v>
      </c>
      <c r="K19" s="77"/>
      <c r="L19" s="102" t="s">
        <v>66</v>
      </c>
      <c r="M19" s="423"/>
    </row>
    <row r="20" spans="1:13">
      <c r="A20" s="426"/>
      <c r="B20" s="428"/>
      <c r="C20" s="131" t="s">
        <v>70</v>
      </c>
      <c r="D20" s="36" t="s">
        <v>29</v>
      </c>
      <c r="E20" s="64"/>
      <c r="F20" s="36" t="s">
        <v>34</v>
      </c>
      <c r="G20" s="29" t="s">
        <v>71</v>
      </c>
      <c r="H20" s="29" t="s">
        <v>72</v>
      </c>
      <c r="I20" s="29"/>
      <c r="J20" s="36" t="str">
        <f>IF(E20="&gt;=400 Amp 3 phase 480/208","Green","Yellow")</f>
        <v>Yellow</v>
      </c>
      <c r="K20" s="77"/>
      <c r="L20" s="102" t="s">
        <v>66</v>
      </c>
      <c r="M20" s="423"/>
    </row>
    <row r="21" spans="1:13" ht="29.1" customHeight="1">
      <c r="A21" s="426"/>
      <c r="B21" s="428"/>
      <c r="C21" s="131" t="s">
        <v>73</v>
      </c>
      <c r="D21" s="36" t="s">
        <v>29</v>
      </c>
      <c r="E21" s="64"/>
      <c r="F21" s="36" t="s">
        <v>34</v>
      </c>
      <c r="G21" s="29" t="s">
        <v>74</v>
      </c>
      <c r="H21" s="29" t="s">
        <v>75</v>
      </c>
      <c r="I21" s="29"/>
      <c r="J21" s="36" t="str">
        <f>IF(E21="Adequate; 10 tons per 5k sq feet ","Green","Yellow")</f>
        <v>Yellow</v>
      </c>
      <c r="K21" s="77"/>
      <c r="L21" s="102" t="s">
        <v>66</v>
      </c>
      <c r="M21" s="423"/>
    </row>
    <row r="22" spans="1:13" ht="29.45" customHeight="1">
      <c r="A22" s="426"/>
      <c r="B22" s="429"/>
      <c r="C22" s="131" t="s">
        <v>76</v>
      </c>
      <c r="D22" s="36" t="s">
        <v>29</v>
      </c>
      <c r="E22" s="64"/>
      <c r="F22" s="36" t="s">
        <v>34</v>
      </c>
      <c r="G22" s="29" t="s">
        <v>77</v>
      </c>
      <c r="H22" s="29" t="s">
        <v>78</v>
      </c>
      <c r="I22" s="29"/>
      <c r="J22" s="36" t="str">
        <f>IF(E22="Non Permeable","Green","Yellow")</f>
        <v>Yellow</v>
      </c>
      <c r="K22" s="77"/>
      <c r="L22" s="102" t="s">
        <v>66</v>
      </c>
      <c r="M22" s="423"/>
    </row>
    <row r="23" spans="1:13" ht="29.45" customHeight="1">
      <c r="A23" s="129"/>
      <c r="B23" s="85" t="s">
        <v>79</v>
      </c>
      <c r="C23" s="36" t="s">
        <v>80</v>
      </c>
      <c r="D23" s="36" t="s">
        <v>29</v>
      </c>
      <c r="E23" s="64"/>
      <c r="F23" s="36" t="s">
        <v>34</v>
      </c>
      <c r="G23" s="29" t="s">
        <v>45</v>
      </c>
      <c r="H23" s="29" t="s">
        <v>44</v>
      </c>
      <c r="I23" s="29"/>
      <c r="J23" s="36" t="str">
        <f>IF(E23="No","Green","Yellow")</f>
        <v>Yellow</v>
      </c>
      <c r="K23" s="77"/>
      <c r="L23" s="102" t="s">
        <v>66</v>
      </c>
      <c r="M23" s="423"/>
    </row>
    <row r="24" spans="1:13" ht="29.45" customHeight="1">
      <c r="A24" s="129"/>
      <c r="B24" s="85" t="s">
        <v>81</v>
      </c>
      <c r="C24" s="36" t="s">
        <v>82</v>
      </c>
      <c r="D24" s="36" t="s">
        <v>29</v>
      </c>
      <c r="E24" s="64"/>
      <c r="F24" s="36" t="s">
        <v>34</v>
      </c>
      <c r="G24" s="29" t="s">
        <v>83</v>
      </c>
      <c r="H24" s="29" t="s">
        <v>84</v>
      </c>
      <c r="I24" s="29" t="s">
        <v>85</v>
      </c>
      <c r="J24" s="36" t="str">
        <f>IF(E24="No Restrictions","Green",IF(E24="Partial Restrictions","Yellow","Red"))</f>
        <v>Red</v>
      </c>
      <c r="K24" s="77"/>
      <c r="L24" s="102" t="s">
        <v>1</v>
      </c>
      <c r="M24" s="423"/>
    </row>
    <row r="25" spans="1:13" ht="29.45" customHeight="1">
      <c r="A25" s="129"/>
      <c r="B25" s="85" t="s">
        <v>86</v>
      </c>
      <c r="C25" s="36" t="s">
        <v>87</v>
      </c>
      <c r="D25" s="36" t="s">
        <v>29</v>
      </c>
      <c r="E25" s="64"/>
      <c r="F25" s="36" t="s">
        <v>34</v>
      </c>
      <c r="G25" s="29" t="s">
        <v>29</v>
      </c>
      <c r="H25" s="29" t="s">
        <v>29</v>
      </c>
      <c r="I25" s="29" t="s">
        <v>29</v>
      </c>
      <c r="J25" s="36" t="str">
        <f>IF(E25="Moderate","Yellow",IF(E25="Low","Green","Red"))</f>
        <v>Red</v>
      </c>
      <c r="K25" s="77"/>
      <c r="L25" s="102" t="s">
        <v>1</v>
      </c>
      <c r="M25" s="423"/>
    </row>
    <row r="26" spans="1:13" ht="33.950000000000003" customHeight="1">
      <c r="A26" s="127"/>
      <c r="B26" s="37" t="s">
        <v>88</v>
      </c>
      <c r="C26" s="36" t="s">
        <v>89</v>
      </c>
      <c r="D26" s="36" t="s">
        <v>29</v>
      </c>
      <c r="E26" s="64"/>
      <c r="F26" s="36" t="s">
        <v>34</v>
      </c>
      <c r="G26" s="29" t="s">
        <v>90</v>
      </c>
      <c r="H26" s="29" t="s">
        <v>91</v>
      </c>
      <c r="I26" s="29" t="s">
        <v>92</v>
      </c>
      <c r="J26" s="36" t="str">
        <f>IF(E26="Likely Permits QC Use","Yellow",IF(E26="Zoning Permits","Green","Red"))</f>
        <v>Red</v>
      </c>
      <c r="K26" s="77"/>
      <c r="L26" s="100" t="s">
        <v>1</v>
      </c>
      <c r="M26" s="423"/>
    </row>
    <row r="27" spans="1:13" ht="29.1" customHeight="1">
      <c r="A27" s="127"/>
      <c r="B27" s="37" t="s">
        <v>93</v>
      </c>
      <c r="C27" s="36" t="s">
        <v>94</v>
      </c>
      <c r="D27" s="36" t="s">
        <v>29</v>
      </c>
      <c r="E27" s="64"/>
      <c r="F27" s="36" t="s">
        <v>34</v>
      </c>
      <c r="G27" s="29" t="s">
        <v>95</v>
      </c>
      <c r="H27" s="29" t="s">
        <v>96</v>
      </c>
      <c r="I27" s="29"/>
      <c r="J27" s="36" t="str">
        <f>IF(E27="Low Risk (no known/potential life safety issues)","Green","Yellow")</f>
        <v>Yellow</v>
      </c>
      <c r="K27" s="77"/>
      <c r="L27" s="100" t="s">
        <v>1</v>
      </c>
      <c r="M27" s="423"/>
    </row>
    <row r="28" spans="1:13" ht="43.5" customHeight="1">
      <c r="A28" s="129"/>
      <c r="B28" s="37" t="s">
        <v>97</v>
      </c>
      <c r="C28" s="36" t="s">
        <v>98</v>
      </c>
      <c r="D28" s="36" t="s">
        <v>29</v>
      </c>
      <c r="E28" s="64"/>
      <c r="F28" s="36" t="s">
        <v>34</v>
      </c>
      <c r="G28" s="29" t="s">
        <v>99</v>
      </c>
      <c r="H28" s="29" t="s">
        <v>100</v>
      </c>
      <c r="I28" s="29"/>
      <c r="J28" s="36" t="str">
        <f>IF(E28="Meets safety requirements","Green","Yellow")</f>
        <v>Yellow</v>
      </c>
      <c r="K28" s="77"/>
      <c r="L28" s="100" t="s">
        <v>1</v>
      </c>
      <c r="M28" s="423"/>
    </row>
    <row r="29" spans="1:13" ht="44.1" customHeight="1" thickBot="1">
      <c r="A29" s="129"/>
      <c r="B29" s="35" t="s">
        <v>101</v>
      </c>
      <c r="C29" s="34" t="s">
        <v>102</v>
      </c>
      <c r="D29" s="33" t="s">
        <v>29</v>
      </c>
      <c r="E29" s="66"/>
      <c r="F29" s="33" t="s">
        <v>34</v>
      </c>
      <c r="G29" s="34" t="s">
        <v>103</v>
      </c>
      <c r="H29" s="34" t="s">
        <v>104</v>
      </c>
      <c r="I29" s="34"/>
      <c r="J29" s="33" t="str">
        <f>IF(E29="No tenant exclusives","Green","Yellow")</f>
        <v>Yellow</v>
      </c>
      <c r="K29" s="81"/>
      <c r="L29" s="100" t="s">
        <v>1</v>
      </c>
      <c r="M29" s="424"/>
    </row>
    <row r="30" spans="1:13">
      <c r="C30" s="31"/>
      <c r="D30" s="31"/>
      <c r="E30" s="31"/>
      <c r="F30" s="31"/>
      <c r="H30" s="58"/>
      <c r="I30" s="58"/>
      <c r="J30" s="58" t="s">
        <v>105</v>
      </c>
    </row>
    <row r="31" spans="1:13" ht="17.45" customHeight="1">
      <c r="B31" s="32" t="s">
        <v>106</v>
      </c>
      <c r="C31" s="32"/>
    </row>
    <row r="32" spans="1:13">
      <c r="B32" s="30" t="s">
        <v>107</v>
      </c>
      <c r="C32" s="30">
        <f>COUNTIF($J$7:$J$29,"Green")+COUNTIF($J$7:$J$29,"Yellow")+COUNTIF($J$7:$J$29,"Red")</f>
        <v>19</v>
      </c>
      <c r="D32" s="31"/>
      <c r="E32" s="31"/>
    </row>
    <row r="33" spans="2:5">
      <c r="B33" s="30" t="s">
        <v>108</v>
      </c>
      <c r="C33" s="30">
        <f>COUNTIFS($J$7:$J$29,"Green")</f>
        <v>4</v>
      </c>
      <c r="D33" s="31"/>
      <c r="E33" s="31"/>
    </row>
    <row r="34" spans="2:5">
      <c r="B34" s="30" t="s">
        <v>109</v>
      </c>
      <c r="C34" s="30">
        <f>COUNTIF($J$7:$J$29,"Yellow")</f>
        <v>10</v>
      </c>
    </row>
    <row r="35" spans="2:5">
      <c r="B35" s="30" t="s">
        <v>110</v>
      </c>
      <c r="C35" s="30">
        <f>COUNTIF($J$7:$J$29,"Red")</f>
        <v>5</v>
      </c>
    </row>
  </sheetData>
  <mergeCells count="7">
    <mergeCell ref="M6:M29"/>
    <mergeCell ref="A18:A22"/>
    <mergeCell ref="B18:B22"/>
    <mergeCell ref="B7:B17"/>
    <mergeCell ref="C7:C8"/>
    <mergeCell ref="G7:G8"/>
    <mergeCell ref="J7:J8"/>
  </mergeCells>
  <conditionalFormatting sqref="J7 J9:J29">
    <cfRule type="containsText" dxfId="62" priority="1" operator="containsText" text="Red">
      <formula>NOT(ISERROR(SEARCH("Red",J7)))</formula>
    </cfRule>
    <cfRule type="containsText" dxfId="61" priority="2" operator="containsText" text="Yellow">
      <formula>NOT(ISERROR(SEARCH("Yellow",J7)))</formula>
    </cfRule>
    <cfRule type="containsText" dxfId="60" priority="3" operator="containsText" text="Green">
      <formula>NOT(ISERROR(SEARCH("Green",J7)))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P80"/>
  <sheetViews>
    <sheetView showGridLines="0" showRuler="0" topLeftCell="A22" zoomScaleNormal="100" workbookViewId="0">
      <selection activeCell="G60" sqref="G60:H60"/>
    </sheetView>
  </sheetViews>
  <sheetFormatPr defaultColWidth="12" defaultRowHeight="15.75"/>
  <cols>
    <col min="1" max="1" width="20.28515625" style="1" customWidth="1"/>
    <col min="2" max="2" width="6" style="5" customWidth="1"/>
    <col min="3" max="3" width="12" style="1" customWidth="1"/>
    <col min="4" max="4" width="11" style="1" customWidth="1"/>
    <col min="5" max="5" width="17.28515625" style="1" customWidth="1"/>
    <col min="6" max="6" width="18.42578125" style="1" customWidth="1"/>
    <col min="7" max="7" width="17.140625" style="1" customWidth="1"/>
    <col min="8" max="8" width="17" style="1" customWidth="1"/>
    <col min="9" max="9" width="19.5703125" style="1" customWidth="1"/>
    <col min="10" max="10" width="12" style="1" customWidth="1"/>
    <col min="11" max="11" width="13.7109375" style="1" customWidth="1"/>
    <col min="12" max="12" width="16.7109375" style="1" customWidth="1"/>
    <col min="13" max="13" width="12.140625" style="1" customWidth="1"/>
    <col min="14" max="14" width="20.5703125" style="1" customWidth="1"/>
    <col min="15" max="15" width="31.28515625" style="1" customWidth="1"/>
    <col min="16" max="16" width="42.7109375" style="1" customWidth="1"/>
    <col min="17" max="18" width="12" style="1" customWidth="1"/>
    <col min="19" max="16384" width="12" style="1"/>
  </cols>
  <sheetData>
    <row r="1" spans="1:16">
      <c r="B1" s="49"/>
      <c r="C1" s="50"/>
      <c r="D1" s="50"/>
      <c r="E1" s="50"/>
      <c r="F1" s="50"/>
      <c r="G1" s="50"/>
      <c r="H1" s="50"/>
      <c r="I1" s="50"/>
      <c r="J1" s="50"/>
      <c r="K1" s="50"/>
      <c r="L1" s="50"/>
      <c r="M1" s="50"/>
      <c r="N1" s="51"/>
      <c r="P1" s="48"/>
    </row>
    <row r="2" spans="1:16" ht="15.75" customHeight="1">
      <c r="B2" s="17"/>
      <c r="C2" s="483" t="s">
        <v>111</v>
      </c>
      <c r="D2" s="433"/>
      <c r="E2" s="433"/>
      <c r="F2" s="433"/>
      <c r="G2" s="433"/>
      <c r="H2" s="433"/>
      <c r="I2" s="433"/>
      <c r="J2" s="433"/>
      <c r="K2" s="433"/>
      <c r="L2" s="433"/>
      <c r="M2" s="433"/>
      <c r="N2" s="434"/>
      <c r="O2" s="503" t="s">
        <v>112</v>
      </c>
      <c r="P2" s="48"/>
    </row>
    <row r="3" spans="1:16">
      <c r="B3" s="17"/>
      <c r="C3" s="477" t="s">
        <v>113</v>
      </c>
      <c r="D3" s="445"/>
      <c r="E3" s="446"/>
      <c r="F3" s="12" t="s">
        <v>114</v>
      </c>
      <c r="G3" s="477" t="s">
        <v>115</v>
      </c>
      <c r="H3" s="434"/>
      <c r="I3" s="477" t="s">
        <v>116</v>
      </c>
      <c r="J3" s="434"/>
      <c r="K3" s="477" t="s">
        <v>117</v>
      </c>
      <c r="L3" s="434"/>
      <c r="M3" s="477" t="s">
        <v>118</v>
      </c>
      <c r="N3" s="438" t="s">
        <v>119</v>
      </c>
      <c r="O3" s="479"/>
      <c r="P3" s="48"/>
    </row>
    <row r="4" spans="1:16">
      <c r="B4" s="17"/>
      <c r="C4" s="464"/>
      <c r="D4" s="482"/>
      <c r="E4" s="473"/>
      <c r="F4" s="12" t="s">
        <v>120</v>
      </c>
      <c r="G4" s="12" t="s">
        <v>121</v>
      </c>
      <c r="H4" s="12" t="s">
        <v>122</v>
      </c>
      <c r="I4" s="12" t="s">
        <v>120</v>
      </c>
      <c r="J4" s="12" t="s">
        <v>122</v>
      </c>
      <c r="K4" s="12" t="s">
        <v>120</v>
      </c>
      <c r="L4" s="12" t="s">
        <v>122</v>
      </c>
      <c r="M4" s="424"/>
      <c r="N4" s="439"/>
      <c r="O4" s="479"/>
    </row>
    <row r="5" spans="1:16">
      <c r="B5" s="18">
        <v>1</v>
      </c>
      <c r="C5" s="436" t="s">
        <v>123</v>
      </c>
      <c r="D5" s="433"/>
      <c r="E5" s="434"/>
      <c r="F5" s="103">
        <f>SUMIFS('Cost Estimation'!$I$5:$I$101,'Cost Estimation'!$F$5:$F$101,"CAPEX",'Cost Estimation'!$G$5:$G$101,"Yes",'Cost Estimation'!$E$5:$E$101,"DD &amp; Design")+SUMIFS('Cost Estimation'!$K$5:$K$101,'Cost Estimation'!$F$5:$F$101,"CAPEX",'Cost Estimation'!$G$5:$G$101,"Yes",'Cost Estimation'!$E$5:$E$101,"DD &amp; Design")</f>
        <v>0</v>
      </c>
      <c r="G5" s="103">
        <v>0</v>
      </c>
      <c r="H5" s="103">
        <v>0</v>
      </c>
      <c r="I5" s="103">
        <f>SUMIFS('Cost Estimation'!$I$5:$I$101,'Cost Estimation'!$F$5:$F$101,"CAPEX",'Cost Estimation'!$G$5:$G$101,"Yes",'Cost Estimation'!$E$5:$E$101,"Construction")+SUMIFS('Cost Estimation'!$K$5:$K$101,'Cost Estimation'!$F$5:$F$101,"CAPEX",'Cost Estimation'!$G$5:$G$101,"Yes",'Cost Estimation'!$E$5:$E$101,"Construction")</f>
        <v>0</v>
      </c>
      <c r="J5" s="103">
        <f>SUMIFS('Cost Estimation'!$I$5:$I$101,'Cost Estimation'!$F$5:$F$101,"OPEX",'Cost Estimation'!$G$5:$G$101,"Yes",'Cost Estimation'!$E$5:$E$101,"Construction")+SUMIFS('Cost Estimation'!$K$5:$K$101,'Cost Estimation'!$F$5:$F$101,"OPEX",'Cost Estimation'!$G$5:$G$101,"Yes",'Cost Estimation'!$E$5:$E$101,"Construction")</f>
        <v>0</v>
      </c>
      <c r="K5" s="103">
        <f>SUMIFS('Cost Estimation'!$I$5:$I$101,'Cost Estimation'!$F$5:$F$101,"CAPEX",'Cost Estimation'!$G$5:$G$101,"Yes",'Cost Estimation'!$E$5:$E$101,"Startup")+SUMIFS('Cost Estimation'!$K$5:$K$101,'Cost Estimation'!$F$5:$F$101,"CAPEX",'Cost Estimation'!$G$5:$G$101,"Yes",'Cost Estimation'!$E$5:$E$101,"Startup")</f>
        <v>0</v>
      </c>
      <c r="L5" s="103">
        <f>SUMIFS('Cost Estimation'!$I$5:$I$101,'Cost Estimation'!$F$5:$F$101,"OPEX",'Cost Estimation'!$G$5:$G$101,"Yes",'Cost Estimation'!$E$5:$E$101,"Startup")+SUMIFS('Cost Estimation'!$K$5:$K$101,'Cost Estimation'!$F$5:$F$101,"OPEX",'Cost Estimation'!$G$5:$G$101,"Yes",'Cost Estimation'!$E$5:$E$101,"Startup")</f>
        <v>0</v>
      </c>
      <c r="M5" s="103" t="s">
        <v>124</v>
      </c>
      <c r="N5" s="19">
        <f>SUM(F5:L5)</f>
        <v>0</v>
      </c>
      <c r="O5" s="479"/>
    </row>
    <row r="6" spans="1:16" ht="35.450000000000003" customHeight="1">
      <c r="B6" s="18">
        <f t="shared" ref="B6:B37" si="0">B5+1</f>
        <v>2</v>
      </c>
      <c r="C6" s="489" t="s">
        <v>125</v>
      </c>
      <c r="D6" s="433"/>
      <c r="E6" s="434"/>
      <c r="F6" s="13">
        <v>0</v>
      </c>
      <c r="G6" s="13">
        <f>'Cash Flow'!D41</f>
        <v>247734.89516622003</v>
      </c>
      <c r="H6" s="13">
        <f>'Cash Flow'!E41</f>
        <v>0</v>
      </c>
      <c r="I6" s="13" t="str">
        <f>IF('Cost Estimation'!R10=0,"OP Figures",'Cost Estimation'!R10)</f>
        <v>OP Figures</v>
      </c>
      <c r="J6" s="13">
        <v>0</v>
      </c>
      <c r="K6" s="13" t="str">
        <f>IF('Cost Estimation'!R12=0,"OP Figures",'Cost Estimation'!R12)</f>
        <v>OP Figures</v>
      </c>
      <c r="L6" s="13">
        <v>0</v>
      </c>
      <c r="M6" s="13">
        <f>SUM(F6:L6)</f>
        <v>247734.89516622003</v>
      </c>
      <c r="N6" s="13" t="s">
        <v>124</v>
      </c>
      <c r="O6" s="479"/>
    </row>
    <row r="7" spans="1:16" ht="15.75" customHeight="1">
      <c r="B7" s="18">
        <f t="shared" si="0"/>
        <v>3</v>
      </c>
      <c r="C7" s="447" t="s">
        <v>126</v>
      </c>
      <c r="D7" s="433"/>
      <c r="E7" s="434"/>
      <c r="F7" s="14">
        <f t="shared" ref="F7:N7" si="1">SUM(F5:F6)</f>
        <v>0</v>
      </c>
      <c r="G7" s="14">
        <f t="shared" si="1"/>
        <v>247734.89516622003</v>
      </c>
      <c r="H7" s="14">
        <f t="shared" si="1"/>
        <v>0</v>
      </c>
      <c r="I7" s="14">
        <f t="shared" si="1"/>
        <v>0</v>
      </c>
      <c r="J7" s="14">
        <f t="shared" si="1"/>
        <v>0</v>
      </c>
      <c r="K7" s="14">
        <f t="shared" si="1"/>
        <v>0</v>
      </c>
      <c r="L7" s="14">
        <f t="shared" si="1"/>
        <v>0</v>
      </c>
      <c r="M7" s="14">
        <f t="shared" si="1"/>
        <v>247734.89516622003</v>
      </c>
      <c r="N7" s="20">
        <f t="shared" si="1"/>
        <v>0</v>
      </c>
      <c r="O7" s="479"/>
    </row>
    <row r="8" spans="1:16" ht="51.75" customHeight="1">
      <c r="A8" s="364"/>
      <c r="B8" s="18">
        <f t="shared" si="0"/>
        <v>4</v>
      </c>
      <c r="C8" s="495" t="s">
        <v>127</v>
      </c>
      <c r="D8" s="433"/>
      <c r="E8" s="433"/>
      <c r="F8" s="449">
        <f>'Cash Flow'!G33</f>
        <v>0</v>
      </c>
      <c r="G8" s="433"/>
      <c r="H8" s="433"/>
      <c r="I8" s="433"/>
      <c r="J8" s="434"/>
      <c r="K8" s="27"/>
      <c r="L8" s="27"/>
      <c r="M8" s="27"/>
      <c r="N8" s="28"/>
      <c r="O8" s="479"/>
    </row>
    <row r="9" spans="1:16" ht="66.75" customHeight="1">
      <c r="A9" s="364"/>
      <c r="B9" s="18">
        <f t="shared" si="0"/>
        <v>5</v>
      </c>
      <c r="C9" s="477" t="s">
        <v>128</v>
      </c>
      <c r="D9" s="434"/>
      <c r="E9" s="21" t="s">
        <v>129</v>
      </c>
      <c r="F9" s="26" t="s">
        <v>130</v>
      </c>
      <c r="G9" s="475" t="s">
        <v>131</v>
      </c>
      <c r="H9" s="446"/>
      <c r="I9" s="476">
        <f>IFERROR(M9-F8,"")</f>
        <v>0</v>
      </c>
      <c r="J9" s="446"/>
      <c r="K9" s="481" t="s">
        <v>132</v>
      </c>
      <c r="L9" s="446"/>
      <c r="M9" s="476">
        <f>'Cost Estimation'!R15</f>
        <v>0</v>
      </c>
      <c r="N9" s="446"/>
      <c r="O9" s="479"/>
    </row>
    <row r="10" spans="1:16" ht="27" customHeight="1">
      <c r="A10" s="364"/>
      <c r="B10" s="18">
        <f t="shared" si="0"/>
        <v>6</v>
      </c>
      <c r="C10" s="478" t="s">
        <v>5</v>
      </c>
      <c r="D10" s="479"/>
      <c r="E10" s="479"/>
      <c r="F10" s="479"/>
      <c r="G10" s="479"/>
      <c r="H10" s="479"/>
      <c r="I10" s="479"/>
      <c r="J10" s="479"/>
      <c r="K10" s="479"/>
      <c r="L10" s="479"/>
      <c r="M10" s="479"/>
      <c r="N10" s="426"/>
      <c r="O10" s="1" t="s">
        <v>133</v>
      </c>
      <c r="P10" s="1" t="s">
        <v>134</v>
      </c>
    </row>
    <row r="11" spans="1:16" ht="83.25" customHeight="1">
      <c r="A11" s="364"/>
      <c r="B11" s="18">
        <f t="shared" si="0"/>
        <v>7</v>
      </c>
      <c r="C11" s="500"/>
      <c r="D11" s="482"/>
      <c r="E11" s="482"/>
      <c r="F11" s="482"/>
      <c r="G11" s="482"/>
      <c r="H11" s="482"/>
      <c r="I11" s="482"/>
      <c r="J11" s="482"/>
      <c r="K11" s="482"/>
      <c r="L11" s="482"/>
      <c r="M11" s="482"/>
      <c r="N11" s="419"/>
      <c r="O11" s="126"/>
      <c r="P11" s="1" t="s">
        <v>135</v>
      </c>
    </row>
    <row r="12" spans="1:16" ht="30.6" customHeight="1">
      <c r="A12" s="48"/>
      <c r="B12" s="18">
        <f t="shared" si="0"/>
        <v>8</v>
      </c>
      <c r="C12" s="483" t="s">
        <v>136</v>
      </c>
      <c r="D12" s="433"/>
      <c r="E12" s="433"/>
      <c r="F12" s="433"/>
      <c r="G12" s="433"/>
      <c r="H12" s="434"/>
      <c r="I12" s="483" t="s">
        <v>137</v>
      </c>
      <c r="J12" s="433"/>
      <c r="K12" s="433"/>
      <c r="L12" s="434"/>
      <c r="M12" s="484" t="s">
        <v>138</v>
      </c>
      <c r="N12" s="456"/>
      <c r="O12" s="1" t="s">
        <v>133</v>
      </c>
      <c r="P12" s="1" t="s">
        <v>139</v>
      </c>
    </row>
    <row r="13" spans="1:16" ht="15.6" customHeight="1">
      <c r="A13" s="48"/>
      <c r="B13" s="18">
        <f t="shared" si="0"/>
        <v>9</v>
      </c>
      <c r="C13" s="436" t="s">
        <v>140</v>
      </c>
      <c r="D13" s="433"/>
      <c r="E13" s="433"/>
      <c r="F13" s="434"/>
      <c r="G13" s="440" t="s">
        <v>141</v>
      </c>
      <c r="H13" s="434"/>
      <c r="I13" s="498" t="s">
        <v>142</v>
      </c>
      <c r="J13" s="445"/>
      <c r="K13" s="445"/>
      <c r="L13" s="446"/>
      <c r="M13" s="461"/>
      <c r="N13" s="462"/>
    </row>
    <row r="14" spans="1:16" ht="15.75" customHeight="1">
      <c r="A14" s="48"/>
      <c r="B14" s="18">
        <f t="shared" si="0"/>
        <v>10</v>
      </c>
      <c r="C14" s="436" t="s">
        <v>143</v>
      </c>
      <c r="D14" s="433"/>
      <c r="E14" s="433"/>
      <c r="F14" s="434"/>
      <c r="G14" s="440" t="s">
        <v>144</v>
      </c>
      <c r="H14" s="434"/>
      <c r="I14" s="463"/>
      <c r="J14" s="479"/>
      <c r="K14" s="479"/>
      <c r="L14" s="499"/>
      <c r="M14" s="463"/>
      <c r="N14" s="426"/>
      <c r="O14" s="48"/>
    </row>
    <row r="15" spans="1:16" ht="32.1" customHeight="1">
      <c r="A15" s="48"/>
      <c r="B15" s="18">
        <f t="shared" si="0"/>
        <v>11</v>
      </c>
      <c r="C15" s="436" t="s">
        <v>145</v>
      </c>
      <c r="D15" s="433"/>
      <c r="E15" s="433"/>
      <c r="F15" s="434"/>
      <c r="G15" s="485" t="str">
        <f>'Cash Flow'!D4</f>
        <v>4353 Cranwood Parkway, Cleveland, OH, Cleveland Ohio</v>
      </c>
      <c r="H15" s="434"/>
      <c r="I15" s="463"/>
      <c r="J15" s="479"/>
      <c r="K15" s="479"/>
      <c r="L15" s="499"/>
      <c r="M15" s="463"/>
      <c r="N15" s="426"/>
      <c r="O15" s="48"/>
    </row>
    <row r="16" spans="1:16" ht="15.75" customHeight="1">
      <c r="A16" s="48"/>
      <c r="B16" s="18">
        <f t="shared" si="0"/>
        <v>12</v>
      </c>
      <c r="C16" s="436" t="s">
        <v>146</v>
      </c>
      <c r="D16" s="433"/>
      <c r="E16" s="433"/>
      <c r="F16" s="434"/>
      <c r="G16" s="440" t="s">
        <v>147</v>
      </c>
      <c r="H16" s="434"/>
      <c r="I16" s="463"/>
      <c r="J16" s="479"/>
      <c r="K16" s="479"/>
      <c r="L16" s="499"/>
      <c r="M16" s="463"/>
      <c r="N16" s="426"/>
      <c r="O16" s="48"/>
    </row>
    <row r="17" spans="1:16" ht="15.75" customHeight="1">
      <c r="A17" s="48"/>
      <c r="B17" s="18">
        <f t="shared" si="0"/>
        <v>13</v>
      </c>
      <c r="C17" s="436" t="s">
        <v>148</v>
      </c>
      <c r="D17" s="433"/>
      <c r="E17" s="433"/>
      <c r="F17" s="434"/>
      <c r="G17" s="440" t="s">
        <v>149</v>
      </c>
      <c r="H17" s="434"/>
      <c r="I17" s="463"/>
      <c r="J17" s="479"/>
      <c r="K17" s="479"/>
      <c r="L17" s="499"/>
      <c r="M17" s="463"/>
      <c r="N17" s="426"/>
      <c r="O17" s="48"/>
    </row>
    <row r="18" spans="1:16" ht="15.75" customHeight="1">
      <c r="A18" s="48"/>
      <c r="B18" s="18">
        <f t="shared" si="0"/>
        <v>14</v>
      </c>
      <c r="C18" s="436" t="s">
        <v>150</v>
      </c>
      <c r="D18" s="433"/>
      <c r="E18" s="433"/>
      <c r="F18" s="434"/>
      <c r="G18" s="440" t="s">
        <v>151</v>
      </c>
      <c r="H18" s="434"/>
      <c r="I18" s="463"/>
      <c r="J18" s="479"/>
      <c r="K18" s="479"/>
      <c r="L18" s="499"/>
      <c r="M18" s="463"/>
      <c r="N18" s="426"/>
      <c r="O18" s="48"/>
    </row>
    <row r="19" spans="1:16" ht="15.75" customHeight="1">
      <c r="A19" s="48"/>
      <c r="B19" s="18">
        <f t="shared" si="0"/>
        <v>15</v>
      </c>
      <c r="C19" s="436" t="s">
        <v>152</v>
      </c>
      <c r="D19" s="433"/>
      <c r="E19" s="433"/>
      <c r="F19" s="434"/>
      <c r="G19" s="440">
        <v>10</v>
      </c>
      <c r="H19" s="434"/>
      <c r="I19" s="463"/>
      <c r="J19" s="479"/>
      <c r="K19" s="479"/>
      <c r="L19" s="499"/>
      <c r="M19" s="463"/>
      <c r="N19" s="426"/>
      <c r="O19" s="48"/>
    </row>
    <row r="20" spans="1:16" ht="15.75" customHeight="1">
      <c r="A20" s="48"/>
      <c r="B20" s="18">
        <f t="shared" si="0"/>
        <v>16</v>
      </c>
      <c r="C20" s="436" t="s">
        <v>153</v>
      </c>
      <c r="D20" s="433"/>
      <c r="E20" s="433"/>
      <c r="F20" s="434"/>
      <c r="G20" s="458">
        <f>'Cash Flow'!E8</f>
        <v>7700</v>
      </c>
      <c r="H20" s="434"/>
      <c r="I20" s="463"/>
      <c r="J20" s="479"/>
      <c r="K20" s="479"/>
      <c r="L20" s="499"/>
      <c r="M20" s="463"/>
      <c r="N20" s="426"/>
      <c r="O20" s="48"/>
    </row>
    <row r="21" spans="1:16" ht="15.75" customHeight="1">
      <c r="A21" s="48"/>
      <c r="B21" s="18">
        <f t="shared" si="0"/>
        <v>17</v>
      </c>
      <c r="C21" s="436" t="s">
        <v>154</v>
      </c>
      <c r="D21" s="433"/>
      <c r="E21" s="433"/>
      <c r="F21" s="434"/>
      <c r="G21" s="435" t="s">
        <v>155</v>
      </c>
      <c r="H21" s="434"/>
      <c r="I21" s="463"/>
      <c r="J21" s="479"/>
      <c r="K21" s="479"/>
      <c r="L21" s="499"/>
      <c r="M21" s="463"/>
      <c r="N21" s="426"/>
      <c r="O21" s="48"/>
    </row>
    <row r="22" spans="1:16" ht="69" customHeight="1">
      <c r="A22" s="364"/>
      <c r="B22" s="18">
        <f t="shared" si="0"/>
        <v>18</v>
      </c>
      <c r="C22" s="469" t="s">
        <v>156</v>
      </c>
      <c r="D22" s="433"/>
      <c r="E22" s="433"/>
      <c r="F22" s="434"/>
      <c r="G22" s="441" t="s">
        <v>157</v>
      </c>
      <c r="H22" s="434"/>
      <c r="I22" s="463"/>
      <c r="J22" s="479"/>
      <c r="K22" s="479"/>
      <c r="L22" s="499"/>
      <c r="M22" s="463"/>
      <c r="N22" s="426"/>
      <c r="O22" s="48"/>
      <c r="P22" s="1" t="s">
        <v>36</v>
      </c>
    </row>
    <row r="23" spans="1:16" ht="15.75" customHeight="1">
      <c r="A23" s="364"/>
      <c r="B23" s="18">
        <f t="shared" si="0"/>
        <v>19</v>
      </c>
      <c r="C23" s="469" t="s">
        <v>158</v>
      </c>
      <c r="D23" s="433"/>
      <c r="E23" s="433"/>
      <c r="F23" s="434"/>
      <c r="G23" s="441"/>
      <c r="H23" s="434"/>
      <c r="I23" s="464"/>
      <c r="J23" s="482"/>
      <c r="K23" s="482"/>
      <c r="L23" s="473"/>
      <c r="M23" s="464"/>
      <c r="N23" s="465"/>
      <c r="O23" s="48"/>
    </row>
    <row r="24" spans="1:16" ht="15.95" customHeight="1">
      <c r="B24" s="18">
        <f t="shared" si="0"/>
        <v>20</v>
      </c>
      <c r="C24" s="444" t="s">
        <v>159</v>
      </c>
      <c r="D24" s="445"/>
      <c r="E24" s="445"/>
      <c r="F24" s="446"/>
      <c r="G24" s="24"/>
      <c r="H24" s="24"/>
      <c r="I24" s="468" t="s">
        <v>160</v>
      </c>
      <c r="J24" s="433"/>
      <c r="K24" s="433"/>
      <c r="L24" s="433"/>
      <c r="M24" s="433"/>
      <c r="N24" s="434"/>
      <c r="O24" s="48" t="s">
        <v>133</v>
      </c>
      <c r="P24" s="1" t="s">
        <v>161</v>
      </c>
    </row>
    <row r="25" spans="1:16" ht="20.100000000000001" customHeight="1">
      <c r="B25" s="18">
        <f t="shared" si="0"/>
        <v>21</v>
      </c>
      <c r="C25" s="436" t="s">
        <v>162</v>
      </c>
      <c r="D25" s="433"/>
      <c r="E25" s="433"/>
      <c r="F25" s="434"/>
      <c r="G25" s="474">
        <v>0.17</v>
      </c>
      <c r="H25" s="434"/>
      <c r="I25" s="437"/>
      <c r="J25" s="433"/>
      <c r="K25" s="433"/>
      <c r="L25" s="433"/>
      <c r="M25" s="433"/>
      <c r="N25" s="434"/>
      <c r="O25" s="48"/>
    </row>
    <row r="26" spans="1:16" ht="15.75" customHeight="1">
      <c r="B26" s="18">
        <f t="shared" si="0"/>
        <v>22</v>
      </c>
      <c r="C26" s="436" t="s">
        <v>163</v>
      </c>
      <c r="D26" s="433"/>
      <c r="E26" s="433"/>
      <c r="F26" s="434"/>
      <c r="G26" s="472"/>
      <c r="H26" s="473"/>
      <c r="I26" s="437"/>
      <c r="J26" s="433"/>
      <c r="K26" s="433"/>
      <c r="L26" s="433"/>
      <c r="M26" s="433"/>
      <c r="N26" s="434"/>
      <c r="O26" s="48"/>
    </row>
    <row r="27" spans="1:16" ht="15.75" customHeight="1">
      <c r="B27" s="18">
        <f t="shared" si="0"/>
        <v>23</v>
      </c>
      <c r="C27" s="436" t="s">
        <v>164</v>
      </c>
      <c r="D27" s="433"/>
      <c r="E27" s="433"/>
      <c r="F27" s="434"/>
      <c r="G27" s="15" t="s">
        <v>165</v>
      </c>
      <c r="H27" s="25">
        <v>200</v>
      </c>
      <c r="I27" s="437"/>
      <c r="J27" s="433"/>
      <c r="K27" s="433"/>
      <c r="L27" s="433"/>
      <c r="M27" s="433"/>
      <c r="N27" s="434"/>
      <c r="O27" s="48"/>
      <c r="P27" s="1" t="s">
        <v>166</v>
      </c>
    </row>
    <row r="28" spans="1:16" ht="15.75" customHeight="1">
      <c r="B28" s="18">
        <f t="shared" si="0"/>
        <v>24</v>
      </c>
      <c r="C28" s="436" t="s">
        <v>167</v>
      </c>
      <c r="D28" s="433"/>
      <c r="E28" s="433"/>
      <c r="F28" s="434"/>
      <c r="G28" s="15" t="s">
        <v>165</v>
      </c>
      <c r="H28" s="25">
        <v>200</v>
      </c>
      <c r="I28" s="437"/>
      <c r="J28" s="433"/>
      <c r="K28" s="433"/>
      <c r="L28" s="433"/>
      <c r="M28" s="433"/>
      <c r="N28" s="434"/>
      <c r="O28" s="48"/>
      <c r="P28" s="1" t="s">
        <v>166</v>
      </c>
    </row>
    <row r="29" spans="1:16" ht="15.95" customHeight="1">
      <c r="B29" s="18">
        <f t="shared" si="0"/>
        <v>25</v>
      </c>
      <c r="C29" s="486" t="s">
        <v>168</v>
      </c>
      <c r="D29" s="482"/>
      <c r="E29" s="482"/>
      <c r="F29" s="473"/>
      <c r="G29" s="483" t="s">
        <v>169</v>
      </c>
      <c r="H29" s="434"/>
      <c r="I29" s="468" t="s">
        <v>160</v>
      </c>
      <c r="J29" s="433"/>
      <c r="K29" s="433"/>
      <c r="L29" s="433"/>
      <c r="M29" s="433"/>
      <c r="N29" s="434"/>
      <c r="O29" s="48" t="s">
        <v>133</v>
      </c>
      <c r="P29" s="1" t="s">
        <v>1</v>
      </c>
    </row>
    <row r="30" spans="1:16" ht="15.75" customHeight="1">
      <c r="B30" s="18">
        <f t="shared" si="0"/>
        <v>26</v>
      </c>
      <c r="C30" s="436" t="s">
        <v>170</v>
      </c>
      <c r="D30" s="433"/>
      <c r="E30" s="433"/>
      <c r="F30" s="434"/>
      <c r="G30" s="440">
        <v>5</v>
      </c>
      <c r="H30" s="434"/>
      <c r="I30" s="435"/>
      <c r="J30" s="433"/>
      <c r="K30" s="433"/>
      <c r="L30" s="433"/>
      <c r="M30" s="433"/>
      <c r="N30" s="434"/>
      <c r="O30" s="48"/>
    </row>
    <row r="31" spans="1:16" ht="15.75" customHeight="1">
      <c r="B31" s="18">
        <f t="shared" si="0"/>
        <v>27</v>
      </c>
      <c r="C31" s="436" t="s">
        <v>171</v>
      </c>
      <c r="D31" s="433"/>
      <c r="E31" s="433"/>
      <c r="F31" s="434"/>
      <c r="G31" s="491">
        <f>'Cash Flow'!E20</f>
        <v>46235</v>
      </c>
      <c r="H31" s="434"/>
      <c r="I31" s="435"/>
      <c r="J31" s="433"/>
      <c r="K31" s="433"/>
      <c r="L31" s="433"/>
      <c r="M31" s="433"/>
      <c r="N31" s="434"/>
      <c r="O31" s="48"/>
    </row>
    <row r="32" spans="1:16" ht="15.75" customHeight="1">
      <c r="B32" s="18">
        <f t="shared" si="0"/>
        <v>28</v>
      </c>
      <c r="C32" s="436" t="s">
        <v>172</v>
      </c>
      <c r="D32" s="433"/>
      <c r="E32" s="433"/>
      <c r="F32" s="434"/>
      <c r="G32" s="491">
        <f>G31+60</f>
        <v>46295</v>
      </c>
      <c r="H32" s="434"/>
      <c r="I32" s="435"/>
      <c r="J32" s="433"/>
      <c r="K32" s="433"/>
      <c r="L32" s="433"/>
      <c r="M32" s="433"/>
      <c r="N32" s="434"/>
      <c r="O32" s="48"/>
    </row>
    <row r="33" spans="1:16" ht="15.75" customHeight="1">
      <c r="B33" s="18">
        <f t="shared" si="0"/>
        <v>29</v>
      </c>
      <c r="C33" s="436" t="s">
        <v>173</v>
      </c>
      <c r="D33" s="433"/>
      <c r="E33" s="433"/>
      <c r="F33" s="434"/>
      <c r="G33" s="440">
        <v>3</v>
      </c>
      <c r="H33" s="434"/>
      <c r="I33" s="435" t="s">
        <v>174</v>
      </c>
      <c r="J33" s="433"/>
      <c r="K33" s="433"/>
      <c r="L33" s="433"/>
      <c r="M33" s="433"/>
      <c r="N33" s="434"/>
      <c r="O33" s="48"/>
    </row>
    <row r="34" spans="1:16" ht="15.75" customHeight="1">
      <c r="B34" s="18">
        <f t="shared" si="0"/>
        <v>30</v>
      </c>
      <c r="C34" s="436" t="s">
        <v>175</v>
      </c>
      <c r="D34" s="433"/>
      <c r="E34" s="433"/>
      <c r="F34" s="434"/>
      <c r="G34" s="450">
        <f>'Cash Flow'!I10</f>
        <v>6.06</v>
      </c>
      <c r="H34" s="434"/>
      <c r="I34" s="435" t="s">
        <v>176</v>
      </c>
      <c r="J34" s="433"/>
      <c r="K34" s="433"/>
      <c r="L34" s="433"/>
      <c r="M34" s="433"/>
      <c r="N34" s="434"/>
      <c r="O34" s="48"/>
    </row>
    <row r="35" spans="1:16" ht="15.75" customHeight="1">
      <c r="B35" s="18">
        <f t="shared" si="0"/>
        <v>31</v>
      </c>
      <c r="C35" s="432" t="s">
        <v>177</v>
      </c>
      <c r="D35" s="433"/>
      <c r="E35" s="433"/>
      <c r="F35" s="434"/>
      <c r="G35" s="460">
        <f>'Cash Flow'!E10</f>
        <v>0.03</v>
      </c>
      <c r="H35" s="434"/>
      <c r="I35" s="435"/>
      <c r="J35" s="433"/>
      <c r="K35" s="433"/>
      <c r="L35" s="433"/>
      <c r="M35" s="433"/>
      <c r="N35" s="434"/>
      <c r="O35" s="48"/>
    </row>
    <row r="36" spans="1:16" ht="15.75" customHeight="1">
      <c r="B36" s="18">
        <f t="shared" si="0"/>
        <v>32</v>
      </c>
      <c r="C36" s="432" t="s">
        <v>178</v>
      </c>
      <c r="D36" s="433"/>
      <c r="E36" s="433"/>
      <c r="F36" s="434"/>
      <c r="G36" s="450">
        <f>'Cash Flow'!E11</f>
        <v>0</v>
      </c>
      <c r="H36" s="434"/>
      <c r="I36" s="435"/>
      <c r="J36" s="433"/>
      <c r="K36" s="433"/>
      <c r="L36" s="433"/>
      <c r="M36" s="433"/>
      <c r="N36" s="434"/>
      <c r="O36" s="48"/>
    </row>
    <row r="37" spans="1:16" ht="15.75" customHeight="1">
      <c r="B37" s="18">
        <f t="shared" si="0"/>
        <v>33</v>
      </c>
      <c r="C37" s="435" t="s">
        <v>179</v>
      </c>
      <c r="D37" s="433"/>
      <c r="E37" s="433"/>
      <c r="F37" s="434"/>
      <c r="G37" s="460">
        <f>'Cash Flow'!E18</f>
        <v>0.02</v>
      </c>
      <c r="H37" s="434"/>
      <c r="I37" s="435"/>
      <c r="J37" s="433"/>
      <c r="K37" s="433"/>
      <c r="L37" s="433"/>
      <c r="M37" s="433"/>
      <c r="N37" s="434"/>
      <c r="O37" s="48"/>
    </row>
    <row r="38" spans="1:16" ht="15.75" customHeight="1">
      <c r="B38" s="18">
        <f t="shared" ref="B38:B73" si="2">B37+1</f>
        <v>34</v>
      </c>
      <c r="C38" s="435" t="s">
        <v>180</v>
      </c>
      <c r="D38" s="433"/>
      <c r="E38" s="433"/>
      <c r="F38" s="434"/>
      <c r="G38" s="450">
        <f>'Cash Flow'!P48</f>
        <v>6.06</v>
      </c>
      <c r="H38" s="434"/>
      <c r="I38" s="435"/>
      <c r="J38" s="433"/>
      <c r="K38" s="433"/>
      <c r="L38" s="433"/>
      <c r="M38" s="433"/>
      <c r="N38" s="434"/>
    </row>
    <row r="39" spans="1:16" ht="15.75" customHeight="1">
      <c r="B39" s="18">
        <f t="shared" si="2"/>
        <v>35</v>
      </c>
      <c r="C39" s="436" t="s">
        <v>181</v>
      </c>
      <c r="D39" s="433"/>
      <c r="E39" s="433"/>
      <c r="F39" s="434"/>
      <c r="G39" s="450">
        <f>'Cash Flow'!G33</f>
        <v>0</v>
      </c>
      <c r="H39" s="434"/>
      <c r="I39" s="435"/>
      <c r="J39" s="433"/>
      <c r="K39" s="433"/>
      <c r="L39" s="433"/>
      <c r="M39" s="433"/>
      <c r="N39" s="434"/>
    </row>
    <row r="40" spans="1:16" ht="15.75" customHeight="1">
      <c r="B40" s="18">
        <f t="shared" si="2"/>
        <v>36</v>
      </c>
      <c r="C40" s="436" t="s">
        <v>182</v>
      </c>
      <c r="D40" s="433"/>
      <c r="E40" s="433"/>
      <c r="F40" s="434"/>
      <c r="G40" s="480"/>
      <c r="H40" s="434"/>
      <c r="I40" s="455"/>
      <c r="J40" s="433"/>
      <c r="K40" s="433"/>
      <c r="L40" s="433"/>
      <c r="M40" s="433"/>
      <c r="N40" s="456"/>
    </row>
    <row r="41" spans="1:16" ht="15.95" customHeight="1">
      <c r="B41" s="18">
        <f t="shared" si="2"/>
        <v>37</v>
      </c>
      <c r="C41" s="436" t="s">
        <v>183</v>
      </c>
      <c r="D41" s="433"/>
      <c r="E41" s="433"/>
      <c r="F41" s="434"/>
      <c r="G41" s="480">
        <f>'Cash Flow'!N48</f>
        <v>46662</v>
      </c>
      <c r="H41" s="434"/>
      <c r="I41" s="455"/>
      <c r="J41" s="433"/>
      <c r="K41" s="433"/>
      <c r="L41" s="433"/>
      <c r="M41" s="433"/>
      <c r="N41" s="456"/>
    </row>
    <row r="42" spans="1:16" ht="30.75" customHeight="1">
      <c r="A42" s="364"/>
      <c r="B42" s="18">
        <f t="shared" si="2"/>
        <v>38</v>
      </c>
      <c r="C42" s="436" t="s">
        <v>184</v>
      </c>
      <c r="D42" s="433"/>
      <c r="E42" s="433"/>
      <c r="F42" s="434"/>
      <c r="G42" s="480" t="s">
        <v>45</v>
      </c>
      <c r="H42" s="434"/>
      <c r="I42" s="361" t="s">
        <v>185</v>
      </c>
      <c r="J42" s="362"/>
      <c r="K42" s="362"/>
      <c r="L42" s="362"/>
      <c r="M42" s="362"/>
      <c r="N42" s="363"/>
    </row>
    <row r="43" spans="1:16" ht="15.95" customHeight="1">
      <c r="B43" s="18">
        <f t="shared" si="2"/>
        <v>39</v>
      </c>
      <c r="C43" s="459" t="s">
        <v>25</v>
      </c>
      <c r="D43" s="433"/>
      <c r="E43" s="433"/>
      <c r="F43" s="434"/>
      <c r="G43" s="483" t="s">
        <v>169</v>
      </c>
      <c r="H43" s="434"/>
      <c r="I43" s="468" t="s">
        <v>186</v>
      </c>
      <c r="J43" s="433"/>
      <c r="K43" s="433"/>
      <c r="L43" s="433"/>
      <c r="M43" s="433"/>
      <c r="N43" s="434"/>
      <c r="O43" s="1" t="s">
        <v>133</v>
      </c>
      <c r="P43" s="1" t="s">
        <v>25</v>
      </c>
    </row>
    <row r="44" spans="1:16" ht="15.75" customHeight="1">
      <c r="B44" s="18">
        <f t="shared" si="2"/>
        <v>40</v>
      </c>
      <c r="C44" s="436" t="s">
        <v>187</v>
      </c>
      <c r="D44" s="433"/>
      <c r="E44" s="433"/>
      <c r="F44" s="434"/>
      <c r="G44" s="460">
        <v>1.9E-3</v>
      </c>
      <c r="H44" s="434"/>
      <c r="I44" s="493" t="s">
        <v>188</v>
      </c>
      <c r="J44" s="445"/>
      <c r="K44" s="445"/>
      <c r="L44" s="445"/>
      <c r="M44" s="445"/>
      <c r="N44" s="462"/>
    </row>
    <row r="45" spans="1:16" ht="15.75" customHeight="1">
      <c r="B45" s="18">
        <f t="shared" si="2"/>
        <v>41</v>
      </c>
      <c r="C45" s="436" t="s">
        <v>189</v>
      </c>
      <c r="D45" s="433"/>
      <c r="E45" s="433"/>
      <c r="F45" s="434"/>
      <c r="G45" s="501">
        <v>16.170000000000002</v>
      </c>
      <c r="H45" s="434"/>
      <c r="I45" s="463"/>
      <c r="J45" s="479"/>
      <c r="K45" s="479"/>
      <c r="L45" s="479"/>
      <c r="M45" s="479"/>
      <c r="N45" s="426"/>
    </row>
    <row r="46" spans="1:16" ht="15.75" customHeight="1">
      <c r="B46" s="18">
        <f t="shared" si="2"/>
        <v>42</v>
      </c>
      <c r="C46" s="436" t="s">
        <v>190</v>
      </c>
      <c r="D46" s="433"/>
      <c r="E46" s="433"/>
      <c r="F46" s="434"/>
      <c r="G46" s="501">
        <v>18.829999999999998</v>
      </c>
      <c r="H46" s="434"/>
      <c r="I46" s="463"/>
      <c r="J46" s="479"/>
      <c r="K46" s="479"/>
      <c r="L46" s="479"/>
      <c r="M46" s="479"/>
      <c r="N46" s="426"/>
    </row>
    <row r="47" spans="1:16" ht="15.75" customHeight="1">
      <c r="B47" s="18">
        <f t="shared" si="2"/>
        <v>43</v>
      </c>
      <c r="C47" s="436" t="s">
        <v>191</v>
      </c>
      <c r="D47" s="433"/>
      <c r="E47" s="433"/>
      <c r="F47" s="434"/>
      <c r="G47" s="501">
        <v>5.9</v>
      </c>
      <c r="H47" s="434"/>
      <c r="I47" s="463"/>
      <c r="J47" s="479"/>
      <c r="K47" s="479"/>
      <c r="L47" s="479"/>
      <c r="M47" s="479"/>
      <c r="N47" s="426"/>
    </row>
    <row r="48" spans="1:16" ht="15.75" customHeight="1">
      <c r="B48" s="18">
        <f t="shared" si="2"/>
        <v>44</v>
      </c>
      <c r="C48" s="459" t="s">
        <v>192</v>
      </c>
      <c r="D48" s="433"/>
      <c r="E48" s="433"/>
      <c r="F48" s="434"/>
      <c r="G48" s="16" t="s">
        <v>193</v>
      </c>
      <c r="H48" s="459" t="s">
        <v>194</v>
      </c>
      <c r="I48" s="433"/>
      <c r="J48" s="433"/>
      <c r="K48" s="433"/>
      <c r="L48" s="433"/>
      <c r="M48" s="433"/>
      <c r="N48" s="434"/>
      <c r="O48" s="1" t="s">
        <v>133</v>
      </c>
      <c r="P48" s="1" t="s">
        <v>195</v>
      </c>
    </row>
    <row r="49" spans="1:16" ht="35.450000000000003" customHeight="1">
      <c r="B49" s="18">
        <f t="shared" si="2"/>
        <v>45</v>
      </c>
      <c r="C49" s="435" t="s">
        <v>196</v>
      </c>
      <c r="D49" s="433"/>
      <c r="E49" s="433"/>
      <c r="F49" s="434"/>
      <c r="G49" s="6" t="s">
        <v>197</v>
      </c>
      <c r="H49" s="432" t="s">
        <v>198</v>
      </c>
      <c r="I49" s="433"/>
      <c r="J49" s="433"/>
      <c r="K49" s="433"/>
      <c r="L49" s="433"/>
      <c r="M49" s="433"/>
      <c r="N49" s="434"/>
      <c r="P49" s="1" t="s">
        <v>199</v>
      </c>
    </row>
    <row r="50" spans="1:16" ht="35.450000000000003" customHeight="1">
      <c r="B50" s="18">
        <f t="shared" si="2"/>
        <v>46</v>
      </c>
      <c r="C50" s="436" t="s">
        <v>200</v>
      </c>
      <c r="D50" s="433"/>
      <c r="E50" s="433"/>
      <c r="F50" s="434"/>
      <c r="G50" s="6" t="s">
        <v>197</v>
      </c>
      <c r="H50" s="448" t="s">
        <v>201</v>
      </c>
      <c r="I50" s="433"/>
      <c r="J50" s="433"/>
      <c r="K50" s="433"/>
      <c r="L50" s="433"/>
      <c r="M50" s="433"/>
      <c r="N50" s="434"/>
      <c r="P50" s="1" t="s">
        <v>202</v>
      </c>
    </row>
    <row r="51" spans="1:16" ht="43.5" customHeight="1">
      <c r="B51" s="18">
        <f t="shared" si="2"/>
        <v>47</v>
      </c>
      <c r="C51" s="432" t="s">
        <v>203</v>
      </c>
      <c r="D51" s="433"/>
      <c r="E51" s="433"/>
      <c r="F51" s="434"/>
      <c r="G51" s="6" t="s">
        <v>204</v>
      </c>
      <c r="H51" s="488" t="s">
        <v>205</v>
      </c>
      <c r="I51" s="433"/>
      <c r="J51" s="433"/>
      <c r="K51" s="433"/>
      <c r="L51" s="433"/>
      <c r="M51" s="433"/>
      <c r="N51" s="456"/>
      <c r="P51" s="1" t="s">
        <v>206</v>
      </c>
    </row>
    <row r="52" spans="1:16" ht="35.450000000000003" customHeight="1">
      <c r="B52" s="18">
        <f t="shared" si="2"/>
        <v>48</v>
      </c>
      <c r="C52" s="432" t="s">
        <v>207</v>
      </c>
      <c r="D52" s="433"/>
      <c r="E52" s="433"/>
      <c r="F52" s="434"/>
      <c r="G52" s="6" t="s">
        <v>197</v>
      </c>
      <c r="H52" s="488" t="s">
        <v>208</v>
      </c>
      <c r="I52" s="433"/>
      <c r="J52" s="433"/>
      <c r="K52" s="433"/>
      <c r="L52" s="433"/>
      <c r="M52" s="433"/>
      <c r="N52" s="456"/>
      <c r="P52" s="1" t="s">
        <v>209</v>
      </c>
    </row>
    <row r="53" spans="1:16" ht="15.75" customHeight="1">
      <c r="B53" s="18">
        <f t="shared" si="2"/>
        <v>49</v>
      </c>
      <c r="C53" s="436" t="s">
        <v>210</v>
      </c>
      <c r="D53" s="433"/>
      <c r="E53" s="433"/>
      <c r="F53" s="434"/>
      <c r="G53" s="6" t="s">
        <v>204</v>
      </c>
      <c r="H53" s="454" t="s">
        <v>211</v>
      </c>
      <c r="I53" s="433"/>
      <c r="J53" s="433"/>
      <c r="K53" s="433"/>
      <c r="L53" s="433"/>
      <c r="M53" s="433"/>
      <c r="N53" s="434"/>
      <c r="P53" s="1" t="s">
        <v>1</v>
      </c>
    </row>
    <row r="54" spans="1:16" ht="15.75" customHeight="1">
      <c r="B54" s="18">
        <f t="shared" si="2"/>
        <v>50</v>
      </c>
      <c r="C54" s="436" t="s">
        <v>212</v>
      </c>
      <c r="D54" s="433"/>
      <c r="E54" s="433"/>
      <c r="F54" s="434"/>
      <c r="G54" s="137" t="s">
        <v>197</v>
      </c>
      <c r="H54" s="448" t="s">
        <v>213</v>
      </c>
      <c r="I54" s="433"/>
      <c r="J54" s="433"/>
      <c r="K54" s="433"/>
      <c r="L54" s="433"/>
      <c r="M54" s="433"/>
      <c r="N54" s="434"/>
      <c r="P54" s="1" t="s">
        <v>1</v>
      </c>
    </row>
    <row r="55" spans="1:16" ht="15.75" customHeight="1">
      <c r="B55" s="18">
        <f t="shared" si="2"/>
        <v>51</v>
      </c>
      <c r="C55" s="436" t="s">
        <v>214</v>
      </c>
      <c r="D55" s="433"/>
      <c r="E55" s="433"/>
      <c r="F55" s="434"/>
      <c r="G55" s="137" t="s">
        <v>215</v>
      </c>
      <c r="H55" s="448" t="s">
        <v>216</v>
      </c>
      <c r="I55" s="433"/>
      <c r="J55" s="433"/>
      <c r="K55" s="433"/>
      <c r="L55" s="433"/>
      <c r="M55" s="433"/>
      <c r="N55" s="434"/>
    </row>
    <row r="56" spans="1:16" ht="15.75" customHeight="1">
      <c r="B56" s="18">
        <f t="shared" si="2"/>
        <v>52</v>
      </c>
      <c r="C56" s="436" t="s">
        <v>217</v>
      </c>
      <c r="D56" s="433"/>
      <c r="E56" s="433"/>
      <c r="F56" s="434"/>
      <c r="G56" s="6" t="s">
        <v>197</v>
      </c>
      <c r="H56" s="454" t="s">
        <v>218</v>
      </c>
      <c r="I56" s="433"/>
      <c r="J56" s="433"/>
      <c r="K56" s="433"/>
      <c r="L56" s="433"/>
      <c r="M56" s="433"/>
      <c r="N56" s="434"/>
      <c r="P56" s="1" t="s">
        <v>1</v>
      </c>
    </row>
    <row r="57" spans="1:16" ht="15.75" customHeight="1">
      <c r="B57" s="18">
        <f t="shared" si="2"/>
        <v>53</v>
      </c>
      <c r="C57" s="436" t="s">
        <v>219</v>
      </c>
      <c r="D57" s="433"/>
      <c r="E57" s="433"/>
      <c r="F57" s="434"/>
      <c r="G57" s="6" t="s">
        <v>197</v>
      </c>
      <c r="H57" s="454" t="s">
        <v>218</v>
      </c>
      <c r="I57" s="433"/>
      <c r="J57" s="433"/>
      <c r="K57" s="433"/>
      <c r="L57" s="433"/>
      <c r="M57" s="433"/>
      <c r="N57" s="434"/>
      <c r="P57" s="1" t="s">
        <v>1</v>
      </c>
    </row>
    <row r="58" spans="1:16" ht="15.75" customHeight="1">
      <c r="B58" s="18">
        <f t="shared" si="2"/>
        <v>54</v>
      </c>
      <c r="C58" s="436" t="s">
        <v>220</v>
      </c>
      <c r="D58" s="433"/>
      <c r="E58" s="433"/>
      <c r="F58" s="434"/>
      <c r="G58" s="6"/>
      <c r="H58" s="469" t="s">
        <v>221</v>
      </c>
      <c r="I58" s="433"/>
      <c r="J58" s="433"/>
      <c r="K58" s="433"/>
      <c r="L58" s="433"/>
      <c r="M58" s="433"/>
      <c r="N58" s="434"/>
      <c r="P58" s="1" t="s">
        <v>222</v>
      </c>
    </row>
    <row r="59" spans="1:16" ht="15.75" customHeight="1">
      <c r="B59" s="18">
        <f t="shared" si="2"/>
        <v>55</v>
      </c>
      <c r="C59" s="436" t="s">
        <v>223</v>
      </c>
      <c r="D59" s="433"/>
      <c r="E59" s="433"/>
      <c r="F59" s="434"/>
      <c r="G59" s="137" t="s">
        <v>103</v>
      </c>
      <c r="H59" s="487" t="s">
        <v>218</v>
      </c>
      <c r="I59" s="433"/>
      <c r="J59" s="433"/>
      <c r="K59" s="433"/>
      <c r="L59" s="433"/>
      <c r="M59" s="433"/>
      <c r="N59" s="456"/>
    </row>
    <row r="60" spans="1:16" ht="32.450000000000003" customHeight="1">
      <c r="A60" s="470"/>
      <c r="B60" s="18">
        <f t="shared" si="2"/>
        <v>56</v>
      </c>
      <c r="C60" s="459" t="s">
        <v>224</v>
      </c>
      <c r="D60" s="433"/>
      <c r="E60" s="433"/>
      <c r="F60" s="434"/>
      <c r="G60" s="468" t="s">
        <v>225</v>
      </c>
      <c r="H60" s="434"/>
      <c r="I60" s="468" t="s">
        <v>194</v>
      </c>
      <c r="J60" s="433"/>
      <c r="K60" s="433"/>
      <c r="L60" s="433"/>
      <c r="M60" s="433"/>
      <c r="N60" s="434"/>
      <c r="O60" s="1" t="s">
        <v>133</v>
      </c>
      <c r="P60" s="1" t="s">
        <v>226</v>
      </c>
    </row>
    <row r="61" spans="1:16" ht="57" customHeight="1">
      <c r="A61" s="426"/>
      <c r="B61" s="18">
        <f t="shared" si="2"/>
        <v>57</v>
      </c>
      <c r="C61" s="466" t="s">
        <v>227</v>
      </c>
      <c r="D61" s="434"/>
      <c r="E61" s="449">
        <f>L9</f>
        <v>0</v>
      </c>
      <c r="F61" s="434"/>
      <c r="G61" s="466" t="s">
        <v>228</v>
      </c>
      <c r="H61" s="434"/>
      <c r="I61" s="487" t="s">
        <v>229</v>
      </c>
      <c r="J61" s="433"/>
      <c r="K61" s="433"/>
      <c r="L61" s="433"/>
      <c r="M61" s="433"/>
      <c r="N61" s="456"/>
      <c r="O61" s="48"/>
      <c r="P61" s="1" t="s">
        <v>230</v>
      </c>
    </row>
    <row r="62" spans="1:16" ht="36" customHeight="1">
      <c r="A62" s="426"/>
      <c r="B62" s="18">
        <f t="shared" si="2"/>
        <v>58</v>
      </c>
      <c r="C62" s="443" t="s">
        <v>231</v>
      </c>
      <c r="D62" s="433"/>
      <c r="E62" s="433"/>
      <c r="F62" s="434"/>
      <c r="G62" s="467"/>
      <c r="H62" s="434"/>
      <c r="I62" s="494"/>
      <c r="J62" s="433"/>
      <c r="K62" s="433"/>
      <c r="L62" s="433"/>
      <c r="M62" s="433"/>
      <c r="N62" s="456"/>
    </row>
    <row r="63" spans="1:16" ht="48" customHeight="1">
      <c r="A63" s="426"/>
      <c r="B63" s="18">
        <f t="shared" si="2"/>
        <v>59</v>
      </c>
      <c r="C63" s="457" t="s">
        <v>232</v>
      </c>
      <c r="D63" s="433"/>
      <c r="E63" s="433"/>
      <c r="F63" s="434"/>
      <c r="G63" s="492"/>
      <c r="H63" s="434"/>
      <c r="I63" s="497"/>
      <c r="J63" s="433"/>
      <c r="K63" s="433"/>
      <c r="L63" s="433"/>
      <c r="M63" s="433"/>
      <c r="N63" s="456"/>
    </row>
    <row r="64" spans="1:16" ht="32.1" customHeight="1">
      <c r="A64" s="426"/>
      <c r="B64" s="18">
        <f t="shared" si="2"/>
        <v>60</v>
      </c>
      <c r="C64" s="436" t="s">
        <v>233</v>
      </c>
      <c r="D64" s="433"/>
      <c r="E64" s="433"/>
      <c r="F64" s="434"/>
      <c r="G64" s="138"/>
      <c r="H64" s="138"/>
      <c r="I64" s="435" t="s">
        <v>234</v>
      </c>
      <c r="J64" s="433"/>
      <c r="K64" s="433"/>
      <c r="L64" s="433"/>
      <c r="M64" s="433"/>
      <c r="N64" s="434"/>
    </row>
    <row r="65" spans="1:15" ht="15.75" customHeight="1">
      <c r="A65" s="426"/>
      <c r="B65" s="18">
        <f t="shared" si="2"/>
        <v>61</v>
      </c>
      <c r="C65" s="469" t="s">
        <v>235</v>
      </c>
      <c r="D65" s="433"/>
      <c r="E65" s="433"/>
      <c r="F65" s="434"/>
      <c r="G65" s="471"/>
      <c r="H65" s="434"/>
      <c r="I65" s="502"/>
      <c r="J65" s="433"/>
      <c r="K65" s="433"/>
      <c r="L65" s="433"/>
      <c r="M65" s="433"/>
      <c r="N65" s="434"/>
    </row>
    <row r="66" spans="1:15" ht="15.75" customHeight="1">
      <c r="A66" s="426"/>
      <c r="B66" s="18">
        <f t="shared" si="2"/>
        <v>62</v>
      </c>
      <c r="C66" s="436" t="s">
        <v>236</v>
      </c>
      <c r="D66" s="433"/>
      <c r="E66" s="433"/>
      <c r="F66" s="434"/>
      <c r="G66" s="443"/>
      <c r="H66" s="434"/>
      <c r="I66" s="442" t="s">
        <v>237</v>
      </c>
      <c r="J66" s="433"/>
      <c r="K66" s="433"/>
      <c r="L66" s="433"/>
      <c r="M66" s="433"/>
      <c r="N66" s="434"/>
    </row>
    <row r="67" spans="1:15" ht="15.75" customHeight="1">
      <c r="A67" s="426"/>
      <c r="B67" s="18">
        <f t="shared" si="2"/>
        <v>63</v>
      </c>
      <c r="C67" s="436" t="s">
        <v>238</v>
      </c>
      <c r="D67" s="433"/>
      <c r="E67" s="433"/>
      <c r="F67" s="434"/>
      <c r="G67" s="443"/>
      <c r="H67" s="434"/>
      <c r="I67" s="442" t="s">
        <v>239</v>
      </c>
      <c r="J67" s="433"/>
      <c r="K67" s="433"/>
      <c r="L67" s="433"/>
      <c r="M67" s="433"/>
      <c r="N67" s="434"/>
    </row>
    <row r="68" spans="1:15" ht="15.75" customHeight="1">
      <c r="A68" s="426"/>
      <c r="B68" s="18">
        <f t="shared" si="2"/>
        <v>64</v>
      </c>
      <c r="C68" s="436" t="s">
        <v>240</v>
      </c>
      <c r="D68" s="433"/>
      <c r="E68" s="433"/>
      <c r="F68" s="434"/>
      <c r="G68" s="443"/>
      <c r="H68" s="434"/>
      <c r="I68" s="455"/>
      <c r="J68" s="433"/>
      <c r="K68" s="433"/>
      <c r="L68" s="433"/>
      <c r="M68" s="433"/>
      <c r="N68" s="456"/>
    </row>
    <row r="69" spans="1:15" ht="15.75" customHeight="1">
      <c r="A69" s="426"/>
      <c r="B69" s="18">
        <f t="shared" si="2"/>
        <v>65</v>
      </c>
      <c r="C69" s="436" t="s">
        <v>241</v>
      </c>
      <c r="D69" s="433"/>
      <c r="E69" s="433"/>
      <c r="F69" s="434"/>
      <c r="G69" s="440"/>
      <c r="H69" s="434"/>
      <c r="I69" s="432"/>
      <c r="J69" s="433"/>
      <c r="K69" s="433"/>
      <c r="L69" s="433"/>
      <c r="M69" s="433"/>
      <c r="N69" s="434"/>
    </row>
    <row r="70" spans="1:15" ht="15.75" customHeight="1">
      <c r="A70" s="426"/>
      <c r="B70" s="18">
        <f t="shared" si="2"/>
        <v>66</v>
      </c>
      <c r="C70" s="436" t="s">
        <v>242</v>
      </c>
      <c r="D70" s="433"/>
      <c r="E70" s="433"/>
      <c r="F70" s="434"/>
      <c r="G70" s="443"/>
      <c r="H70" s="434"/>
      <c r="I70" s="432"/>
      <c r="J70" s="433"/>
      <c r="K70" s="433"/>
      <c r="L70" s="433"/>
      <c r="M70" s="433"/>
      <c r="N70" s="434"/>
    </row>
    <row r="71" spans="1:15" ht="32.1" customHeight="1">
      <c r="A71" s="426"/>
      <c r="B71" s="18">
        <f t="shared" si="2"/>
        <v>67</v>
      </c>
      <c r="C71" s="436" t="s">
        <v>243</v>
      </c>
      <c r="D71" s="433"/>
      <c r="E71" s="433"/>
      <c r="F71" s="434"/>
      <c r="G71" s="440"/>
      <c r="H71" s="434"/>
      <c r="I71" s="432"/>
      <c r="J71" s="433"/>
      <c r="K71" s="433"/>
      <c r="L71" s="433"/>
      <c r="M71" s="433"/>
      <c r="N71" s="434"/>
    </row>
    <row r="72" spans="1:15" ht="32.1" customHeight="1">
      <c r="A72" s="426"/>
      <c r="B72" s="18">
        <f t="shared" si="2"/>
        <v>68</v>
      </c>
      <c r="C72" s="436" t="s">
        <v>244</v>
      </c>
      <c r="D72" s="433"/>
      <c r="E72" s="433"/>
      <c r="F72" s="434"/>
      <c r="G72" s="440"/>
      <c r="H72" s="434"/>
      <c r="I72" s="455"/>
      <c r="J72" s="433"/>
      <c r="K72" s="433"/>
      <c r="L72" s="433"/>
      <c r="M72" s="433"/>
      <c r="N72" s="456"/>
    </row>
    <row r="73" spans="1:15" ht="34.5" customHeight="1" thickBot="1">
      <c r="A73" s="426"/>
      <c r="B73" s="18">
        <f t="shared" si="2"/>
        <v>69</v>
      </c>
      <c r="C73" s="451" t="s">
        <v>245</v>
      </c>
      <c r="D73" s="452"/>
      <c r="E73" s="452"/>
      <c r="F73" s="453"/>
      <c r="G73" s="490"/>
      <c r="H73" s="453"/>
      <c r="I73" s="496" t="s">
        <v>246</v>
      </c>
      <c r="J73" s="452"/>
      <c r="K73" s="452"/>
      <c r="L73" s="452"/>
      <c r="M73" s="452"/>
      <c r="N73" s="453"/>
      <c r="O73" s="48"/>
    </row>
    <row r="74" spans="1:15">
      <c r="G74" s="4"/>
      <c r="H74" s="2"/>
    </row>
    <row r="75" spans="1:15">
      <c r="C75" s="3"/>
      <c r="G75" s="2"/>
    </row>
    <row r="76" spans="1:15" ht="15.75" customHeight="1"/>
    <row r="77" spans="1:15" ht="15.75" customHeight="1"/>
    <row r="78" spans="1:15" ht="15.75" customHeight="1"/>
    <row r="79" spans="1:15" ht="15.75" customHeight="1"/>
    <row r="80" spans="1:15" ht="15.75" customHeight="1"/>
  </sheetData>
  <mergeCells count="179">
    <mergeCell ref="O2:O9"/>
    <mergeCell ref="G31:H31"/>
    <mergeCell ref="G46:H46"/>
    <mergeCell ref="G40:H40"/>
    <mergeCell ref="G72:H72"/>
    <mergeCell ref="G3:H3"/>
    <mergeCell ref="H50:N50"/>
    <mergeCell ref="I3:J3"/>
    <mergeCell ref="H55:N55"/>
    <mergeCell ref="I63:N63"/>
    <mergeCell ref="G30:H30"/>
    <mergeCell ref="C35:F35"/>
    <mergeCell ref="I13:L23"/>
    <mergeCell ref="C11:M11"/>
    <mergeCell ref="C16:F16"/>
    <mergeCell ref="G45:H45"/>
    <mergeCell ref="G14:H14"/>
    <mergeCell ref="C25:F25"/>
    <mergeCell ref="I34:N34"/>
    <mergeCell ref="C55:F55"/>
    <mergeCell ref="G29:H29"/>
    <mergeCell ref="C5:E5"/>
    <mergeCell ref="G47:H47"/>
    <mergeCell ref="I27:N27"/>
    <mergeCell ref="H52:N52"/>
    <mergeCell ref="I36:N36"/>
    <mergeCell ref="I12:L12"/>
    <mergeCell ref="C59:F59"/>
    <mergeCell ref="C12:H12"/>
    <mergeCell ref="G17:H17"/>
    <mergeCell ref="I62:N62"/>
    <mergeCell ref="I24:N24"/>
    <mergeCell ref="C49:F49"/>
    <mergeCell ref="C8:E8"/>
    <mergeCell ref="H53:N53"/>
    <mergeCell ref="G19:H19"/>
    <mergeCell ref="C33:F33"/>
    <mergeCell ref="C9:D9"/>
    <mergeCell ref="C42:F42"/>
    <mergeCell ref="C2:N2"/>
    <mergeCell ref="I33:N33"/>
    <mergeCell ref="C34:F34"/>
    <mergeCell ref="M3:M4"/>
    <mergeCell ref="G37:H37"/>
    <mergeCell ref="C68:F68"/>
    <mergeCell ref="G13:H13"/>
    <mergeCell ref="G69:H69"/>
    <mergeCell ref="I35:N35"/>
    <mergeCell ref="C58:F58"/>
    <mergeCell ref="C45:F45"/>
    <mergeCell ref="M12:N12"/>
    <mergeCell ref="G15:H15"/>
    <mergeCell ref="C20:F20"/>
    <mergeCell ref="I60:N60"/>
    <mergeCell ref="C29:F29"/>
    <mergeCell ref="H59:N59"/>
    <mergeCell ref="C61:D61"/>
    <mergeCell ref="I69:N69"/>
    <mergeCell ref="C65:F65"/>
    <mergeCell ref="E61:F61"/>
    <mergeCell ref="C47:F47"/>
    <mergeCell ref="I30:N30"/>
    <mergeCell ref="C44:F44"/>
    <mergeCell ref="G9:H9"/>
    <mergeCell ref="C71:F71"/>
    <mergeCell ref="I9:J9"/>
    <mergeCell ref="K3:L3"/>
    <mergeCell ref="H57:N57"/>
    <mergeCell ref="I72:N72"/>
    <mergeCell ref="I41:N41"/>
    <mergeCell ref="C10:N10"/>
    <mergeCell ref="G42:H42"/>
    <mergeCell ref="K9:L9"/>
    <mergeCell ref="I71:N71"/>
    <mergeCell ref="M9:N9"/>
    <mergeCell ref="C3:E4"/>
    <mergeCell ref="I43:N43"/>
    <mergeCell ref="C57:F57"/>
    <mergeCell ref="C66:F66"/>
    <mergeCell ref="G39:H39"/>
    <mergeCell ref="C18:F18"/>
    <mergeCell ref="C53:F53"/>
    <mergeCell ref="H51:N51"/>
    <mergeCell ref="C6:E6"/>
    <mergeCell ref="C22:F22"/>
    <mergeCell ref="C31:F31"/>
    <mergeCell ref="G32:H32"/>
    <mergeCell ref="A60:A73"/>
    <mergeCell ref="G65:H65"/>
    <mergeCell ref="I31:N31"/>
    <mergeCell ref="G26:H26"/>
    <mergeCell ref="G35:H35"/>
    <mergeCell ref="C40:F40"/>
    <mergeCell ref="G16:H16"/>
    <mergeCell ref="G25:H25"/>
    <mergeCell ref="I70:N70"/>
    <mergeCell ref="G60:H60"/>
    <mergeCell ref="G73:H73"/>
    <mergeCell ref="G63:H63"/>
    <mergeCell ref="G41:H41"/>
    <mergeCell ref="C46:F46"/>
    <mergeCell ref="C21:F21"/>
    <mergeCell ref="I61:N61"/>
    <mergeCell ref="C51:F51"/>
    <mergeCell ref="C60:F60"/>
    <mergeCell ref="C70:F70"/>
    <mergeCell ref="G43:H43"/>
    <mergeCell ref="C48:F48"/>
    <mergeCell ref="C23:F23"/>
    <mergeCell ref="I32:N32"/>
    <mergeCell ref="I37:N37"/>
    <mergeCell ref="G20:H20"/>
    <mergeCell ref="C56:F56"/>
    <mergeCell ref="C43:F43"/>
    <mergeCell ref="I26:N26"/>
    <mergeCell ref="G44:H44"/>
    <mergeCell ref="G22:H22"/>
    <mergeCell ref="C27:F27"/>
    <mergeCell ref="C36:F36"/>
    <mergeCell ref="M13:N23"/>
    <mergeCell ref="I25:N25"/>
    <mergeCell ref="C17:F17"/>
    <mergeCell ref="H48:N48"/>
    <mergeCell ref="C19:F19"/>
    <mergeCell ref="C28:F28"/>
    <mergeCell ref="G38:H38"/>
    <mergeCell ref="C30:F30"/>
    <mergeCell ref="I39:N39"/>
    <mergeCell ref="C14:F14"/>
    <mergeCell ref="I29:N29"/>
    <mergeCell ref="G33:H33"/>
    <mergeCell ref="C38:F38"/>
    <mergeCell ref="G36:H36"/>
    <mergeCell ref="I44:N47"/>
    <mergeCell ref="C73:F73"/>
    <mergeCell ref="C26:F26"/>
    <mergeCell ref="H56:N56"/>
    <mergeCell ref="I40:N40"/>
    <mergeCell ref="C54:F54"/>
    <mergeCell ref="C63:F63"/>
    <mergeCell ref="C41:F41"/>
    <mergeCell ref="C50:F50"/>
    <mergeCell ref="H49:N49"/>
    <mergeCell ref="I66:N66"/>
    <mergeCell ref="G67:H67"/>
    <mergeCell ref="C67:F67"/>
    <mergeCell ref="G61:H61"/>
    <mergeCell ref="G70:H70"/>
    <mergeCell ref="I68:N68"/>
    <mergeCell ref="C69:F69"/>
    <mergeCell ref="G62:H62"/>
    <mergeCell ref="H58:N58"/>
    <mergeCell ref="I64:N64"/>
    <mergeCell ref="I73:N73"/>
    <mergeCell ref="I65:N65"/>
    <mergeCell ref="C52:F52"/>
    <mergeCell ref="G21:H21"/>
    <mergeCell ref="C39:F39"/>
    <mergeCell ref="I28:N28"/>
    <mergeCell ref="N3:N4"/>
    <mergeCell ref="G71:H71"/>
    <mergeCell ref="C72:F72"/>
    <mergeCell ref="G23:H23"/>
    <mergeCell ref="C32:F32"/>
    <mergeCell ref="C37:F37"/>
    <mergeCell ref="C13:F13"/>
    <mergeCell ref="I67:N67"/>
    <mergeCell ref="C62:F62"/>
    <mergeCell ref="G66:H66"/>
    <mergeCell ref="C15:F15"/>
    <mergeCell ref="C24:F24"/>
    <mergeCell ref="G18:H18"/>
    <mergeCell ref="C7:E7"/>
    <mergeCell ref="H54:N54"/>
    <mergeCell ref="F8:J8"/>
    <mergeCell ref="I38:N38"/>
    <mergeCell ref="G34:H34"/>
    <mergeCell ref="C64:F64"/>
    <mergeCell ref="G68:H68"/>
  </mergeCells>
  <conditionalFormatting sqref="G49:G59">
    <cfRule type="cellIs" dxfId="59" priority="29" operator="equal">
      <formula>"Red"</formula>
    </cfRule>
    <cfRule type="cellIs" dxfId="58" priority="30" operator="equal">
      <formula>"Yellow"</formula>
    </cfRule>
    <cfRule type="cellIs" dxfId="57" priority="31" operator="equal">
      <formula>"Green"</formula>
    </cfRule>
  </conditionalFormatting>
  <conditionalFormatting sqref="G58">
    <cfRule type="cellIs" dxfId="56" priority="21" operator="equal">
      <formula>"No Restrictions"</formula>
    </cfRule>
    <cfRule type="cellIs" dxfId="55" priority="22" operator="equal">
      <formula>"Partial Restrictions"</formula>
    </cfRule>
    <cfRule type="cellIs" dxfId="54" priority="23" operator="equal">
      <formula>"Completely Restricted"</formula>
    </cfRule>
  </conditionalFormatting>
  <conditionalFormatting sqref="G59">
    <cfRule type="containsText" dxfId="53" priority="14" operator="containsText" text="Existing tenant exclusives with restrictions that are acceptable to Amazon">
      <formula>NOT(ISERROR(SEARCH("Existing tenant exclusives with restrictions that are acceptable to Amazon",G59)))</formula>
    </cfRule>
    <cfRule type="containsText" dxfId="52" priority="15" operator="containsText" text="No tenant exclusives">
      <formula>NOT(ISERROR(SEARCH("No tenant exclusives",G59)))</formula>
    </cfRule>
  </conditionalFormatting>
  <conditionalFormatting sqref="G23:H23">
    <cfRule type="cellIs" dxfId="51" priority="32" operator="equal">
      <formula>"No"</formula>
    </cfRule>
    <cfRule type="cellIs" dxfId="50" priority="33" operator="equal">
      <formula>"Yes"</formula>
    </cfRule>
  </conditionalFormatting>
  <conditionalFormatting sqref="G61:H72">
    <cfRule type="cellIs" dxfId="49" priority="26" operator="equal">
      <formula>"Yellow"</formula>
    </cfRule>
    <cfRule type="cellIs" dxfId="48" priority="27" operator="equal">
      <formula>"Green"</formula>
    </cfRule>
    <cfRule type="cellIs" dxfId="47" priority="28" operator="equal">
      <formula>"Red"</formula>
    </cfRule>
  </conditionalFormatting>
  <conditionalFormatting sqref="G63:H63">
    <cfRule type="containsText" dxfId="46" priority="11" operator="containsText" text="No existing restroom/extensive modifications required">
      <formula>NOT(ISERROR(SEARCH("No existing restroom/extensive modifications required",G63)))</formula>
    </cfRule>
    <cfRule type="containsText" dxfId="45" priority="12" operator="containsText" text="Existing restroom modifications required to make ADA compliant. ">
      <formula>NOT(ISERROR(SEARCH("Existing restroom modifications required to make ADA compliant. ",G63)))</formula>
    </cfRule>
    <cfRule type="containsText" dxfId="44" priority="13" operator="containsText" text="Existing ADA Restroom does not require modifications">
      <formula>NOT(ISERROR(SEARCH("Existing ADA Restroom does not require modifications",G63)))</formula>
    </cfRule>
  </conditionalFormatting>
  <conditionalFormatting sqref="G65:H65">
    <cfRule type="containsText" dxfId="43" priority="34" operator="containsText" text="High">
      <formula>NOT(ISERROR(SEARCH("High",G65)))</formula>
    </cfRule>
    <cfRule type="containsText" dxfId="42" priority="35" operator="containsText" text="Medium">
      <formula>NOT(ISERROR(SEARCH("Medium",G65)))</formula>
    </cfRule>
    <cfRule type="containsText" dxfId="41" priority="36" operator="containsText" text="Low">
      <formula>NOT(ISERROR(SEARCH("Low",G65)))</formula>
    </cfRule>
  </conditionalFormatting>
  <conditionalFormatting sqref="G66:H66">
    <cfRule type="containsText" dxfId="40" priority="8" operator="containsText" text="&lt;400A (Amp not appropriate for Orders Per Day Volume), 3 Phase. ">
      <formula>NOT(ISERROR(SEARCH("&lt;400A (Amp not appropriate for Orders Per Day Volume), 3 Phase. ",G66)))</formula>
    </cfRule>
    <cfRule type="containsText" dxfId="39" priority="9" operator="containsText" text="&gt;=400A (Or Amp appropriate for Orders Per Day Volume), 3 Phase. Modifications required">
      <formula>NOT(ISERROR(SEARCH("&gt;=400A (Or Amp appropriate for Orders Per Day Volume), 3 Phase. Modifications required",G66)))</formula>
    </cfRule>
    <cfRule type="containsText" dxfId="38" priority="10" operator="containsText" text="&gt;=400A (Or Amp appropriate for Orders Per Day Volume), 3 phase.  No panel modifications required">
      <formula>NOT(ISERROR(SEARCH("&gt;=400A (Or Amp appropriate for Orders Per Day Volume), 3 phase.  No panel modifications required",G66)))</formula>
    </cfRule>
    <cfRule type="cellIs" dxfId="37" priority="59" operator="equal">
      <formula>"Power Risk"</formula>
    </cfRule>
    <cfRule type="cellIs" dxfId="36" priority="60" operator="equal">
      <formula>"Power is adequate"</formula>
    </cfRule>
  </conditionalFormatting>
  <conditionalFormatting sqref="G66:H67 G68">
    <cfRule type="cellIs" dxfId="35" priority="55" operator="equal">
      <formula>"Requires engineering"</formula>
    </cfRule>
  </conditionalFormatting>
  <conditionalFormatting sqref="G67:H67 G68">
    <cfRule type="cellIs" dxfId="34" priority="56" operator="equal">
      <formula>"HVAC risk"</formula>
    </cfRule>
    <cfRule type="cellIs" dxfId="33" priority="57" operator="equal">
      <formula>"HVAC is adequate"</formula>
    </cfRule>
  </conditionalFormatting>
  <conditionalFormatting sqref="G67:H67">
    <cfRule type="containsText" dxfId="32" priority="5" operator="containsText" text="No HVAC provided">
      <formula>NOT(ISERROR(SEARCH("No HVAC provided",G67)))</formula>
    </cfRule>
    <cfRule type="containsText" dxfId="31" priority="6" operator="containsText" text="&lt;1 Ton per 400 sq ft">
      <formula>NOT(ISERROR(SEARCH("&lt;1 Ton per 400 sq ft",G67)))</formula>
    </cfRule>
    <cfRule type="containsText" dxfId="30" priority="7" operator="containsText" text="1 Ton available per 400 sq ft. ">
      <formula>NOT(ISERROR(SEARCH("1 Ton available per 400 sq ft. ",G67)))</formula>
    </cfRule>
  </conditionalFormatting>
  <conditionalFormatting sqref="G68:H68">
    <cfRule type="containsText" dxfId="29" priority="2" operator="containsText" text="Requires new finishes">
      <formula>NOT(ISERROR(SEARCH("Requires new finishes",G68)))</formula>
    </cfRule>
    <cfRule type="containsText" dxfId="28" priority="3" operator="containsText" text="Permeable but can be remediated with reasonable cost">
      <formula>NOT(ISERROR(SEARCH("Permeable but can be remediated with reasonable cost",G68)))</formula>
    </cfRule>
    <cfRule type="containsText" dxfId="27" priority="4" operator="containsText" text="Not permeable">
      <formula>NOT(ISERROR(SEARCH("Not permeable",G68)))</formula>
    </cfRule>
  </conditionalFormatting>
  <conditionalFormatting sqref="G69:H69">
    <cfRule type="cellIs" dxfId="26" priority="44" operator="equal">
      <formula>"Survey; Amazon Test Fit"</formula>
    </cfRule>
    <cfRule type="cellIs" dxfId="25" priority="45" operator="equal">
      <formula>"No Survey; No Drawing"</formula>
    </cfRule>
    <cfRule type="cellIs" dxfId="24" priority="46" operator="equal">
      <formula>"No Survey"</formula>
    </cfRule>
    <cfRule type="cellIs" dxfId="23" priority="47" operator="equal">
      <formula>"Construction Documents"</formula>
    </cfRule>
    <cfRule type="cellIs" dxfId="22" priority="48" operator="equal">
      <formula>"Schematic Design"</formula>
    </cfRule>
    <cfRule type="cellIs" dxfId="21" priority="49" operator="equal">
      <formula>"Amazon Test Fit"</formula>
    </cfRule>
    <cfRule type="cellIs" dxfId="20" priority="50" operator="equal">
      <formula>"Survey"</formula>
    </cfRule>
    <cfRule type="cellIs" dxfId="19" priority="51" operator="equal">
      <formula>"No drawing"</formula>
    </cfRule>
  </conditionalFormatting>
  <conditionalFormatting sqref="G70:H70">
    <cfRule type="containsText" dxfId="18" priority="37" operator="containsText" text="No known Risks">
      <formula>NOT(ISERROR(SEARCH("No known Risks",G70)))</formula>
    </cfRule>
    <cfRule type="containsText" dxfId="17" priority="41" operator="containsText" text="Leadtimes for equipment">
      <formula>NOT(ISERROR(SEARCH("Leadtimes for equipment",G70)))</formula>
    </cfRule>
    <cfRule type="containsText" dxfId="16" priority="42" operator="containsText" text="Power Upgrade Required">
      <formula>NOT(ISERROR(SEARCH("Power Upgrade Required",G70)))</formula>
    </cfRule>
    <cfRule type="containsText" dxfId="15" priority="43" operator="containsText" text="Permit Issues">
      <formula>NOT(ISERROR(SEARCH("Permit Issues",G70)))</formula>
    </cfRule>
  </conditionalFormatting>
  <conditionalFormatting sqref="G71:H71 G72">
    <cfRule type="containsText" dxfId="14" priority="38" operator="containsText" text="High">
      <formula>NOT(ISERROR(SEARCH("High",G71)))</formula>
    </cfRule>
    <cfRule type="containsText" dxfId="13" priority="39" operator="containsText" text="Medium">
      <formula>NOT(ISERROR(SEARCH("Medium",G71)))</formula>
    </cfRule>
    <cfRule type="containsText" dxfId="12" priority="40" operator="containsText" text="Low">
      <formula>NOT(ISERROR(SEARCH("Low",G71)))</formula>
    </cfRule>
  </conditionalFormatting>
  <conditionalFormatting sqref="G72:H72">
    <cfRule type="containsText" dxfId="11" priority="1" operator="containsText" text="Extensive Demolition/Patchback work">
      <formula>NOT(ISERROR(SEARCH("Extensive Demolition/Patchback work",G72)))</formula>
    </cfRule>
    <cfRule type="cellIs" dxfId="10" priority="24" operator="equal">
      <formula>"Yes"</formula>
    </cfRule>
    <cfRule type="cellIs" dxfId="9" priority="25" operator="equal">
      <formula>"No"</formula>
    </cfRule>
  </conditionalFormatting>
  <dataValidations count="1">
    <dataValidation type="list" allowBlank="1" showInputMessage="1" showErrorMessage="1" sqref="G27:G28" xr:uid="{00000000-0002-0000-0100-000000000000}">
      <formula1>"Under 90%,90-100%,Over 100%"</formula1>
    </dataValidation>
  </dataValidation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14999847407452621"/>
  </sheetPr>
  <dimension ref="B2:F23"/>
  <sheetViews>
    <sheetView showGridLines="0" workbookViewId="0">
      <selection activeCell="D32" sqref="D32"/>
    </sheetView>
  </sheetViews>
  <sheetFormatPr defaultRowHeight="15"/>
  <cols>
    <col min="2" max="2" width="24.28515625" customWidth="1"/>
    <col min="3" max="3" width="37.85546875" customWidth="1"/>
    <col min="4" max="4" width="16.140625" customWidth="1"/>
    <col min="5" max="5" width="15.140625" customWidth="1"/>
    <col min="6" max="6" width="59.7109375" customWidth="1"/>
  </cols>
  <sheetData>
    <row r="2" spans="2:6">
      <c r="B2" s="46" t="s">
        <v>247</v>
      </c>
      <c r="C2" s="46" t="s">
        <v>248</v>
      </c>
      <c r="D2" s="46" t="s">
        <v>249</v>
      </c>
      <c r="E2" s="109" t="s">
        <v>250</v>
      </c>
      <c r="F2" s="46" t="s">
        <v>251</v>
      </c>
    </row>
    <row r="3" spans="2:6">
      <c r="B3" s="110" t="s">
        <v>252</v>
      </c>
      <c r="C3" s="110" t="s">
        <v>253</v>
      </c>
      <c r="D3" s="111" t="s">
        <v>254</v>
      </c>
      <c r="E3" s="112" t="s">
        <v>255</v>
      </c>
      <c r="F3" s="62"/>
    </row>
    <row r="4" spans="2:6">
      <c r="B4" s="110" t="s">
        <v>252</v>
      </c>
      <c r="C4" s="110" t="s">
        <v>143</v>
      </c>
      <c r="D4" s="113">
        <f>'Site Selection Scorecard'!C1</f>
        <v>0</v>
      </c>
      <c r="E4" s="112" t="s">
        <v>255</v>
      </c>
      <c r="F4" s="114"/>
    </row>
    <row r="5" spans="2:6">
      <c r="B5" s="110" t="s">
        <v>252</v>
      </c>
      <c r="C5" s="110" t="s">
        <v>256</v>
      </c>
      <c r="D5" s="115">
        <v>46054</v>
      </c>
      <c r="E5" s="112" t="s">
        <v>255</v>
      </c>
      <c r="F5" s="116" t="s">
        <v>257</v>
      </c>
    </row>
    <row r="6" spans="2:6">
      <c r="B6" s="110" t="s">
        <v>258</v>
      </c>
      <c r="C6" s="110" t="s">
        <v>259</v>
      </c>
      <c r="D6" s="117">
        <f>'CAR Approval Page 0'!I7</f>
        <v>0</v>
      </c>
      <c r="E6" s="112" t="s">
        <v>255</v>
      </c>
      <c r="F6" s="62"/>
    </row>
    <row r="7" spans="2:6">
      <c r="B7" s="110" t="s">
        <v>258</v>
      </c>
      <c r="C7" s="110" t="s">
        <v>260</v>
      </c>
      <c r="D7" s="117">
        <f>'CAR Approval Page 0'!K7</f>
        <v>0</v>
      </c>
      <c r="E7" s="112"/>
      <c r="F7" s="62"/>
    </row>
    <row r="8" spans="2:6">
      <c r="B8" s="110" t="s">
        <v>258</v>
      </c>
      <c r="C8" s="110" t="s">
        <v>261</v>
      </c>
      <c r="D8" s="117">
        <f>'CAR Approval Page 0'!F7</f>
        <v>0</v>
      </c>
      <c r="E8" s="112"/>
      <c r="F8" s="62"/>
    </row>
    <row r="9" spans="2:6">
      <c r="B9" s="110" t="s">
        <v>258</v>
      </c>
      <c r="C9" s="110" t="s">
        <v>262</v>
      </c>
      <c r="D9" s="118">
        <f>'CAR Approval Page 0'!L7</f>
        <v>0</v>
      </c>
      <c r="E9" s="112"/>
      <c r="F9" s="62"/>
    </row>
    <row r="10" spans="2:6">
      <c r="B10" s="110" t="s">
        <v>263</v>
      </c>
      <c r="C10" s="110" t="s">
        <v>264</v>
      </c>
      <c r="D10" s="115">
        <f>'CAR Approval Page 0'!G31</f>
        <v>46235</v>
      </c>
      <c r="E10" s="112" t="s">
        <v>255</v>
      </c>
      <c r="F10" s="119"/>
    </row>
    <row r="11" spans="2:6">
      <c r="B11" s="110" t="s">
        <v>263</v>
      </c>
      <c r="C11" s="110" t="s">
        <v>265</v>
      </c>
      <c r="D11" s="115">
        <f>'CAR Approval Page 0'!G32</f>
        <v>46295</v>
      </c>
      <c r="E11" s="112" t="s">
        <v>255</v>
      </c>
      <c r="F11" s="62"/>
    </row>
    <row r="12" spans="2:6">
      <c r="B12" s="110" t="s">
        <v>263</v>
      </c>
      <c r="C12" s="110" t="s">
        <v>266</v>
      </c>
      <c r="D12" s="120">
        <f>DATEDIF(D10,D11,"m")+1</f>
        <v>2</v>
      </c>
      <c r="E12" s="112"/>
      <c r="F12" s="121" t="s">
        <v>267</v>
      </c>
    </row>
    <row r="13" spans="2:6">
      <c r="B13" s="110" t="s">
        <v>263</v>
      </c>
      <c r="C13" s="110" t="s">
        <v>268</v>
      </c>
      <c r="D13" s="111" t="s">
        <v>269</v>
      </c>
      <c r="E13" s="112"/>
      <c r="F13" s="62"/>
    </row>
    <row r="14" spans="2:6">
      <c r="B14" s="110" t="s">
        <v>263</v>
      </c>
      <c r="C14" s="110" t="s">
        <v>270</v>
      </c>
      <c r="D14" s="118">
        <f>'Site Selection Scorecard'!C3</f>
        <v>0</v>
      </c>
      <c r="E14" s="112"/>
      <c r="F14" s="62"/>
    </row>
    <row r="15" spans="2:6">
      <c r="B15" s="110" t="s">
        <v>263</v>
      </c>
      <c r="C15" s="110" t="s">
        <v>271</v>
      </c>
      <c r="D15" s="122">
        <f>'CAR Approval Page 0'!G34</f>
        <v>6.06</v>
      </c>
      <c r="E15" s="112" t="s">
        <v>255</v>
      </c>
      <c r="F15" s="121" t="s">
        <v>272</v>
      </c>
    </row>
    <row r="16" spans="2:6">
      <c r="B16" s="110" t="s">
        <v>263</v>
      </c>
      <c r="C16" s="110" t="s">
        <v>273</v>
      </c>
      <c r="D16" s="123">
        <f>'CAR Approval Page 0'!G35</f>
        <v>0.03</v>
      </c>
      <c r="E16" s="112" t="s">
        <v>255</v>
      </c>
      <c r="F16" s="121" t="s">
        <v>272</v>
      </c>
    </row>
    <row r="17" spans="2:6">
      <c r="B17" s="110" t="s">
        <v>263</v>
      </c>
      <c r="C17" s="110" t="s">
        <v>274</v>
      </c>
      <c r="D17" s="122">
        <f>'CAR Approval Page 0'!G36</f>
        <v>0</v>
      </c>
      <c r="E17" s="112" t="s">
        <v>255</v>
      </c>
      <c r="F17" s="121" t="s">
        <v>272</v>
      </c>
    </row>
    <row r="18" spans="2:6">
      <c r="B18" s="110" t="s">
        <v>263</v>
      </c>
      <c r="C18" s="110" t="s">
        <v>275</v>
      </c>
      <c r="D18" s="123">
        <f>'CAR Approval Page 0'!G37</f>
        <v>0.02</v>
      </c>
      <c r="E18" s="112" t="s">
        <v>255</v>
      </c>
      <c r="F18" s="121" t="s">
        <v>272</v>
      </c>
    </row>
    <row r="19" spans="2:6">
      <c r="B19" s="110" t="s">
        <v>263</v>
      </c>
      <c r="C19" s="110" t="s">
        <v>276</v>
      </c>
      <c r="D19" s="124">
        <f>'CAR Approval Page 0'!G38</f>
        <v>6.06</v>
      </c>
      <c r="E19" s="112" t="s">
        <v>255</v>
      </c>
      <c r="F19" s="62"/>
    </row>
    <row r="20" spans="2:6">
      <c r="B20" s="110" t="s">
        <v>25</v>
      </c>
      <c r="C20" s="110" t="s">
        <v>277</v>
      </c>
      <c r="D20" s="113">
        <f>'Site Selection Scorecard'!E10</f>
        <v>0</v>
      </c>
      <c r="E20" s="112" t="s">
        <v>255</v>
      </c>
      <c r="F20" s="116"/>
    </row>
    <row r="21" spans="2:6">
      <c r="B21" s="110" t="s">
        <v>25</v>
      </c>
      <c r="C21" s="110" t="s">
        <v>278</v>
      </c>
      <c r="D21" s="125">
        <f>'Site Selection Scorecard'!E8</f>
        <v>0</v>
      </c>
      <c r="E21" s="112" t="s">
        <v>255</v>
      </c>
      <c r="F21" s="62"/>
    </row>
    <row r="22" spans="2:6">
      <c r="B22" s="110" t="s">
        <v>279</v>
      </c>
      <c r="C22" s="110" t="s">
        <v>280</v>
      </c>
      <c r="D22" s="111" t="s">
        <v>269</v>
      </c>
      <c r="E22" s="112" t="s">
        <v>255</v>
      </c>
      <c r="F22" s="62"/>
    </row>
    <row r="23" spans="2:6">
      <c r="B23" s="110" t="s">
        <v>279</v>
      </c>
      <c r="C23" s="110" t="s">
        <v>281</v>
      </c>
      <c r="D23" s="115"/>
      <c r="E23" s="112"/>
      <c r="F23" s="121" t="s">
        <v>282</v>
      </c>
    </row>
  </sheetData>
  <dataValidations count="2">
    <dataValidation type="list" allowBlank="1" showInputMessage="1" showErrorMessage="1" sqref="D3" xr:uid="{00000000-0002-0000-0200-000000000000}">
      <formula1>$S$5:$S$6</formula1>
    </dataValidation>
    <dataValidation type="list" allowBlank="1" showInputMessage="1" showErrorMessage="1" sqref="D13 D22" xr:uid="{00000000-0002-0000-0200-000001000000}">
      <formula1>$Q$5:$Q$6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U1:U3"/>
  <sheetViews>
    <sheetView showGridLines="0" topLeftCell="F1" workbookViewId="0">
      <selection activeCell="F9" sqref="F9"/>
    </sheetView>
  </sheetViews>
  <sheetFormatPr defaultRowHeight="15"/>
  <sheetData>
    <row r="1" spans="21:21" ht="15" customHeight="1">
      <c r="U1" t="s">
        <v>283</v>
      </c>
    </row>
    <row r="2" spans="21:21" ht="15" customHeight="1">
      <c r="U2" t="s">
        <v>284</v>
      </c>
    </row>
    <row r="3" spans="21:21" ht="15" customHeight="1">
      <c r="U3" t="s">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9"/>
  <sheetViews>
    <sheetView showGridLines="0" topLeftCell="A2" zoomScaleNormal="100" workbookViewId="0">
      <selection activeCell="F42" sqref="F42"/>
    </sheetView>
  </sheetViews>
  <sheetFormatPr defaultRowHeight="15"/>
  <cols>
    <col min="1" max="9" width="24.7109375" customWidth="1"/>
    <col min="10" max="10" width="28.5703125" customWidth="1"/>
    <col min="11" max="11" width="23.7109375" customWidth="1"/>
    <col min="12" max="12" width="17.5703125" customWidth="1"/>
  </cols>
  <sheetData>
    <row r="1" spans="1:10">
      <c r="A1" s="504" t="s">
        <v>286</v>
      </c>
      <c r="B1" s="433"/>
      <c r="C1" s="433"/>
      <c r="D1" s="433"/>
      <c r="E1" s="433"/>
      <c r="F1" s="433"/>
      <c r="G1" s="433"/>
      <c r="H1" s="433"/>
      <c r="I1" s="433"/>
      <c r="J1" s="434"/>
    </row>
    <row r="2" spans="1:10">
      <c r="A2" s="46" t="s">
        <v>287</v>
      </c>
      <c r="B2" s="46" t="s">
        <v>287</v>
      </c>
      <c r="C2" s="46" t="s">
        <v>287</v>
      </c>
      <c r="D2" s="46" t="s">
        <v>287</v>
      </c>
      <c r="E2" s="46" t="s">
        <v>226</v>
      </c>
      <c r="F2" s="46" t="s">
        <v>226</v>
      </c>
      <c r="G2" s="46" t="s">
        <v>226</v>
      </c>
      <c r="H2" s="46" t="s">
        <v>226</v>
      </c>
      <c r="I2" s="46" t="s">
        <v>226</v>
      </c>
      <c r="J2" s="46" t="s">
        <v>226</v>
      </c>
    </row>
    <row r="3" spans="1:10" ht="14.45" customHeight="1">
      <c r="A3" s="47" t="s">
        <v>148</v>
      </c>
      <c r="B3" s="47" t="s">
        <v>154</v>
      </c>
      <c r="C3" s="47" t="s">
        <v>288</v>
      </c>
      <c r="D3" s="47" t="s">
        <v>289</v>
      </c>
      <c r="E3" s="47" t="s">
        <v>235</v>
      </c>
      <c r="F3" s="47" t="s">
        <v>290</v>
      </c>
      <c r="G3" s="47" t="s">
        <v>291</v>
      </c>
      <c r="H3" s="47" t="s">
        <v>241</v>
      </c>
      <c r="I3" s="47" t="s">
        <v>242</v>
      </c>
      <c r="J3" s="47" t="s">
        <v>243</v>
      </c>
    </row>
    <row r="4" spans="1:10" ht="14.45" customHeight="1">
      <c r="A4" s="22" t="s">
        <v>149</v>
      </c>
      <c r="B4" s="22" t="s">
        <v>155</v>
      </c>
      <c r="C4" s="22" t="s">
        <v>44</v>
      </c>
      <c r="D4" s="43" t="s">
        <v>197</v>
      </c>
      <c r="E4" s="44" t="s">
        <v>292</v>
      </c>
      <c r="F4" s="43" t="s">
        <v>293</v>
      </c>
      <c r="G4" s="133" t="s">
        <v>294</v>
      </c>
      <c r="H4" s="45" t="s">
        <v>295</v>
      </c>
      <c r="I4" s="45" t="s">
        <v>296</v>
      </c>
      <c r="J4" s="43" t="s">
        <v>297</v>
      </c>
    </row>
    <row r="5" spans="1:10" ht="14.45" customHeight="1">
      <c r="A5" s="22" t="s">
        <v>298</v>
      </c>
      <c r="B5" s="22" t="s">
        <v>299</v>
      </c>
      <c r="C5" s="22" t="s">
        <v>45</v>
      </c>
      <c r="D5" s="44" t="s">
        <v>204</v>
      </c>
      <c r="E5" s="43" t="s">
        <v>300</v>
      </c>
      <c r="F5" s="45" t="s">
        <v>301</v>
      </c>
      <c r="G5" s="133" t="s">
        <v>302</v>
      </c>
      <c r="H5" s="44" t="s">
        <v>303</v>
      </c>
      <c r="I5" s="44" t="s">
        <v>304</v>
      </c>
      <c r="J5" s="44" t="s">
        <v>305</v>
      </c>
    </row>
    <row r="6" spans="1:10" ht="14.45" customHeight="1">
      <c r="A6" s="22" t="s">
        <v>306</v>
      </c>
      <c r="B6" s="22" t="s">
        <v>307</v>
      </c>
      <c r="C6" s="22"/>
      <c r="D6" s="45" t="s">
        <v>215</v>
      </c>
      <c r="E6" s="43" t="s">
        <v>308</v>
      </c>
      <c r="F6" s="44" t="s">
        <v>309</v>
      </c>
      <c r="G6" s="133" t="s">
        <v>310</v>
      </c>
      <c r="H6" s="44" t="s">
        <v>311</v>
      </c>
      <c r="I6" s="44" t="s">
        <v>312</v>
      </c>
      <c r="J6" s="45" t="s">
        <v>313</v>
      </c>
    </row>
    <row r="7" spans="1:10">
      <c r="A7" s="22" t="s">
        <v>314</v>
      </c>
      <c r="B7" s="22"/>
      <c r="C7" s="22"/>
      <c r="D7" s="22"/>
      <c r="E7" s="45" t="s">
        <v>315</v>
      </c>
      <c r="F7" s="22"/>
      <c r="G7" s="22"/>
      <c r="H7" s="43" t="s">
        <v>316</v>
      </c>
      <c r="I7" s="43" t="s">
        <v>317</v>
      </c>
      <c r="J7" s="22"/>
    </row>
    <row r="8" spans="1:10">
      <c r="A8" s="22" t="s">
        <v>318</v>
      </c>
      <c r="B8" s="22"/>
      <c r="C8" s="22"/>
      <c r="D8" s="22"/>
      <c r="E8" s="22"/>
      <c r="F8" s="22"/>
      <c r="G8" s="22"/>
      <c r="H8" s="43" t="s">
        <v>319</v>
      </c>
      <c r="I8" s="22" t="s">
        <v>320</v>
      </c>
      <c r="J8" s="22"/>
    </row>
    <row r="9" spans="1:10">
      <c r="A9" s="22"/>
      <c r="B9" s="22"/>
      <c r="C9" s="22"/>
      <c r="D9" s="22"/>
      <c r="E9" s="22"/>
      <c r="F9" s="22"/>
      <c r="G9" s="22"/>
      <c r="H9" s="45" t="s">
        <v>321</v>
      </c>
      <c r="I9" s="22"/>
      <c r="J9" s="22"/>
    </row>
    <row r="10" spans="1:10">
      <c r="A10" s="22"/>
      <c r="B10" s="22"/>
      <c r="C10" s="22"/>
      <c r="D10" s="22"/>
      <c r="E10" s="22"/>
      <c r="F10" s="22"/>
      <c r="G10" s="22"/>
      <c r="H10" s="45" t="s">
        <v>322</v>
      </c>
      <c r="I10" s="22"/>
      <c r="J10" s="22"/>
    </row>
    <row r="11" spans="1:10">
      <c r="A11" s="22"/>
      <c r="B11" s="22"/>
      <c r="C11" s="22"/>
      <c r="D11" s="22"/>
      <c r="E11" s="22"/>
      <c r="F11" s="22"/>
      <c r="G11" s="22"/>
      <c r="H11" s="44" t="s">
        <v>323</v>
      </c>
      <c r="I11" s="22"/>
      <c r="J11" s="22"/>
    </row>
    <row r="12" spans="1:10">
      <c r="A12" s="22"/>
      <c r="B12" s="22"/>
      <c r="C12" s="22"/>
      <c r="D12" s="22"/>
      <c r="E12" s="22"/>
      <c r="F12" s="22"/>
      <c r="G12" s="22"/>
      <c r="H12" s="22"/>
      <c r="I12" s="22"/>
      <c r="J12" s="22"/>
    </row>
    <row r="13" spans="1:10">
      <c r="A13" s="22"/>
      <c r="B13" s="22"/>
      <c r="C13" s="22"/>
      <c r="D13" s="22"/>
      <c r="E13" s="22"/>
      <c r="F13" s="22"/>
      <c r="G13" s="22"/>
      <c r="H13" s="22"/>
      <c r="I13" s="22"/>
      <c r="J13" s="22"/>
    </row>
    <row r="14" spans="1:10">
      <c r="A14" s="22"/>
      <c r="B14" s="22"/>
      <c r="C14" s="22"/>
      <c r="D14" s="22"/>
      <c r="E14" s="22"/>
      <c r="F14" s="22"/>
      <c r="G14" s="22"/>
      <c r="H14" s="22"/>
      <c r="I14" s="22"/>
      <c r="J14" s="22"/>
    </row>
    <row r="15" spans="1:10">
      <c r="A15" s="22"/>
      <c r="B15" s="22"/>
      <c r="C15" s="22"/>
      <c r="D15" s="22"/>
      <c r="E15" s="22"/>
      <c r="F15" s="22"/>
      <c r="G15" s="22"/>
      <c r="H15" s="22"/>
      <c r="I15" s="22"/>
      <c r="J15" s="22"/>
    </row>
    <row r="16" spans="1:10">
      <c r="A16" s="22"/>
      <c r="B16" s="22"/>
      <c r="C16" s="22"/>
      <c r="D16" s="22"/>
      <c r="E16" s="22"/>
      <c r="F16" s="22"/>
      <c r="G16" s="22"/>
      <c r="H16" s="22"/>
      <c r="I16" s="22"/>
      <c r="J16" s="22"/>
    </row>
    <row r="17" spans="1:12">
      <c r="A17" s="22"/>
      <c r="B17" s="22"/>
      <c r="C17" s="22"/>
      <c r="D17" s="22"/>
      <c r="E17" s="22"/>
      <c r="F17" s="22"/>
      <c r="G17" s="22"/>
      <c r="H17" s="22"/>
      <c r="I17" s="22"/>
      <c r="J17" s="22"/>
    </row>
    <row r="18" spans="1:12">
      <c r="A18" s="22"/>
      <c r="B18" s="22"/>
      <c r="C18" s="22"/>
      <c r="D18" s="22"/>
      <c r="E18" s="22"/>
      <c r="F18" s="22"/>
      <c r="G18" s="22"/>
      <c r="H18" s="22"/>
      <c r="I18" s="22"/>
      <c r="J18" s="22"/>
    </row>
    <row r="19" spans="1:12">
      <c r="A19" s="22"/>
      <c r="B19" s="22"/>
      <c r="C19" s="22"/>
      <c r="D19" s="22"/>
      <c r="E19" s="22"/>
      <c r="F19" s="22"/>
      <c r="G19" s="22"/>
      <c r="H19" s="22"/>
      <c r="I19" s="22"/>
      <c r="J19" s="22"/>
    </row>
    <row r="24" spans="1:12">
      <c r="A24" s="504" t="s">
        <v>324</v>
      </c>
      <c r="B24" s="433"/>
      <c r="C24" s="433"/>
      <c r="D24" s="433"/>
      <c r="E24" s="433"/>
      <c r="F24" s="433"/>
      <c r="G24" s="433"/>
      <c r="H24" s="434"/>
      <c r="I24" s="92"/>
      <c r="J24" s="93"/>
      <c r="K24" s="93"/>
      <c r="L24" s="93"/>
    </row>
    <row r="25" spans="1:12">
      <c r="A25" s="47" t="s">
        <v>42</v>
      </c>
      <c r="B25" s="47" t="s">
        <v>63</v>
      </c>
      <c r="C25" s="47" t="s">
        <v>70</v>
      </c>
      <c r="D25" s="47" t="s">
        <v>73</v>
      </c>
      <c r="E25" s="47" t="s">
        <v>76</v>
      </c>
      <c r="F25" s="47" t="s">
        <v>89</v>
      </c>
      <c r="G25" s="47" t="s">
        <v>94</v>
      </c>
      <c r="H25" s="47" t="s">
        <v>98</v>
      </c>
      <c r="I25" s="47" t="s">
        <v>102</v>
      </c>
      <c r="J25" s="91" t="s">
        <v>325</v>
      </c>
      <c r="K25" s="91" t="s">
        <v>326</v>
      </c>
      <c r="L25" s="91" t="s">
        <v>244</v>
      </c>
    </row>
    <row r="26" spans="1:12" ht="57.95" customHeight="1">
      <c r="A26" s="23" t="s">
        <v>44</v>
      </c>
      <c r="B26" s="134" t="s">
        <v>327</v>
      </c>
      <c r="C26" s="133" t="s">
        <v>328</v>
      </c>
      <c r="D26" s="23" t="s">
        <v>329</v>
      </c>
      <c r="E26" s="133" t="s">
        <v>77</v>
      </c>
      <c r="F26" s="79" t="s">
        <v>90</v>
      </c>
      <c r="G26" s="23" t="s">
        <v>95</v>
      </c>
      <c r="H26" s="23" t="s">
        <v>99</v>
      </c>
      <c r="I26" s="23" t="s">
        <v>103</v>
      </c>
      <c r="J26" s="94" t="s">
        <v>330</v>
      </c>
      <c r="K26" s="106" t="s">
        <v>83</v>
      </c>
      <c r="L26" s="133" t="s">
        <v>45</v>
      </c>
    </row>
    <row r="27" spans="1:12" ht="57.95" customHeight="1">
      <c r="A27" s="23" t="s">
        <v>45</v>
      </c>
      <c r="B27" s="135" t="s">
        <v>331</v>
      </c>
      <c r="C27" s="133" t="s">
        <v>332</v>
      </c>
      <c r="D27" s="78" t="s">
        <v>75</v>
      </c>
      <c r="E27" s="133" t="s">
        <v>78</v>
      </c>
      <c r="F27" s="79" t="s">
        <v>91</v>
      </c>
      <c r="G27" s="23" t="s">
        <v>96</v>
      </c>
      <c r="H27" s="23" t="s">
        <v>100</v>
      </c>
      <c r="I27" s="23" t="s">
        <v>104</v>
      </c>
      <c r="J27" s="94" t="s">
        <v>333</v>
      </c>
      <c r="K27" s="107" t="s">
        <v>84</v>
      </c>
      <c r="L27" s="133" t="s">
        <v>44</v>
      </c>
    </row>
    <row r="28" spans="1:12" ht="43.5" customHeight="1">
      <c r="A28" s="23"/>
      <c r="B28" s="136" t="s">
        <v>334</v>
      </c>
      <c r="C28" s="133" t="s">
        <v>335</v>
      </c>
      <c r="D28" s="23"/>
      <c r="E28" s="133" t="s">
        <v>336</v>
      </c>
      <c r="F28" s="79" t="s">
        <v>92</v>
      </c>
      <c r="G28" s="23"/>
      <c r="H28" s="23"/>
      <c r="I28" s="23"/>
      <c r="J28" s="45" t="s">
        <v>337</v>
      </c>
      <c r="K28" s="45" t="s">
        <v>85</v>
      </c>
      <c r="L28" s="133" t="s">
        <v>338</v>
      </c>
    </row>
    <row r="29" spans="1:12">
      <c r="A29" s="23"/>
      <c r="B29" s="23"/>
      <c r="C29" s="62"/>
      <c r="D29" s="23"/>
      <c r="E29" s="23"/>
      <c r="F29" s="23"/>
      <c r="G29" s="23"/>
      <c r="H29" s="23"/>
      <c r="I29" s="23"/>
      <c r="J29" s="44" t="s">
        <v>339</v>
      </c>
      <c r="K29" s="22"/>
      <c r="L29" s="22"/>
    </row>
    <row r="30" spans="1:12">
      <c r="A30" s="23"/>
      <c r="B30" s="23"/>
      <c r="C30" s="62"/>
      <c r="D30" s="23"/>
      <c r="E30" s="23"/>
      <c r="F30" s="23"/>
      <c r="G30" s="23"/>
      <c r="H30" s="23"/>
      <c r="I30" s="23"/>
      <c r="J30" s="43" t="s">
        <v>340</v>
      </c>
      <c r="K30" s="22"/>
      <c r="L30" s="22"/>
    </row>
    <row r="31" spans="1:12">
      <c r="A31" s="23"/>
      <c r="B31" s="23"/>
      <c r="C31" s="62"/>
      <c r="D31" s="23"/>
      <c r="E31" s="23"/>
      <c r="F31" s="23"/>
      <c r="G31" s="23"/>
      <c r="H31" s="23"/>
      <c r="I31" s="23"/>
      <c r="J31" s="22"/>
      <c r="K31" s="22"/>
      <c r="L31" s="22"/>
    </row>
    <row r="32" spans="1:12">
      <c r="A32" s="23"/>
      <c r="B32" s="23"/>
      <c r="C32" s="62"/>
      <c r="D32" s="23"/>
      <c r="E32" s="23"/>
      <c r="F32" s="23"/>
      <c r="G32" s="23"/>
      <c r="H32" s="23"/>
      <c r="I32" s="23"/>
      <c r="J32" s="22"/>
      <c r="K32" s="22"/>
      <c r="L32" s="22"/>
    </row>
    <row r="35" spans="1:3">
      <c r="A35" s="504" t="s">
        <v>341</v>
      </c>
      <c r="B35" s="433"/>
      <c r="C35" s="434"/>
    </row>
    <row r="36" spans="1:3">
      <c r="A36" s="22" t="s">
        <v>342</v>
      </c>
      <c r="B36" s="22" t="s">
        <v>343</v>
      </c>
      <c r="C36" s="22" t="s">
        <v>344</v>
      </c>
    </row>
    <row r="37" spans="1:3">
      <c r="A37" s="22" t="s">
        <v>44</v>
      </c>
      <c r="B37" s="22" t="s">
        <v>116</v>
      </c>
      <c r="C37" s="22" t="s">
        <v>345</v>
      </c>
    </row>
    <row r="38" spans="1:3">
      <c r="A38" s="22" t="s">
        <v>45</v>
      </c>
      <c r="B38" s="99" t="s">
        <v>117</v>
      </c>
      <c r="C38" s="22" t="s">
        <v>178</v>
      </c>
    </row>
    <row r="39" spans="1:3" ht="15" customHeight="1">
      <c r="B39" s="421" t="s">
        <v>114</v>
      </c>
    </row>
  </sheetData>
  <mergeCells count="3">
    <mergeCell ref="A35:C35"/>
    <mergeCell ref="A1:J1"/>
    <mergeCell ref="A24:H2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89999084444715716"/>
  </sheetPr>
  <dimension ref="A1:U344"/>
  <sheetViews>
    <sheetView showGridLines="0" topLeftCell="A19" workbookViewId="0">
      <selection activeCell="E34" sqref="E34"/>
    </sheetView>
  </sheetViews>
  <sheetFormatPr defaultColWidth="9.140625" defaultRowHeight="13.5"/>
  <cols>
    <col min="1" max="1" width="3.7109375" style="161" customWidth="1"/>
    <col min="2" max="2" width="6.5703125" style="161" customWidth="1"/>
    <col min="3" max="3" width="12.42578125" style="161" customWidth="1"/>
    <col min="4" max="4" width="18.42578125" style="161" customWidth="1"/>
    <col min="5" max="6" width="15.7109375" style="161" customWidth="1"/>
    <col min="7" max="7" width="13.28515625" style="161" customWidth="1"/>
    <col min="8" max="8" width="14.7109375" style="161" customWidth="1"/>
    <col min="9" max="10" width="9.140625" style="161" customWidth="1"/>
    <col min="11" max="11" width="14.42578125" style="161" customWidth="1"/>
    <col min="12" max="12" width="7.85546875" style="161" customWidth="1"/>
    <col min="13" max="13" width="6.85546875" style="161" customWidth="1"/>
    <col min="14" max="14" width="7.28515625" style="161" customWidth="1"/>
    <col min="15" max="15" width="7.7109375" style="161" customWidth="1"/>
    <col min="16" max="16" width="12" style="161" customWidth="1"/>
    <col min="17" max="17" width="12.28515625" style="161" customWidth="1"/>
    <col min="18" max="21" width="15.7109375" style="161" customWidth="1"/>
    <col min="22" max="23" width="9.140625" style="161" customWidth="1"/>
    <col min="24" max="16384" width="9.140625" style="161"/>
  </cols>
  <sheetData>
    <row r="1" spans="2:21" s="140" customFormat="1" ht="70.5" customHeight="1">
      <c r="B1" s="139"/>
      <c r="C1" s="139"/>
      <c r="D1" s="139"/>
      <c r="E1" s="139"/>
      <c r="F1" s="139"/>
      <c r="G1" s="139"/>
      <c r="H1" s="139"/>
      <c r="I1" s="139"/>
      <c r="J1" s="139"/>
      <c r="K1" s="139"/>
      <c r="L1" s="139"/>
      <c r="M1" s="139"/>
      <c r="N1" s="139"/>
      <c r="O1" s="139"/>
      <c r="P1" s="139"/>
    </row>
    <row r="2" spans="2:21" s="141" customFormat="1" ht="41.1" customHeight="1">
      <c r="B2" s="538" t="s">
        <v>346</v>
      </c>
      <c r="C2" s="522"/>
      <c r="D2" s="522"/>
      <c r="E2" s="522"/>
      <c r="F2" s="522"/>
      <c r="G2" s="522"/>
      <c r="H2" s="522"/>
      <c r="I2" s="522"/>
      <c r="J2" s="522"/>
      <c r="K2" s="522"/>
      <c r="L2" s="522"/>
      <c r="M2" s="522"/>
      <c r="N2" s="522"/>
      <c r="O2" s="522"/>
      <c r="P2" s="523"/>
    </row>
    <row r="3" spans="2:21" s="142" customFormat="1" ht="12.6" customHeight="1"/>
    <row r="4" spans="2:21" s="144" customFormat="1" ht="18.600000000000001" customHeight="1">
      <c r="B4" s="143" t="s">
        <v>347</v>
      </c>
      <c r="C4" s="143"/>
      <c r="D4" s="573" t="s">
        <v>348</v>
      </c>
      <c r="E4" s="522"/>
      <c r="F4" s="522"/>
      <c r="G4" s="522"/>
      <c r="H4" s="522"/>
      <c r="I4" s="523"/>
    </row>
    <row r="5" spans="2:21" s="144" customFormat="1" ht="18" customHeight="1">
      <c r="B5" s="143" t="s">
        <v>349</v>
      </c>
      <c r="C5" s="145"/>
      <c r="D5" s="547" t="s">
        <v>350</v>
      </c>
      <c r="E5" s="522"/>
      <c r="F5" s="522"/>
      <c r="G5" s="522"/>
      <c r="H5" s="522"/>
      <c r="I5" s="523"/>
    </row>
    <row r="6" spans="2:21" s="142" customFormat="1" ht="6.95" customHeight="1">
      <c r="L6" s="146"/>
      <c r="M6" s="146"/>
      <c r="N6" s="146"/>
      <c r="O6" s="146"/>
    </row>
    <row r="7" spans="2:21" s="140" customFormat="1" ht="15" customHeight="1">
      <c r="B7" s="147" t="s">
        <v>351</v>
      </c>
      <c r="C7" s="148"/>
      <c r="D7" s="149"/>
      <c r="E7" s="150"/>
      <c r="F7" s="151"/>
      <c r="G7" s="147" t="s">
        <v>352</v>
      </c>
      <c r="H7" s="149"/>
      <c r="I7" s="150"/>
      <c r="J7" s="152"/>
      <c r="K7" s="152"/>
      <c r="L7" s="153"/>
      <c r="M7" s="152"/>
    </row>
    <row r="8" spans="2:21" ht="24.95" customHeight="1">
      <c r="B8" s="510" t="s">
        <v>353</v>
      </c>
      <c r="C8" s="511"/>
      <c r="D8" s="511"/>
      <c r="E8" s="154">
        <v>7700</v>
      </c>
      <c r="F8" s="155"/>
      <c r="G8" s="156" t="s">
        <v>354</v>
      </c>
      <c r="H8" s="157" t="s">
        <v>355</v>
      </c>
      <c r="I8" s="158" t="s">
        <v>356</v>
      </c>
      <c r="J8" s="159"/>
      <c r="K8" s="159"/>
      <c r="L8" s="160"/>
    </row>
    <row r="9" spans="2:21" s="171" customFormat="1" ht="15" customHeight="1">
      <c r="B9" s="512" t="s">
        <v>357</v>
      </c>
      <c r="C9" s="513"/>
      <c r="D9" s="513"/>
      <c r="E9" s="162">
        <v>6.06</v>
      </c>
      <c r="F9" s="163"/>
      <c r="G9" s="164">
        <f>IF(H9=0,0,1)</f>
        <v>0</v>
      </c>
      <c r="H9" s="165">
        <f>E22</f>
        <v>0</v>
      </c>
      <c r="I9" s="166">
        <v>0</v>
      </c>
      <c r="J9" s="167"/>
      <c r="K9" s="168"/>
      <c r="L9" s="169"/>
      <c r="M9" s="170"/>
      <c r="R9" s="172"/>
      <c r="S9" s="173"/>
      <c r="T9" s="174"/>
    </row>
    <row r="10" spans="2:21" s="171" customFormat="1" ht="15" customHeight="1">
      <c r="B10" s="512" t="s">
        <v>358</v>
      </c>
      <c r="C10" s="513"/>
      <c r="D10" s="513"/>
      <c r="E10" s="175">
        <v>0.03</v>
      </c>
      <c r="F10" s="163"/>
      <c r="G10" s="176">
        <f>H9+1</f>
        <v>1</v>
      </c>
      <c r="H10" s="177">
        <v>12</v>
      </c>
      <c r="I10" s="178">
        <f>E9</f>
        <v>6.06</v>
      </c>
      <c r="K10" s="179"/>
      <c r="L10" s="180"/>
    </row>
    <row r="11" spans="2:21" s="171" customFormat="1" ht="15" customHeight="1">
      <c r="B11" s="550" t="s">
        <v>359</v>
      </c>
      <c r="C11" s="513"/>
      <c r="D11" s="181"/>
      <c r="E11" s="182">
        <f>IFERROR((IFERROR(INDEX(G71:G88,MATCH(TRUE,INDEX((G71:G88&lt;&gt;0),0),0)),0)+IFERROR(INDEX(F71:F88,MATCH(TRUE,INDEX((F71:F88&lt;&gt;0),0),0)),0)+H71)*12/E8,0)</f>
        <v>0</v>
      </c>
      <c r="F11" s="183" t="str">
        <f>IFERROR(IF((E11/E9)&lt;25%,"ALERT","OK")," ")</f>
        <v>ALERT</v>
      </c>
      <c r="G11" s="176">
        <f t="shared" ref="G11:G29" si="0">IF(H10&lt;$E$21,IF(H10&gt;1,(H10+1),""),"")</f>
        <v>13</v>
      </c>
      <c r="H11" s="177">
        <f t="shared" ref="H11:H29" si="1">IF(G11="","",IF(G11+11&gt;$E$21,$E$21,G11+11))</f>
        <v>24</v>
      </c>
      <c r="I11" s="184">
        <f t="shared" ref="I11:I29" si="2">IF(H11&lt;&gt;"",(I10*(1+$E$10)),0)</f>
        <v>6.2417999999999996</v>
      </c>
      <c r="K11" s="179"/>
      <c r="L11" s="185"/>
      <c r="Q11" s="186"/>
      <c r="R11" s="186"/>
      <c r="S11" s="186"/>
      <c r="T11" s="186"/>
    </row>
    <row r="12" spans="2:21" s="171" customFormat="1" ht="15" customHeight="1">
      <c r="B12" s="554" t="s">
        <v>360</v>
      </c>
      <c r="C12" s="513"/>
      <c r="D12" s="513"/>
      <c r="E12" s="188"/>
      <c r="F12" s="189"/>
      <c r="G12" s="176">
        <f t="shared" si="0"/>
        <v>25</v>
      </c>
      <c r="H12" s="177">
        <f t="shared" si="1"/>
        <v>36</v>
      </c>
      <c r="I12" s="184">
        <f t="shared" si="2"/>
        <v>6.4290539999999998</v>
      </c>
      <c r="K12" s="179"/>
      <c r="L12" s="190"/>
      <c r="Q12" s="191"/>
      <c r="R12" s="192"/>
      <c r="S12" s="192"/>
      <c r="T12" s="192"/>
    </row>
    <row r="13" spans="2:21" s="171" customFormat="1" ht="15" customHeight="1">
      <c r="B13" s="554" t="s">
        <v>361</v>
      </c>
      <c r="C13" s="513"/>
      <c r="D13" s="513"/>
      <c r="E13" s="188"/>
      <c r="F13" s="193"/>
      <c r="G13" s="176">
        <f t="shared" si="0"/>
        <v>37</v>
      </c>
      <c r="H13" s="177">
        <f t="shared" si="1"/>
        <v>48</v>
      </c>
      <c r="I13" s="184">
        <f t="shared" si="2"/>
        <v>6.6219256199999998</v>
      </c>
      <c r="K13" s="179"/>
      <c r="L13" s="194"/>
      <c r="M13" s="179"/>
      <c r="Q13" s="191"/>
      <c r="R13" s="192"/>
      <c r="S13" s="192"/>
      <c r="T13" s="192"/>
    </row>
    <row r="14" spans="2:21" s="171" customFormat="1" ht="15" customHeight="1">
      <c r="B14" s="554" t="s">
        <v>362</v>
      </c>
      <c r="C14" s="513"/>
      <c r="D14" s="513"/>
      <c r="E14" s="195"/>
      <c r="F14" s="196"/>
      <c r="G14" s="176">
        <f t="shared" si="0"/>
        <v>49</v>
      </c>
      <c r="H14" s="177">
        <f t="shared" si="1"/>
        <v>60</v>
      </c>
      <c r="I14" s="184">
        <f t="shared" si="2"/>
        <v>6.8205833886000002</v>
      </c>
      <c r="K14" s="179"/>
      <c r="L14" s="194"/>
      <c r="M14" s="197"/>
      <c r="Q14" s="191"/>
      <c r="R14" s="192"/>
      <c r="S14" s="192"/>
      <c r="T14" s="192"/>
    </row>
    <row r="15" spans="2:21" s="171" customFormat="1" ht="15" customHeight="1">
      <c r="B15" s="198"/>
      <c r="D15" s="187" t="s">
        <v>363</v>
      </c>
      <c r="E15" s="199">
        <v>0.2</v>
      </c>
      <c r="F15" s="196"/>
      <c r="G15" s="176" t="str">
        <f t="shared" si="0"/>
        <v/>
      </c>
      <c r="H15" s="177" t="str">
        <f t="shared" si="1"/>
        <v/>
      </c>
      <c r="I15" s="184">
        <f t="shared" si="2"/>
        <v>0</v>
      </c>
      <c r="K15" s="179"/>
      <c r="L15" s="194"/>
      <c r="M15" s="179"/>
    </row>
    <row r="16" spans="2:21" s="171" customFormat="1" ht="15" customHeight="1">
      <c r="B16" s="200">
        <v>0</v>
      </c>
      <c r="C16" s="201" t="s">
        <v>364</v>
      </c>
      <c r="D16" s="187" t="s">
        <v>365</v>
      </c>
      <c r="E16" s="202">
        <f>IFERROR((INDEX(G71:G88,MATCH(TRUE,INDEX((G71:G88&lt;&gt;0),0),0))/E8)*12,0)</f>
        <v>0</v>
      </c>
      <c r="F16" s="203"/>
      <c r="G16" s="176" t="str">
        <f t="shared" si="0"/>
        <v/>
      </c>
      <c r="H16" s="177" t="str">
        <f t="shared" si="1"/>
        <v/>
      </c>
      <c r="I16" s="184">
        <f t="shared" si="2"/>
        <v>0</v>
      </c>
      <c r="K16" s="179"/>
      <c r="L16" s="194"/>
      <c r="M16" s="179"/>
      <c r="Q16" s="174"/>
      <c r="R16" s="186"/>
      <c r="S16" s="186"/>
      <c r="T16" s="186"/>
      <c r="U16" s="186"/>
    </row>
    <row r="17" spans="2:21" s="171" customFormat="1" ht="15" customHeight="1">
      <c r="B17" s="204">
        <v>0</v>
      </c>
      <c r="C17" s="205" t="s">
        <v>364</v>
      </c>
      <c r="D17" s="187" t="s">
        <v>366</v>
      </c>
      <c r="E17" s="202">
        <f>IFERROR((INDEX(F71:F88,MATCH(TRUE,INDEX((F71:F88&lt;&gt;0),0),0))/E8)*12,0)</f>
        <v>0</v>
      </c>
      <c r="F17" s="193"/>
      <c r="G17" s="176" t="str">
        <f t="shared" si="0"/>
        <v/>
      </c>
      <c r="H17" s="177" t="str">
        <f t="shared" si="1"/>
        <v/>
      </c>
      <c r="I17" s="184">
        <f t="shared" si="2"/>
        <v>0</v>
      </c>
      <c r="K17" s="179"/>
      <c r="L17" s="194"/>
      <c r="M17" s="179"/>
      <c r="Q17" s="174"/>
      <c r="R17" s="206"/>
      <c r="S17" s="206"/>
      <c r="T17" s="207"/>
      <c r="U17" s="207"/>
    </row>
    <row r="18" spans="2:21" s="171" customFormat="1" ht="15" customHeight="1">
      <c r="B18" s="208" t="s">
        <v>367</v>
      </c>
      <c r="C18" s="143"/>
      <c r="D18" s="209"/>
      <c r="E18" s="210">
        <v>0.02</v>
      </c>
      <c r="F18" s="211"/>
      <c r="G18" s="176" t="str">
        <f t="shared" si="0"/>
        <v/>
      </c>
      <c r="H18" s="177" t="str">
        <f t="shared" si="1"/>
        <v/>
      </c>
      <c r="I18" s="184">
        <f t="shared" si="2"/>
        <v>0</v>
      </c>
      <c r="K18" s="179"/>
      <c r="L18" s="194"/>
      <c r="M18" s="179" t="s">
        <v>368</v>
      </c>
      <c r="Q18" s="174"/>
      <c r="R18" s="206"/>
      <c r="S18" s="206"/>
      <c r="T18" s="207"/>
      <c r="U18" s="207"/>
    </row>
    <row r="19" spans="2:21" s="171" customFormat="1" ht="15" customHeight="1">
      <c r="B19" s="208" t="s">
        <v>369</v>
      </c>
      <c r="C19" s="143"/>
      <c r="D19" s="209"/>
      <c r="E19" s="212">
        <f>IF(E20="","",DATE(YEAR(--E20)+1,1,1))</f>
        <v>46388</v>
      </c>
      <c r="F19" s="213"/>
      <c r="G19" s="176" t="str">
        <f t="shared" si="0"/>
        <v/>
      </c>
      <c r="H19" s="177" t="str">
        <f t="shared" si="1"/>
        <v/>
      </c>
      <c r="I19" s="184">
        <f t="shared" si="2"/>
        <v>0</v>
      </c>
      <c r="K19" s="179"/>
      <c r="L19" s="194"/>
      <c r="M19" s="179"/>
      <c r="Q19" s="174"/>
      <c r="R19" s="207"/>
      <c r="S19" s="207"/>
      <c r="T19" s="207"/>
      <c r="U19" s="207"/>
    </row>
    <row r="20" spans="2:21" s="171" customFormat="1" ht="15" customHeight="1">
      <c r="B20" s="208" t="s">
        <v>370</v>
      </c>
      <c r="C20" s="143"/>
      <c r="D20" s="209"/>
      <c r="E20" s="214">
        <v>46235</v>
      </c>
      <c r="F20" s="215"/>
      <c r="G20" s="176" t="str">
        <f t="shared" si="0"/>
        <v/>
      </c>
      <c r="H20" s="177" t="str">
        <f t="shared" si="1"/>
        <v/>
      </c>
      <c r="I20" s="184">
        <f t="shared" si="2"/>
        <v>0</v>
      </c>
      <c r="K20" s="179"/>
      <c r="L20" s="194"/>
      <c r="M20" s="179"/>
      <c r="Q20" s="216"/>
      <c r="R20" s="217"/>
      <c r="S20" s="217"/>
      <c r="T20" s="217"/>
      <c r="U20" s="207"/>
    </row>
    <row r="21" spans="2:21" s="171" customFormat="1" ht="15" customHeight="1">
      <c r="B21" s="208" t="s">
        <v>371</v>
      </c>
      <c r="C21" s="143"/>
      <c r="D21" s="209"/>
      <c r="E21" s="218">
        <v>60</v>
      </c>
      <c r="F21" s="219"/>
      <c r="G21" s="176" t="str">
        <f t="shared" si="0"/>
        <v/>
      </c>
      <c r="H21" s="177" t="str">
        <f t="shared" si="1"/>
        <v/>
      </c>
      <c r="I21" s="184">
        <f t="shared" si="2"/>
        <v>0</v>
      </c>
      <c r="K21" s="179"/>
      <c r="L21" s="194"/>
      <c r="M21" s="179"/>
    </row>
    <row r="22" spans="2:21" s="171" customFormat="1" ht="15" customHeight="1">
      <c r="B22" s="208" t="s">
        <v>372</v>
      </c>
      <c r="C22" s="143"/>
      <c r="D22" s="209"/>
      <c r="E22" s="220">
        <v>0</v>
      </c>
      <c r="F22" s="213"/>
      <c r="G22" s="176" t="str">
        <f t="shared" si="0"/>
        <v/>
      </c>
      <c r="H22" s="177" t="str">
        <f t="shared" si="1"/>
        <v/>
      </c>
      <c r="I22" s="184">
        <f t="shared" si="2"/>
        <v>0</v>
      </c>
      <c r="K22" s="179"/>
      <c r="M22" s="179"/>
      <c r="Q22" s="174"/>
      <c r="R22" s="206"/>
    </row>
    <row r="23" spans="2:21" s="171" customFormat="1" ht="15" customHeight="1">
      <c r="B23" s="208" t="s">
        <v>373</v>
      </c>
      <c r="C23" s="143"/>
      <c r="D23" s="209"/>
      <c r="E23" s="221">
        <v>0</v>
      </c>
      <c r="F23" s="222"/>
      <c r="G23" s="176" t="str">
        <f t="shared" si="0"/>
        <v/>
      </c>
      <c r="H23" s="177" t="str">
        <f t="shared" si="1"/>
        <v/>
      </c>
      <c r="I23" s="184">
        <f t="shared" si="2"/>
        <v>0</v>
      </c>
      <c r="L23" s="223"/>
      <c r="Q23" s="174"/>
      <c r="R23" s="206"/>
    </row>
    <row r="24" spans="2:21" s="171" customFormat="1" ht="15" customHeight="1">
      <c r="B24" s="208" t="s">
        <v>374</v>
      </c>
      <c r="C24" s="143"/>
      <c r="D24" s="209"/>
      <c r="E24" s="224">
        <v>0</v>
      </c>
      <c r="F24" s="222"/>
      <c r="G24" s="176" t="str">
        <f t="shared" si="0"/>
        <v/>
      </c>
      <c r="H24" s="177" t="str">
        <f t="shared" si="1"/>
        <v/>
      </c>
      <c r="I24" s="184">
        <f t="shared" si="2"/>
        <v>0</v>
      </c>
      <c r="L24" s="223"/>
      <c r="Q24" s="174"/>
      <c r="R24" s="207"/>
    </row>
    <row r="25" spans="2:21" s="171" customFormat="1" ht="15" customHeight="1">
      <c r="B25" s="208" t="s">
        <v>375</v>
      </c>
      <c r="C25" s="143"/>
      <c r="D25" s="209"/>
      <c r="E25" s="224" t="s">
        <v>376</v>
      </c>
      <c r="F25" s="222"/>
      <c r="G25" s="176" t="str">
        <f t="shared" si="0"/>
        <v/>
      </c>
      <c r="H25" s="177" t="str">
        <f t="shared" si="1"/>
        <v/>
      </c>
      <c r="I25" s="184">
        <f t="shared" si="2"/>
        <v>0</v>
      </c>
      <c r="L25" s="223"/>
      <c r="Q25" s="174"/>
      <c r="R25" s="207"/>
    </row>
    <row r="26" spans="2:21" s="171" customFormat="1" ht="15" customHeight="1">
      <c r="B26" s="225" t="s">
        <v>377</v>
      </c>
      <c r="C26" s="226"/>
      <c r="D26" s="227"/>
      <c r="E26" s="228">
        <v>0</v>
      </c>
      <c r="F26" s="222"/>
      <c r="G26" s="176" t="str">
        <f t="shared" si="0"/>
        <v/>
      </c>
      <c r="H26" s="177" t="str">
        <f t="shared" si="1"/>
        <v/>
      </c>
      <c r="I26" s="184">
        <f t="shared" si="2"/>
        <v>0</v>
      </c>
      <c r="L26" s="223"/>
    </row>
    <row r="27" spans="2:21" s="229" customFormat="1" ht="15" customHeight="1">
      <c r="F27" s="230"/>
      <c r="G27" s="176" t="str">
        <f t="shared" si="0"/>
        <v/>
      </c>
      <c r="H27" s="177" t="str">
        <f t="shared" si="1"/>
        <v/>
      </c>
      <c r="I27" s="184">
        <f t="shared" si="2"/>
        <v>0</v>
      </c>
      <c r="L27" s="231"/>
    </row>
    <row r="28" spans="2:21" s="229" customFormat="1" ht="15" customHeight="1">
      <c r="B28" s="232"/>
      <c r="C28" s="232"/>
      <c r="D28" s="232"/>
      <c r="E28" s="230"/>
      <c r="F28" s="230"/>
      <c r="G28" s="176" t="str">
        <f t="shared" si="0"/>
        <v/>
      </c>
      <c r="H28" s="177" t="str">
        <f t="shared" si="1"/>
        <v/>
      </c>
      <c r="I28" s="184">
        <f t="shared" si="2"/>
        <v>0</v>
      </c>
      <c r="L28" s="231"/>
    </row>
    <row r="29" spans="2:21" s="229" customFormat="1" ht="15" customHeight="1">
      <c r="B29" s="232"/>
      <c r="C29" s="232"/>
      <c r="D29" s="232"/>
      <c r="E29" s="230"/>
      <c r="F29" s="230"/>
      <c r="G29" s="233" t="str">
        <f t="shared" si="0"/>
        <v/>
      </c>
      <c r="H29" s="234" t="str">
        <f t="shared" si="1"/>
        <v/>
      </c>
      <c r="I29" s="235">
        <f t="shared" si="2"/>
        <v>0</v>
      </c>
      <c r="L29" s="231"/>
    </row>
    <row r="30" spans="2:21" s="142" customFormat="1" ht="12.75" customHeight="1">
      <c r="B30" s="236"/>
      <c r="C30" s="236"/>
      <c r="D30" s="236"/>
      <c r="E30" s="237"/>
      <c r="F30" s="238"/>
      <c r="G30" s="238"/>
      <c r="H30" s="238"/>
    </row>
    <row r="31" spans="2:21" s="140" customFormat="1" ht="15" customHeight="1">
      <c r="B31" s="147" t="s">
        <v>378</v>
      </c>
      <c r="C31" s="149"/>
      <c r="D31" s="149"/>
      <c r="E31" s="239"/>
      <c r="F31" s="240"/>
      <c r="G31" s="545"/>
      <c r="H31" s="522"/>
      <c r="I31" s="546"/>
      <c r="J31" s="522"/>
      <c r="K31" s="241"/>
      <c r="L31" s="242"/>
    </row>
    <row r="32" spans="2:21" s="249" customFormat="1" ht="41.1" customHeight="1">
      <c r="B32" s="243"/>
      <c r="C32" s="244"/>
      <c r="D32" s="245" t="s">
        <v>379</v>
      </c>
      <c r="E32" s="246" t="s">
        <v>380</v>
      </c>
      <c r="F32" s="157" t="s">
        <v>381</v>
      </c>
      <c r="G32" s="574" t="s">
        <v>382</v>
      </c>
      <c r="H32" s="552"/>
      <c r="I32" s="551" t="s">
        <v>383</v>
      </c>
      <c r="J32" s="552"/>
      <c r="K32" s="553" t="s">
        <v>384</v>
      </c>
      <c r="L32" s="523"/>
      <c r="M32" s="248"/>
    </row>
    <row r="33" spans="1:16" ht="15" customHeight="1">
      <c r="B33" s="558" t="s">
        <v>385</v>
      </c>
      <c r="C33" s="537"/>
      <c r="D33" s="250">
        <f>E26*E8</f>
        <v>0</v>
      </c>
      <c r="E33" s="251"/>
      <c r="F33" s="252"/>
      <c r="G33" s="559">
        <f>E33+D33+F33</f>
        <v>0</v>
      </c>
      <c r="H33" s="560"/>
      <c r="I33" s="565"/>
      <c r="J33" s="566"/>
      <c r="K33" s="541">
        <f>MAX(0,I33-F33-E33-D33)</f>
        <v>0</v>
      </c>
      <c r="L33" s="446"/>
    </row>
    <row r="34" spans="1:16" ht="15" customHeight="1">
      <c r="B34" s="524" t="s">
        <v>386</v>
      </c>
      <c r="C34" s="520"/>
      <c r="D34" s="253"/>
      <c r="E34" s="254"/>
      <c r="F34" s="255"/>
      <c r="G34" s="561"/>
      <c r="H34" s="562"/>
      <c r="I34" s="567"/>
      <c r="J34" s="568"/>
      <c r="K34" s="542"/>
      <c r="L34" s="499"/>
    </row>
    <row r="35" spans="1:16" ht="15" customHeight="1">
      <c r="B35" s="524" t="s">
        <v>387</v>
      </c>
      <c r="C35" s="520"/>
      <c r="D35" s="256"/>
      <c r="E35" s="257"/>
      <c r="F35" s="258"/>
      <c r="G35" s="561"/>
      <c r="H35" s="562"/>
      <c r="I35" s="567"/>
      <c r="J35" s="568"/>
      <c r="K35" s="542"/>
      <c r="L35" s="499"/>
    </row>
    <row r="36" spans="1:16" ht="17.25" customHeight="1">
      <c r="B36" s="529" t="s">
        <v>388</v>
      </c>
      <c r="C36" s="530"/>
      <c r="D36" s="259"/>
      <c r="E36" s="260">
        <f>IFERROR(PMT(E35/12,E34,-E33,0),0)</f>
        <v>0</v>
      </c>
      <c r="F36" s="261">
        <f>IFERROR(PMT(F35/12,F34,-F33,0),0)</f>
        <v>0</v>
      </c>
      <c r="G36" s="561"/>
      <c r="H36" s="562"/>
      <c r="I36" s="567"/>
      <c r="J36" s="568"/>
      <c r="K36" s="542"/>
      <c r="L36" s="499"/>
    </row>
    <row r="37" spans="1:16" ht="17.25" customHeight="1">
      <c r="B37" s="262"/>
      <c r="C37" s="527" t="s">
        <v>389</v>
      </c>
      <c r="D37" s="528"/>
      <c r="E37" s="263"/>
      <c r="F37" s="264"/>
      <c r="G37" s="563"/>
      <c r="H37" s="564"/>
      <c r="I37" s="569"/>
      <c r="J37" s="570"/>
      <c r="K37" s="543"/>
      <c r="L37" s="473"/>
    </row>
    <row r="38" spans="1:16" s="142" customFormat="1" ht="15" customHeight="1"/>
    <row r="39" spans="1:16" s="140" customFormat="1" ht="16.5" customHeight="1">
      <c r="B39" s="265" t="s">
        <v>390</v>
      </c>
      <c r="C39" s="266"/>
      <c r="D39" s="267"/>
      <c r="E39" s="268"/>
      <c r="F39" s="269"/>
      <c r="G39" s="269"/>
      <c r="H39" s="269"/>
      <c r="I39" s="269"/>
      <c r="J39" s="270"/>
      <c r="K39" s="521"/>
      <c r="L39" s="522"/>
      <c r="M39" s="523"/>
    </row>
    <row r="40" spans="1:16" s="249" customFormat="1" ht="25.5" customHeight="1">
      <c r="B40" s="271"/>
      <c r="C40" s="272"/>
      <c r="D40" s="273" t="s">
        <v>364</v>
      </c>
      <c r="E40" s="247" t="s">
        <v>391</v>
      </c>
      <c r="F40" s="517" t="s">
        <v>392</v>
      </c>
      <c r="G40" s="518"/>
      <c r="H40" s="274" t="s">
        <v>393</v>
      </c>
      <c r="I40" s="575" t="s">
        <v>394</v>
      </c>
      <c r="J40" s="518"/>
      <c r="K40" s="531" t="s">
        <v>395</v>
      </c>
      <c r="L40" s="522"/>
      <c r="M40" s="523"/>
    </row>
    <row r="41" spans="1:16" ht="18.75" customHeight="1">
      <c r="B41" s="275"/>
      <c r="C41" s="276" t="s">
        <v>396</v>
      </c>
      <c r="D41" s="277">
        <f>SUMIF(E71:E310,"&lt;"&amp;99^"99")</f>
        <v>247734.89516622003</v>
      </c>
      <c r="E41" s="278">
        <f>SUMIF(I71:J310,"&lt;"&amp;99^"99")</f>
        <v>0</v>
      </c>
      <c r="F41" s="544">
        <f>SUMIF(K71:K310,"&lt;"&amp;99^"99")</f>
        <v>0</v>
      </c>
      <c r="G41" s="515"/>
      <c r="H41" s="279">
        <f>SUMIF(L71:M310,"&lt;"&amp;99^"99")</f>
        <v>0</v>
      </c>
      <c r="I41" s="514">
        <f>K33</f>
        <v>0</v>
      </c>
      <c r="J41" s="515"/>
      <c r="K41" s="556">
        <f>I41+H41+F41+E41+D41</f>
        <v>247734.89516622003</v>
      </c>
      <c r="L41" s="445"/>
      <c r="M41" s="446"/>
    </row>
    <row r="42" spans="1:16" ht="18.75" customHeight="1">
      <c r="B42" s="275"/>
      <c r="C42" s="276" t="s">
        <v>397</v>
      </c>
      <c r="D42" s="280">
        <f>D41/$E$21</f>
        <v>4128.9149194370002</v>
      </c>
      <c r="E42" s="281">
        <f>E41/$E$21</f>
        <v>0</v>
      </c>
      <c r="F42" s="516">
        <f>F41/$E$21</f>
        <v>0</v>
      </c>
      <c r="G42" s="506"/>
      <c r="H42" s="281">
        <f>H41/$E$21</f>
        <v>0</v>
      </c>
      <c r="I42" s="282"/>
      <c r="J42" s="283"/>
      <c r="K42" s="539">
        <f>K41/$E$21</f>
        <v>4128.9149194370002</v>
      </c>
      <c r="L42" s="540"/>
      <c r="M42" s="499"/>
    </row>
    <row r="43" spans="1:16" ht="18.75" customHeight="1">
      <c r="B43" s="275"/>
      <c r="C43" s="276" t="s">
        <v>398</v>
      </c>
      <c r="D43" s="280">
        <f>+D42/E8*12</f>
        <v>6.43467260172</v>
      </c>
      <c r="E43" s="281">
        <f>+E42/E8*12</f>
        <v>0</v>
      </c>
      <c r="F43" s="548">
        <f>+F42/E8*12</f>
        <v>0</v>
      </c>
      <c r="G43" s="506"/>
      <c r="H43" s="281">
        <f>+H42/E8*12</f>
        <v>0</v>
      </c>
      <c r="I43" s="281"/>
      <c r="J43" s="284"/>
      <c r="K43" s="557">
        <f>+K42/E8*12</f>
        <v>6.43467260172</v>
      </c>
      <c r="L43" s="540"/>
      <c r="M43" s="499"/>
    </row>
    <row r="44" spans="1:16" ht="18.75" customHeight="1">
      <c r="A44" s="285"/>
      <c r="B44" s="286">
        <v>0.12</v>
      </c>
      <c r="C44" s="287" t="str">
        <f>"NPV ("&amp;B44*100&amp;"%)"</f>
        <v>NPV (12%)</v>
      </c>
      <c r="D44" s="288">
        <f ca="1">NPV((1+$B$44)^(1/12)-1,OFFSET(E71:E310,0,0,COUNT(E71:E310),1))</f>
        <v>186975.95492168769</v>
      </c>
      <c r="E44" s="288">
        <f ca="1">NPV((1+$B$44)^(1/12)-1,OFFSET(I71:I310,0,0,COUNT(I71:I310),1))</f>
        <v>0</v>
      </c>
      <c r="F44" s="576">
        <f ca="1">NPV((1+$B$44)^(1/12)-1,OFFSET(K71:K310,0,0,COUNT(K71:K310),1))</f>
        <v>0</v>
      </c>
      <c r="G44" s="534"/>
      <c r="H44" s="288">
        <f ca="1">NPV((1+$B$44)^(1/12)-1,OFFSET(L71:L310,0,0,COUNT(L71:L310),1))</f>
        <v>0</v>
      </c>
      <c r="I44" s="549">
        <f>I41</f>
        <v>0</v>
      </c>
      <c r="J44" s="534"/>
      <c r="K44" s="509">
        <f ca="1">I44+H44+F44+E44+D44</f>
        <v>186975.95492168769</v>
      </c>
      <c r="L44" s="482"/>
      <c r="M44" s="473"/>
    </row>
    <row r="45" spans="1:16" s="142" customFormat="1" ht="15" customHeight="1">
      <c r="D45" s="236"/>
      <c r="E45" s="289"/>
      <c r="F45" s="289"/>
      <c r="G45" s="289"/>
      <c r="H45" s="289"/>
      <c r="I45" s="290"/>
      <c r="J45" s="290"/>
      <c r="K45" s="291"/>
      <c r="L45" s="291"/>
      <c r="M45" s="291"/>
      <c r="N45" s="291"/>
      <c r="O45" s="291"/>
      <c r="P45" s="291"/>
    </row>
    <row r="46" spans="1:16" s="140" customFormat="1" ht="16.5" customHeight="1">
      <c r="B46" s="147" t="s">
        <v>399</v>
      </c>
      <c r="C46" s="149"/>
      <c r="D46" s="292"/>
      <c r="E46" s="293"/>
      <c r="F46" s="293"/>
      <c r="G46" s="293"/>
      <c r="H46" s="293"/>
      <c r="I46" s="294"/>
      <c r="J46" s="294"/>
      <c r="K46" s="295"/>
      <c r="L46" s="295"/>
      <c r="M46" s="295"/>
      <c r="N46" s="295"/>
      <c r="O46" s="295"/>
      <c r="P46" s="296"/>
    </row>
    <row r="47" spans="1:16" s="249" customFormat="1" ht="37.5" customHeight="1">
      <c r="B47" s="271"/>
      <c r="C47" s="272"/>
      <c r="D47" s="274"/>
      <c r="E47" s="297" t="s">
        <v>400</v>
      </c>
      <c r="F47" s="297" t="s">
        <v>366</v>
      </c>
      <c r="G47" s="297" t="s">
        <v>401</v>
      </c>
      <c r="H47" s="297" t="s">
        <v>402</v>
      </c>
      <c r="I47" s="517" t="s">
        <v>403</v>
      </c>
      <c r="J47" s="518"/>
      <c r="K47" s="297" t="s">
        <v>404</v>
      </c>
      <c r="L47" s="517" t="s">
        <v>404</v>
      </c>
      <c r="M47" s="518"/>
      <c r="N47" s="517" t="s">
        <v>405</v>
      </c>
      <c r="O47" s="518"/>
      <c r="P47" s="298" t="s">
        <v>406</v>
      </c>
    </row>
    <row r="48" spans="1:16" s="299" customFormat="1" ht="12.6" customHeight="1">
      <c r="B48" s="300"/>
      <c r="C48" s="536" t="s">
        <v>407</v>
      </c>
      <c r="D48" s="537"/>
      <c r="E48" s="301">
        <f>SUMIF(E71:E82,"&lt;"&amp;99^"99")</f>
        <v>46662</v>
      </c>
      <c r="F48" s="301">
        <f>SUMIF(F71:F82,"&lt;"&amp;99^"99")</f>
        <v>0</v>
      </c>
      <c r="G48" s="301">
        <f>SUMIF(G71:G82,"&lt;"&amp;99^"99")</f>
        <v>0</v>
      </c>
      <c r="H48" s="301">
        <f>SUMIF(H71:H82,"&lt;"&amp;99^"99")</f>
        <v>0</v>
      </c>
      <c r="I48" s="532">
        <f>SUMIF(I71:I82,"&lt;"&amp;99^"99")</f>
        <v>0</v>
      </c>
      <c r="J48" s="515"/>
      <c r="K48" s="301">
        <f>SUMIF(K71:K82,"&lt;"&amp;99^"99")</f>
        <v>0</v>
      </c>
      <c r="L48" s="532">
        <f>SUMIF(L71:L82,"&lt;"&amp;99^"99")</f>
        <v>0</v>
      </c>
      <c r="M48" s="515"/>
      <c r="N48" s="532">
        <f>SUMIF(N71:N82,"&lt;"&amp;99^"99")</f>
        <v>46662</v>
      </c>
      <c r="O48" s="515"/>
      <c r="P48" s="302">
        <f t="shared" ref="P48:P67" si="3">+N48/$E$8</f>
        <v>6.06</v>
      </c>
    </row>
    <row r="49" spans="2:16" s="299" customFormat="1" ht="12.6" customHeight="1">
      <c r="B49" s="303"/>
      <c r="C49" s="519" t="s">
        <v>408</v>
      </c>
      <c r="D49" s="520"/>
      <c r="E49" s="304">
        <f>SUMIF(E83:E94,"&lt;"&amp;99^"99")</f>
        <v>48061.859999999993</v>
      </c>
      <c r="F49" s="304">
        <f>SUMIF(F83:F94,"&lt;"&amp;99^"99")</f>
        <v>0</v>
      </c>
      <c r="G49" s="304">
        <f>SUMIF(G83:G94,"&lt;"&amp;99^"99")</f>
        <v>0</v>
      </c>
      <c r="H49" s="304">
        <f>SUMIF(H83:H94,"&lt;"&amp;99^"99")</f>
        <v>0</v>
      </c>
      <c r="I49" s="508">
        <f>SUMIF(I83:I94,"&lt;"&amp;99^"99")</f>
        <v>0</v>
      </c>
      <c r="J49" s="506"/>
      <c r="K49" s="304">
        <f>SUMIF(K83:K94,"&lt;"&amp;99^"99")</f>
        <v>0</v>
      </c>
      <c r="L49" s="508">
        <f>SUMIF(L83:L94,"&lt;"&amp;99^"99")</f>
        <v>0</v>
      </c>
      <c r="M49" s="506"/>
      <c r="N49" s="508">
        <f>SUMIF(N83:N94,"&lt;"&amp;99^"99")</f>
        <v>48061.859999999993</v>
      </c>
      <c r="O49" s="506"/>
      <c r="P49" s="305">
        <f t="shared" si="3"/>
        <v>6.2417999999999996</v>
      </c>
    </row>
    <row r="50" spans="2:16" s="299" customFormat="1" ht="12.6" customHeight="1">
      <c r="B50" s="303"/>
      <c r="C50" s="519" t="s">
        <v>409</v>
      </c>
      <c r="D50" s="520"/>
      <c r="E50" s="304">
        <f>SUMIF(E95:E106,"&lt;"&amp;99^"99")</f>
        <v>49503.715800000013</v>
      </c>
      <c r="F50" s="304">
        <f>SUMIF(F95:F106,"&lt;"&amp;99^"99")</f>
        <v>0</v>
      </c>
      <c r="G50" s="304">
        <f>SUMIF(G95:G106,"&lt;"&amp;99^"99")</f>
        <v>0</v>
      </c>
      <c r="H50" s="304">
        <f>SUMIF(H95:H106,"&lt;"&amp;99^"99")</f>
        <v>0</v>
      </c>
      <c r="I50" s="508">
        <f>SUMIF(I95:I106, "&lt;"&amp;99^"99")</f>
        <v>0</v>
      </c>
      <c r="J50" s="506"/>
      <c r="K50" s="304">
        <f>SUMIF(K95:K106,"&lt;"&amp;99^"99")</f>
        <v>0</v>
      </c>
      <c r="L50" s="508">
        <f>SUMIF(L95:L106, "&lt;"&amp;99^"99")</f>
        <v>0</v>
      </c>
      <c r="M50" s="506"/>
      <c r="N50" s="508">
        <f>SUMIF(N95:N106, "&lt;"&amp;99^"99")</f>
        <v>49503.715800000013</v>
      </c>
      <c r="O50" s="506"/>
      <c r="P50" s="305">
        <f t="shared" si="3"/>
        <v>6.4290540000000016</v>
      </c>
    </row>
    <row r="51" spans="2:16" s="299" customFormat="1" ht="12.6" customHeight="1">
      <c r="B51" s="303"/>
      <c r="C51" s="519" t="s">
        <v>410</v>
      </c>
      <c r="D51" s="520"/>
      <c r="E51" s="304">
        <f>SUMIF(E107:E118,"&lt;"&amp;99^"99")</f>
        <v>50988.827274000003</v>
      </c>
      <c r="F51" s="304">
        <f>SUMIF(F107:F118,"&lt;"&amp;99^"99")</f>
        <v>0</v>
      </c>
      <c r="G51" s="304">
        <f>SUMIF(G107:G118,"&lt;"&amp;99^"99")</f>
        <v>0</v>
      </c>
      <c r="H51" s="304">
        <f>SUMIF(H107:H118,"&lt;"&amp;99^"99")</f>
        <v>0</v>
      </c>
      <c r="I51" s="508">
        <f>SUMIF(I107:I118,"&lt;"&amp;99^"99")</f>
        <v>0</v>
      </c>
      <c r="J51" s="506"/>
      <c r="K51" s="304">
        <f>SUMIF(K107:K118,"&lt;"&amp;99^"99")</f>
        <v>0</v>
      </c>
      <c r="L51" s="508">
        <f>SUMIF(L107:L118,"&lt;"&amp;99^"99")</f>
        <v>0</v>
      </c>
      <c r="M51" s="506"/>
      <c r="N51" s="508">
        <f>SUMIF(N107:N118,"&lt;"&amp;99^"99")</f>
        <v>50988.827274000003</v>
      </c>
      <c r="O51" s="506"/>
      <c r="P51" s="305">
        <f t="shared" si="3"/>
        <v>6.6219256200000007</v>
      </c>
    </row>
    <row r="52" spans="2:16" s="299" customFormat="1" ht="12.6" customHeight="1">
      <c r="B52" s="303"/>
      <c r="C52" s="519" t="s">
        <v>411</v>
      </c>
      <c r="D52" s="520"/>
      <c r="E52" s="304">
        <f>SUMIF(E119:E130,"&lt;"&amp;99^"99")</f>
        <v>52518.492092220018</v>
      </c>
      <c r="F52" s="304">
        <f>SUMIF(F119:F130,"&lt;"&amp;99^"99")</f>
        <v>0</v>
      </c>
      <c r="G52" s="304">
        <f>SUMIF(G119:G130,"&lt;"&amp;99^"99")</f>
        <v>0</v>
      </c>
      <c r="H52" s="304">
        <f>SUMIF(H119:H130,"&lt;"&amp;99^"99")</f>
        <v>0</v>
      </c>
      <c r="I52" s="508">
        <f>SUMIF(I119:I130,"&lt;"&amp;99^"99")</f>
        <v>0</v>
      </c>
      <c r="J52" s="506"/>
      <c r="K52" s="304">
        <f>SUMIF(K119:K130,"&lt;"&amp;99^"99")</f>
        <v>0</v>
      </c>
      <c r="L52" s="508">
        <f>SUMIF(L119:L130,"&lt;"&amp;99^"99")</f>
        <v>0</v>
      </c>
      <c r="M52" s="506"/>
      <c r="N52" s="508">
        <f>SUMIF(N119:N130,"&lt;"&amp;99^"99")</f>
        <v>52518.492092220018</v>
      </c>
      <c r="O52" s="506"/>
      <c r="P52" s="305">
        <f t="shared" si="3"/>
        <v>6.820583388600002</v>
      </c>
    </row>
    <row r="53" spans="2:16" s="299" customFormat="1" ht="12.6" customHeight="1">
      <c r="B53" s="303"/>
      <c r="C53" s="519" t="s">
        <v>412</v>
      </c>
      <c r="D53" s="520"/>
      <c r="E53" s="306">
        <f>SUMIF(E131:E142,"&lt;"&amp;99^"99")</f>
        <v>0</v>
      </c>
      <c r="F53" s="306">
        <f>SUMIF(F131:F142,"&lt;"&amp;99^"99")</f>
        <v>0</v>
      </c>
      <c r="G53" s="306">
        <f>SUMIF(G131:G142,"&lt;"&amp;99^"99")</f>
        <v>0</v>
      </c>
      <c r="H53" s="306">
        <f>SUMIF(H131:H142,"&lt;"&amp;99^"99")</f>
        <v>0</v>
      </c>
      <c r="I53" s="508">
        <f>SUMIF(I131:I142,"&lt;"&amp;99^"99")</f>
        <v>0</v>
      </c>
      <c r="J53" s="506"/>
      <c r="K53" s="306">
        <f>SUMIF(K131:K142,"&lt;"&amp;99^"99")</f>
        <v>0</v>
      </c>
      <c r="L53" s="508">
        <f>SUMIF(L131:L142,"&lt;"&amp;99^"99")</f>
        <v>0</v>
      </c>
      <c r="M53" s="506"/>
      <c r="N53" s="508">
        <f>SUMIF(N131:N142,"&lt;"&amp;99^"99")</f>
        <v>0</v>
      </c>
      <c r="O53" s="506"/>
      <c r="P53" s="305">
        <f t="shared" si="3"/>
        <v>0</v>
      </c>
    </row>
    <row r="54" spans="2:16" s="299" customFormat="1" ht="12.6" customHeight="1">
      <c r="B54" s="303"/>
      <c r="C54" s="519" t="s">
        <v>413</v>
      </c>
      <c r="D54" s="520"/>
      <c r="E54" s="306">
        <f>SUMIF(E143:E154,"&lt;"&amp;99^"99")</f>
        <v>0</v>
      </c>
      <c r="F54" s="306">
        <f>SUMIF(F143:F154,"&lt;"&amp;99^"99")</f>
        <v>0</v>
      </c>
      <c r="G54" s="306">
        <f>SUMIF(G143:G154,"&lt;"&amp;99^"99")</f>
        <v>0</v>
      </c>
      <c r="H54" s="306">
        <f>SUMIF(H143:H154,"&lt;"&amp;99^"99")</f>
        <v>0</v>
      </c>
      <c r="I54" s="508">
        <f>SUMIF(I143:I154,"&lt;"&amp;99^"99")</f>
        <v>0</v>
      </c>
      <c r="J54" s="506"/>
      <c r="K54" s="306">
        <f>SUMIF(K143:K154,"&lt;"&amp;99^"99")</f>
        <v>0</v>
      </c>
      <c r="L54" s="508">
        <f>SUMIF(L143:L154,"&lt;"&amp;99^"99")</f>
        <v>0</v>
      </c>
      <c r="M54" s="506"/>
      <c r="N54" s="508">
        <f>SUMIF(N143:N154,"&lt;"&amp;99^"99")</f>
        <v>0</v>
      </c>
      <c r="O54" s="506"/>
      <c r="P54" s="305">
        <f t="shared" si="3"/>
        <v>0</v>
      </c>
    </row>
    <row r="55" spans="2:16" s="299" customFormat="1" ht="12.6" customHeight="1">
      <c r="B55" s="303"/>
      <c r="C55" s="519" t="s">
        <v>414</v>
      </c>
      <c r="D55" s="520"/>
      <c r="E55" s="306">
        <f>SUMIF(E155:E166,"&lt;"&amp;99^"99")</f>
        <v>0</v>
      </c>
      <c r="F55" s="306">
        <f>SUMIF(F155:F166,"&lt;"&amp;99^"99")</f>
        <v>0</v>
      </c>
      <c r="G55" s="306">
        <f>SUMIF(G155:G166,"&lt;"&amp;99^"99")</f>
        <v>0</v>
      </c>
      <c r="H55" s="306">
        <f>SUMIF(H155:H166,"&lt;"&amp;99^"99")</f>
        <v>0</v>
      </c>
      <c r="I55" s="508">
        <f>SUMIF(I155:I166,"&lt;"&amp;99^"99")</f>
        <v>0</v>
      </c>
      <c r="J55" s="506"/>
      <c r="K55" s="306">
        <f>SUMIF(K155:K166,"&lt;"&amp;99^"99")</f>
        <v>0</v>
      </c>
      <c r="L55" s="508">
        <f>SUMIF(L155:L166,"&lt;"&amp;99^"99")</f>
        <v>0</v>
      </c>
      <c r="M55" s="506"/>
      <c r="N55" s="508">
        <f>SUMIF(N155:N166,"&lt;"&amp;99^"99")</f>
        <v>0</v>
      </c>
      <c r="O55" s="506"/>
      <c r="P55" s="305">
        <f t="shared" si="3"/>
        <v>0</v>
      </c>
    </row>
    <row r="56" spans="2:16" s="299" customFormat="1" ht="12.6" customHeight="1">
      <c r="B56" s="303"/>
      <c r="C56" s="519" t="s">
        <v>415</v>
      </c>
      <c r="D56" s="520"/>
      <c r="E56" s="306">
        <f>SUMIF(E167:E178,"&lt;"&amp;99^"99")</f>
        <v>0</v>
      </c>
      <c r="F56" s="306">
        <f>SUMIF(F167:F178,"&lt;"&amp;99^"99")</f>
        <v>0</v>
      </c>
      <c r="G56" s="306">
        <f>SUMIF(G167:G178,"&lt;"&amp;99^"99")</f>
        <v>0</v>
      </c>
      <c r="H56" s="306">
        <f>SUMIF(H167:H178,"&lt;"&amp;99^"99")</f>
        <v>0</v>
      </c>
      <c r="I56" s="508">
        <f>SUMIF(I167:I178,"&lt;"&amp;99^"99")</f>
        <v>0</v>
      </c>
      <c r="J56" s="506"/>
      <c r="K56" s="306">
        <f>SUMIF(K167:K178,"&lt;"&amp;99^"99")</f>
        <v>0</v>
      </c>
      <c r="L56" s="508">
        <f>SUMIF(L167:L178,"&lt;"&amp;99^"99")</f>
        <v>0</v>
      </c>
      <c r="M56" s="506"/>
      <c r="N56" s="508">
        <f>SUMIF(N167:N178,"&lt;"&amp;99^"99")</f>
        <v>0</v>
      </c>
      <c r="O56" s="506"/>
      <c r="P56" s="305">
        <f t="shared" si="3"/>
        <v>0</v>
      </c>
    </row>
    <row r="57" spans="2:16" s="299" customFormat="1" ht="12.6" customHeight="1">
      <c r="B57" s="303"/>
      <c r="C57" s="519" t="s">
        <v>416</v>
      </c>
      <c r="D57" s="520"/>
      <c r="E57" s="306">
        <f>SUMIF(E179:E190,"&lt;"&amp;99^"99")</f>
        <v>0</v>
      </c>
      <c r="F57" s="306">
        <f>SUMIF(F179:F190,"&lt;"&amp;99^"99")</f>
        <v>0</v>
      </c>
      <c r="G57" s="306">
        <f>SUMIF(G179:G190,"&lt;"&amp;99^"99")</f>
        <v>0</v>
      </c>
      <c r="H57" s="306">
        <f>SUMIF(H179:H190,"&lt;"&amp;99^"99")</f>
        <v>0</v>
      </c>
      <c r="I57" s="508">
        <f>SUMIF(I179:I190,"&lt;"&amp;99^"99")</f>
        <v>0</v>
      </c>
      <c r="J57" s="506"/>
      <c r="K57" s="306">
        <f>SUMIF(K179:K190,"&lt;"&amp;99^"99")</f>
        <v>0</v>
      </c>
      <c r="L57" s="508">
        <f>SUMIF(L179:L190,"&lt;"&amp;99^"99")</f>
        <v>0</v>
      </c>
      <c r="M57" s="506"/>
      <c r="N57" s="508">
        <f>SUMIF(N179:N190,"&lt;"&amp;99^"99")</f>
        <v>0</v>
      </c>
      <c r="O57" s="506"/>
      <c r="P57" s="305">
        <f t="shared" si="3"/>
        <v>0</v>
      </c>
    </row>
    <row r="58" spans="2:16" s="299" customFormat="1" ht="12.6" customHeight="1">
      <c r="B58" s="303"/>
      <c r="C58" s="519" t="s">
        <v>417</v>
      </c>
      <c r="D58" s="520"/>
      <c r="E58" s="306">
        <f>SUMIF(E191:E202,"&lt;"&amp;99^"99")</f>
        <v>0</v>
      </c>
      <c r="F58" s="306">
        <f>SUMIF(F191:F202,"&lt;"&amp;99^"99")</f>
        <v>0</v>
      </c>
      <c r="G58" s="306">
        <f>SUMIF(G191:G202,"&lt;"&amp;99^"99")</f>
        <v>0</v>
      </c>
      <c r="H58" s="306">
        <f>SUMIF(H191:H202,"&lt;"&amp;99^"99")</f>
        <v>0</v>
      </c>
      <c r="I58" s="508">
        <f>SUMIF(I191:I202,"&lt;"&amp;99^"99")</f>
        <v>0</v>
      </c>
      <c r="J58" s="506"/>
      <c r="K58" s="306">
        <f>SUMIF(K191:K202,"&lt;"&amp;99^"99")</f>
        <v>0</v>
      </c>
      <c r="L58" s="508">
        <f>SUMIF(L191:L202,"&lt;"&amp;99^"99")</f>
        <v>0</v>
      </c>
      <c r="M58" s="506"/>
      <c r="N58" s="508">
        <f>SUMIF(N191:N202,"&lt;"&amp;99^"99")</f>
        <v>0</v>
      </c>
      <c r="O58" s="506"/>
      <c r="P58" s="305">
        <f t="shared" si="3"/>
        <v>0</v>
      </c>
    </row>
    <row r="59" spans="2:16" s="299" customFormat="1" ht="12.6" customHeight="1">
      <c r="B59" s="303"/>
      <c r="C59" s="519" t="s">
        <v>418</v>
      </c>
      <c r="D59" s="520"/>
      <c r="E59" s="306">
        <f>SUMIF(E203:E214,"&lt;"&amp;99^"99")</f>
        <v>0</v>
      </c>
      <c r="F59" s="306">
        <f>SUMIF(F203:F214,"&lt;"&amp;99^"99")</f>
        <v>0</v>
      </c>
      <c r="G59" s="306">
        <f>SUMIF(G203:G214,"&lt;"&amp;99^"99")</f>
        <v>0</v>
      </c>
      <c r="H59" s="306">
        <f>SUMIF(H203:H214,"&lt;"&amp;99^"99")</f>
        <v>0</v>
      </c>
      <c r="I59" s="508">
        <f>SUMIF(I203:I214,"&lt;"&amp;99^"99")</f>
        <v>0</v>
      </c>
      <c r="J59" s="506"/>
      <c r="K59" s="306">
        <f>SUMIF(K203:K214,"&lt;"&amp;99^"99")</f>
        <v>0</v>
      </c>
      <c r="L59" s="508">
        <f>SUMIF(L203:L214,"&lt;"&amp;99^"99")</f>
        <v>0</v>
      </c>
      <c r="M59" s="506"/>
      <c r="N59" s="508">
        <f>SUMIF(N203:N214,"&lt;"&amp;99^"99")</f>
        <v>0</v>
      </c>
      <c r="O59" s="506"/>
      <c r="P59" s="305">
        <f t="shared" si="3"/>
        <v>0</v>
      </c>
    </row>
    <row r="60" spans="2:16" s="299" customFormat="1" ht="12.6" customHeight="1">
      <c r="B60" s="303"/>
      <c r="C60" s="519" t="s">
        <v>419</v>
      </c>
      <c r="D60" s="520"/>
      <c r="E60" s="306">
        <f>SUMIF(E215:E226,"&lt;"&amp;99^"99")</f>
        <v>0</v>
      </c>
      <c r="F60" s="306">
        <f>SUMIF(F215:F226,"&lt;"&amp;99^"99")</f>
        <v>0</v>
      </c>
      <c r="G60" s="306">
        <f>SUMIF(G215:G226,"&lt;"&amp;99^"99")</f>
        <v>0</v>
      </c>
      <c r="H60" s="306">
        <f>SUMIF(H215:H226,"&lt;"&amp;99^"99")</f>
        <v>0</v>
      </c>
      <c r="I60" s="508">
        <f>SUMIF(I215:I226,"&lt;"&amp;99^"99")</f>
        <v>0</v>
      </c>
      <c r="J60" s="506"/>
      <c r="K60" s="306">
        <f>SUMIF(K215:K226,"&lt;"&amp;99^"99")</f>
        <v>0</v>
      </c>
      <c r="L60" s="508">
        <f>SUMIF(L215:L226,"&lt;"&amp;99^"99")</f>
        <v>0</v>
      </c>
      <c r="M60" s="506"/>
      <c r="N60" s="508">
        <f>SUMIF(N215:N226,"&lt;"&amp;99^"99")</f>
        <v>0</v>
      </c>
      <c r="O60" s="506"/>
      <c r="P60" s="305">
        <f t="shared" si="3"/>
        <v>0</v>
      </c>
    </row>
    <row r="61" spans="2:16" s="299" customFormat="1" ht="12.6" customHeight="1">
      <c r="B61" s="303"/>
      <c r="C61" s="519" t="s">
        <v>420</v>
      </c>
      <c r="D61" s="520"/>
      <c r="E61" s="306">
        <f>SUMIF(E227:E238,"&lt;"&amp;99^"99")</f>
        <v>0</v>
      </c>
      <c r="F61" s="306">
        <f>SUMIF(F227:F238,"&lt;"&amp;99^"99")</f>
        <v>0</v>
      </c>
      <c r="G61" s="306">
        <f>SUMIF(G227:G238,"&lt;"&amp;99^"99")</f>
        <v>0</v>
      </c>
      <c r="H61" s="306">
        <f>SUMIF(H227:H238,"&lt;"&amp;99^"99")</f>
        <v>0</v>
      </c>
      <c r="I61" s="508">
        <f>SUMIF(I227:I238,"&lt;"&amp;99^"99")</f>
        <v>0</v>
      </c>
      <c r="J61" s="506"/>
      <c r="K61" s="306">
        <f>SUMIF(K227:K238,"&lt;"&amp;99^"99")</f>
        <v>0</v>
      </c>
      <c r="L61" s="508">
        <f>SUMIF(L227:L238,"&lt;"&amp;99^"99")</f>
        <v>0</v>
      </c>
      <c r="M61" s="506"/>
      <c r="N61" s="508">
        <f>SUMIF(N227:N238,"&lt;"&amp;99^"99")</f>
        <v>0</v>
      </c>
      <c r="O61" s="506"/>
      <c r="P61" s="305">
        <f t="shared" si="3"/>
        <v>0</v>
      </c>
    </row>
    <row r="62" spans="2:16" s="299" customFormat="1" ht="12.6" customHeight="1">
      <c r="B62" s="303"/>
      <c r="C62" s="519" t="s">
        <v>421</v>
      </c>
      <c r="D62" s="520"/>
      <c r="E62" s="306">
        <f>SUMIF(E239:E250,"&lt;"&amp;99^"99")</f>
        <v>0</v>
      </c>
      <c r="F62" s="306">
        <f>SUMIF(F239:F250,"&lt;"&amp;99^"99")</f>
        <v>0</v>
      </c>
      <c r="G62" s="306">
        <f>SUMIF(G239:G250,"&lt;"&amp;99^"99")</f>
        <v>0</v>
      </c>
      <c r="H62" s="306">
        <f>SUMIF(H239:H250,"&lt;"&amp;99^"99")</f>
        <v>0</v>
      </c>
      <c r="I62" s="508">
        <f>SUMIF(I239:I250,"&lt;"&amp;99^"99")</f>
        <v>0</v>
      </c>
      <c r="J62" s="506"/>
      <c r="K62" s="306">
        <f>SUMIF(K239:K250,"&lt;"&amp;99^"99")</f>
        <v>0</v>
      </c>
      <c r="L62" s="508">
        <f>SUMIF(L239:L250,"&lt;"&amp;99^"99")</f>
        <v>0</v>
      </c>
      <c r="M62" s="506"/>
      <c r="N62" s="508">
        <f>SUMIF(N239:N250,"&lt;"&amp;99^"99")</f>
        <v>0</v>
      </c>
      <c r="O62" s="506"/>
      <c r="P62" s="305">
        <f t="shared" si="3"/>
        <v>0</v>
      </c>
    </row>
    <row r="63" spans="2:16" s="299" customFormat="1" ht="12.6" customHeight="1">
      <c r="B63" s="303"/>
      <c r="C63" s="519" t="s">
        <v>422</v>
      </c>
      <c r="D63" s="520"/>
      <c r="E63" s="306">
        <f>SUMIF(E251:E262,"&lt;"&amp;99^"99")</f>
        <v>0</v>
      </c>
      <c r="F63" s="306">
        <f>SUMIF(F251:F262,"&lt;"&amp;99^"99")</f>
        <v>0</v>
      </c>
      <c r="G63" s="306">
        <f>SUMIF(G251:G262,"&lt;"&amp;99^"99")</f>
        <v>0</v>
      </c>
      <c r="H63" s="306">
        <f>SUMIF(H251:H262,"&lt;"&amp;99^"99")</f>
        <v>0</v>
      </c>
      <c r="I63" s="508">
        <f>SUMIF(I251:I262,"&lt;"&amp;99^"99")</f>
        <v>0</v>
      </c>
      <c r="J63" s="506"/>
      <c r="K63" s="306">
        <f>SUMIF(K251:K262,"&lt;"&amp;99^"99")</f>
        <v>0</v>
      </c>
      <c r="L63" s="508">
        <f>SUMIF(L251:L262,"&lt;"&amp;99^"99")</f>
        <v>0</v>
      </c>
      <c r="M63" s="506"/>
      <c r="N63" s="508">
        <f>SUMIF(N251:N262,"&lt;"&amp;99^"99")</f>
        <v>0</v>
      </c>
      <c r="O63" s="506"/>
      <c r="P63" s="305">
        <f t="shared" si="3"/>
        <v>0</v>
      </c>
    </row>
    <row r="64" spans="2:16" s="299" customFormat="1" ht="12.6" customHeight="1">
      <c r="B64" s="303"/>
      <c r="C64" s="519" t="s">
        <v>423</v>
      </c>
      <c r="D64" s="520"/>
      <c r="E64" s="306">
        <f>SUMIF(E263:E274,"&lt;"&amp;99^"99")</f>
        <v>0</v>
      </c>
      <c r="F64" s="306">
        <f>SUMIF(F263:F274,"&lt;"&amp;99^"99")</f>
        <v>0</v>
      </c>
      <c r="G64" s="306">
        <f>SUMIF(G263:G274,"&lt;"&amp;99^"99")</f>
        <v>0</v>
      </c>
      <c r="H64" s="306">
        <f>SUMIF(H263:H274,"&lt;"&amp;99^"99")</f>
        <v>0</v>
      </c>
      <c r="I64" s="508">
        <f>SUMIF(I263:I274,"&lt;"&amp;99^"99")</f>
        <v>0</v>
      </c>
      <c r="J64" s="506"/>
      <c r="K64" s="306">
        <f>SUMIF(K263:K274,"&lt;"&amp;99^"99")</f>
        <v>0</v>
      </c>
      <c r="L64" s="508">
        <f>SUMIF(L263:L274,"&lt;"&amp;99^"99")</f>
        <v>0</v>
      </c>
      <c r="M64" s="506"/>
      <c r="N64" s="508">
        <f>SUMIF(N263:N274,"&lt;"&amp;99^"99")</f>
        <v>0</v>
      </c>
      <c r="O64" s="506"/>
      <c r="P64" s="305">
        <f t="shared" si="3"/>
        <v>0</v>
      </c>
    </row>
    <row r="65" spans="2:16" s="299" customFormat="1" ht="12.6" customHeight="1">
      <c r="B65" s="307"/>
      <c r="C65" s="519" t="s">
        <v>424</v>
      </c>
      <c r="D65" s="520"/>
      <c r="E65" s="306">
        <f>SUMIF(E275:E286,"&lt;"&amp;99^"99")</f>
        <v>0</v>
      </c>
      <c r="F65" s="306">
        <f>SUMIF(F275:F286,"&lt;"&amp;99^"99")</f>
        <v>0</v>
      </c>
      <c r="G65" s="306">
        <f>SUMIF(G275:G286,"&lt;"&amp;99^"99")</f>
        <v>0</v>
      </c>
      <c r="H65" s="306">
        <f>SUMIF(H275:H286,"&lt;"&amp;99^"99")</f>
        <v>0</v>
      </c>
      <c r="I65" s="508">
        <f>SUMIF(I275:I286,"&lt;"&amp;99^"99")</f>
        <v>0</v>
      </c>
      <c r="J65" s="506"/>
      <c r="K65" s="306">
        <f>SUMIF(K275:K286,"&lt;"&amp;99^"99")</f>
        <v>0</v>
      </c>
      <c r="L65" s="508">
        <f>SUMIF(L275:L286,"&lt;"&amp;99^"99")</f>
        <v>0</v>
      </c>
      <c r="M65" s="506"/>
      <c r="N65" s="508">
        <f>SUMIF(N275:N286,"&lt;"&amp;99^"99")</f>
        <v>0</v>
      </c>
      <c r="O65" s="506"/>
      <c r="P65" s="305">
        <f t="shared" si="3"/>
        <v>0</v>
      </c>
    </row>
    <row r="66" spans="2:16" s="299" customFormat="1" ht="12.6" customHeight="1">
      <c r="B66" s="307"/>
      <c r="C66" s="519" t="s">
        <v>425</v>
      </c>
      <c r="D66" s="520"/>
      <c r="E66" s="304">
        <f>SUMIF(E287:E298,"&lt;"&amp;99^"99")</f>
        <v>0</v>
      </c>
      <c r="F66" s="304">
        <f>SUMIF(F287:F298,"&lt;"&amp;99^"99")</f>
        <v>0</v>
      </c>
      <c r="G66" s="304">
        <f>SUMIF(G287:G298,"&lt;"&amp;99^"99")</f>
        <v>0</v>
      </c>
      <c r="H66" s="304">
        <f>SUMIF(H287:H298,"&lt;"&amp;99^"99")</f>
        <v>0</v>
      </c>
      <c r="I66" s="508">
        <f>SUMIF(I287:I298,"&lt;"&amp;99^"99")</f>
        <v>0</v>
      </c>
      <c r="J66" s="506"/>
      <c r="K66" s="304">
        <f>SUMIF(K287:K298,"&lt;"&amp;99^"99")</f>
        <v>0</v>
      </c>
      <c r="L66" s="508">
        <f>SUMIF(L287:L298,"&lt;"&amp;99^"99")</f>
        <v>0</v>
      </c>
      <c r="M66" s="506"/>
      <c r="N66" s="508">
        <f>SUMIF(N287:N298,"&lt;"&amp;99^"99")</f>
        <v>0</v>
      </c>
      <c r="O66" s="506"/>
      <c r="P66" s="305">
        <f t="shared" si="3"/>
        <v>0</v>
      </c>
    </row>
    <row r="67" spans="2:16" s="299" customFormat="1" ht="12.6" customHeight="1">
      <c r="B67" s="308"/>
      <c r="C67" s="571" t="s">
        <v>426</v>
      </c>
      <c r="D67" s="572"/>
      <c r="E67" s="309">
        <f>SUMIF(E299:E310,"&lt;"&amp;99^"99")</f>
        <v>0</v>
      </c>
      <c r="F67" s="309">
        <f>SUMIF(F299:F310,"&lt;"&amp;99^"99")</f>
        <v>0</v>
      </c>
      <c r="G67" s="309">
        <f>SUMIF(G299:G310,"&lt;"&amp;99^"99")</f>
        <v>0</v>
      </c>
      <c r="H67" s="309">
        <f>SUMIF(H299:H310,"&lt;"&amp;99^"99")</f>
        <v>0</v>
      </c>
      <c r="I67" s="533">
        <f>SUMIF(I299:I310, "&lt;"&amp;99^"99")</f>
        <v>0</v>
      </c>
      <c r="J67" s="534"/>
      <c r="K67" s="309">
        <f>SUMIF(K299:K310,"&lt;"&amp;99^"99")</f>
        <v>0</v>
      </c>
      <c r="L67" s="533">
        <f>SUMIF(L299:L310, "&lt;"&amp;99^"99")</f>
        <v>0</v>
      </c>
      <c r="M67" s="534"/>
      <c r="N67" s="533">
        <f>SUMIF(N299:N310, "&lt;"&amp;99^"99")</f>
        <v>0</v>
      </c>
      <c r="O67" s="534"/>
      <c r="P67" s="310">
        <f t="shared" si="3"/>
        <v>0</v>
      </c>
    </row>
    <row r="68" spans="2:16" s="142" customFormat="1" ht="15" customHeight="1">
      <c r="D68" s="311"/>
      <c r="E68" s="312"/>
      <c r="F68" s="312"/>
      <c r="G68" s="312"/>
      <c r="H68" s="312"/>
      <c r="I68" s="312"/>
      <c r="J68" s="312"/>
      <c r="K68" s="312"/>
      <c r="L68" s="312"/>
      <c r="M68" s="312"/>
      <c r="N68" s="312"/>
      <c r="O68" s="312"/>
      <c r="P68" s="313"/>
    </row>
    <row r="69" spans="2:16" s="140" customFormat="1" ht="16.5" customHeight="1">
      <c r="B69" s="265" t="s">
        <v>427</v>
      </c>
      <c r="C69" s="266"/>
      <c r="D69" s="267"/>
      <c r="E69" s="268"/>
      <c r="F69" s="268"/>
      <c r="G69" s="268"/>
      <c r="H69" s="268"/>
      <c r="I69" s="269"/>
      <c r="J69" s="269"/>
      <c r="K69" s="270"/>
      <c r="L69" s="270"/>
      <c r="M69" s="270"/>
      <c r="N69" s="270"/>
      <c r="O69" s="270"/>
      <c r="P69" s="296"/>
    </row>
    <row r="70" spans="2:16" s="249" customFormat="1" ht="37.5" customHeight="1">
      <c r="B70" s="314"/>
      <c r="C70" s="272"/>
      <c r="D70" s="297" t="s">
        <v>428</v>
      </c>
      <c r="E70" s="297" t="s">
        <v>429</v>
      </c>
      <c r="F70" s="297" t="s">
        <v>366</v>
      </c>
      <c r="G70" s="297" t="s">
        <v>401</v>
      </c>
      <c r="H70" s="297" t="s">
        <v>402</v>
      </c>
      <c r="I70" s="517" t="s">
        <v>430</v>
      </c>
      <c r="J70" s="518"/>
      <c r="K70" s="247" t="s">
        <v>431</v>
      </c>
      <c r="L70" s="517" t="s">
        <v>432</v>
      </c>
      <c r="M70" s="518"/>
      <c r="N70" s="517" t="s">
        <v>433</v>
      </c>
      <c r="O70" s="518"/>
      <c r="P70" s="298" t="s">
        <v>434</v>
      </c>
    </row>
    <row r="71" spans="2:16" s="299" customFormat="1" ht="12.6" customHeight="1">
      <c r="B71" s="315">
        <f t="shared" ref="B71:B134" si="4">IF(B70+1&lt;=$E$21,B70+1,IF(B70&gt;=$E$21,"",IF(B70="","")))</f>
        <v>1</v>
      </c>
      <c r="C71" s="316">
        <f>E20</f>
        <v>46235</v>
      </c>
      <c r="D71" s="317">
        <f t="shared" ref="D71:D134" si="5">VLOOKUP(B71,$G$9:$I$29,3)</f>
        <v>6.06</v>
      </c>
      <c r="E71" s="318">
        <f t="shared" ref="E71:E134" si="6">D71*$E$8/12</f>
        <v>3888.5</v>
      </c>
      <c r="F71" s="319">
        <f>IF($C$17="Gross Rent",$B$17*(H71++G71+E71),IF($C$17="Base Rent",$B$17*E71))</f>
        <v>0</v>
      </c>
      <c r="G71" s="319">
        <f t="shared" ref="G71:G134" si="7">IF($C$16="Base Rent",$B$16*E71,IF($C$16="Gross Rent",$B$16*(H71+E71)))</f>
        <v>0</v>
      </c>
      <c r="H71" s="319">
        <f>((SUM(E12:E14)*E8/12))+((SUM(E12:E14)*E8/12))*E15</f>
        <v>0</v>
      </c>
      <c r="I71" s="526">
        <f t="shared" ref="I71:I134" si="8">SUM(F71:H71)</f>
        <v>0</v>
      </c>
      <c r="J71" s="515"/>
      <c r="K71" s="319">
        <f>IF($E$37&gt;B71,0,$E$36 IF(B71&gt;$E$21,0,$E$36))</f>
        <v>0</v>
      </c>
      <c r="L71" s="525">
        <f>IF($F$37&gt;B71,0,$F$36 IF(B71&gt;$E$21,0,$F$36))</f>
        <v>0</v>
      </c>
      <c r="M71" s="515"/>
      <c r="N71" s="526">
        <f t="shared" ref="N71:N134" si="9">SUM(L71,K71,I71,E71)</f>
        <v>3888.5</v>
      </c>
      <c r="O71" s="515"/>
      <c r="P71" s="320">
        <f t="shared" ref="P71:P134" si="10">+N71/$E$8*12</f>
        <v>6.0600000000000005</v>
      </c>
    </row>
    <row r="72" spans="2:16" s="299" customFormat="1" ht="12.6" customHeight="1">
      <c r="B72" s="315">
        <f t="shared" si="4"/>
        <v>2</v>
      </c>
      <c r="C72" s="316">
        <f t="shared" ref="C72:C135" si="11">IF(B72&gt;$E$21,"", DATE(YEAR(C71),MONTH(C71)+1,DAY(C71)))</f>
        <v>46266</v>
      </c>
      <c r="D72" s="317">
        <f t="shared" si="5"/>
        <v>6.06</v>
      </c>
      <c r="E72" s="318">
        <f t="shared" si="6"/>
        <v>3888.5</v>
      </c>
      <c r="F72" s="319">
        <f t="shared" ref="F72:F135" si="12">IF($C$17="Gross Rent",$B$17*(H72+E72),IF($C$17="Base Rent",$B$17*E72))</f>
        <v>0</v>
      </c>
      <c r="G72" s="319">
        <f t="shared" si="7"/>
        <v>0</v>
      </c>
      <c r="H72" s="318">
        <f t="shared" ref="H72:H135" si="13">IF(MONTH(C72)=MONTH($E$19),((H71*(1+$E$18))),H71)</f>
        <v>0</v>
      </c>
      <c r="I72" s="505">
        <f t="shared" si="8"/>
        <v>0</v>
      </c>
      <c r="J72" s="506"/>
      <c r="K72" s="319">
        <f>IF($E$37&gt;B72,0,$E$36 IF(B72&gt;$E$21,0,$E$36))</f>
        <v>0</v>
      </c>
      <c r="L72" s="507">
        <f>IF($F$37&gt;B72,0,$F$36 IF(B72&gt;$E$21,0,$F$36))</f>
        <v>0</v>
      </c>
      <c r="M72" s="506"/>
      <c r="N72" s="505">
        <f t="shared" si="9"/>
        <v>3888.5</v>
      </c>
      <c r="O72" s="506"/>
      <c r="P72" s="321">
        <f t="shared" si="10"/>
        <v>6.0600000000000005</v>
      </c>
    </row>
    <row r="73" spans="2:16" s="299" customFormat="1" ht="12.6" customHeight="1">
      <c r="B73" s="315">
        <f t="shared" si="4"/>
        <v>3</v>
      </c>
      <c r="C73" s="316">
        <f t="shared" si="11"/>
        <v>46296</v>
      </c>
      <c r="D73" s="317">
        <f t="shared" si="5"/>
        <v>6.06</v>
      </c>
      <c r="E73" s="318">
        <f t="shared" si="6"/>
        <v>3888.5</v>
      </c>
      <c r="F73" s="319">
        <f t="shared" si="12"/>
        <v>0</v>
      </c>
      <c r="G73" s="319">
        <f t="shared" si="7"/>
        <v>0</v>
      </c>
      <c r="H73" s="318">
        <f t="shared" si="13"/>
        <v>0</v>
      </c>
      <c r="I73" s="505">
        <f t="shared" si="8"/>
        <v>0</v>
      </c>
      <c r="J73" s="506"/>
      <c r="K73" s="319">
        <f>IF($E$37&gt;B73,0,$E$36 IF(B73&gt;$E$21,0,$E$36))</f>
        <v>0</v>
      </c>
      <c r="L73" s="507">
        <f>IF($F$37&gt;B73,0,$F$36 IF(B73&gt;$E$21,0,$F$36))</f>
        <v>0</v>
      </c>
      <c r="M73" s="506"/>
      <c r="N73" s="505">
        <f t="shared" si="9"/>
        <v>3888.5</v>
      </c>
      <c r="O73" s="506"/>
      <c r="P73" s="321">
        <f t="shared" si="10"/>
        <v>6.0600000000000005</v>
      </c>
    </row>
    <row r="74" spans="2:16" s="299" customFormat="1" ht="12.6" customHeight="1">
      <c r="B74" s="315">
        <f t="shared" si="4"/>
        <v>4</v>
      </c>
      <c r="C74" s="316">
        <f t="shared" si="11"/>
        <v>46327</v>
      </c>
      <c r="D74" s="317">
        <f t="shared" si="5"/>
        <v>6.06</v>
      </c>
      <c r="E74" s="318">
        <f t="shared" si="6"/>
        <v>3888.5</v>
      </c>
      <c r="F74" s="319">
        <f t="shared" si="12"/>
        <v>0</v>
      </c>
      <c r="G74" s="319">
        <f t="shared" si="7"/>
        <v>0</v>
      </c>
      <c r="H74" s="318">
        <f t="shared" si="13"/>
        <v>0</v>
      </c>
      <c r="I74" s="505">
        <f t="shared" si="8"/>
        <v>0</v>
      </c>
      <c r="J74" s="506"/>
      <c r="K74" s="319">
        <f>IF($E$37&gt;B74,0,$E$36 IF(B74&gt;$E$21,0,$E$36))</f>
        <v>0</v>
      </c>
      <c r="L74" s="507">
        <f>IF($F$37&gt;B74,0,$F$36 IF(B74&gt;$E$21,0,$F$36))</f>
        <v>0</v>
      </c>
      <c r="M74" s="506"/>
      <c r="N74" s="505">
        <f t="shared" si="9"/>
        <v>3888.5</v>
      </c>
      <c r="O74" s="506"/>
      <c r="P74" s="321">
        <f t="shared" si="10"/>
        <v>6.0600000000000005</v>
      </c>
    </row>
    <row r="75" spans="2:16" s="299" customFormat="1" ht="12.6" customHeight="1">
      <c r="B75" s="315">
        <f t="shared" si="4"/>
        <v>5</v>
      </c>
      <c r="C75" s="316">
        <f t="shared" si="11"/>
        <v>46357</v>
      </c>
      <c r="D75" s="317">
        <f t="shared" si="5"/>
        <v>6.06</v>
      </c>
      <c r="E75" s="318">
        <f t="shared" si="6"/>
        <v>3888.5</v>
      </c>
      <c r="F75" s="319">
        <f t="shared" si="12"/>
        <v>0</v>
      </c>
      <c r="G75" s="319">
        <f t="shared" si="7"/>
        <v>0</v>
      </c>
      <c r="H75" s="318">
        <f t="shared" si="13"/>
        <v>0</v>
      </c>
      <c r="I75" s="505">
        <f t="shared" si="8"/>
        <v>0</v>
      </c>
      <c r="J75" s="506"/>
      <c r="K75" s="319">
        <f>IF($E$37&gt;B75,0,$E$36 IF(B75&gt;$E$21,0,$E$36))</f>
        <v>0</v>
      </c>
      <c r="L75" s="507">
        <f>IF($F$37&gt;B75,0,$F$36 IF(B75&gt;$E$21,0,$F$36))</f>
        <v>0</v>
      </c>
      <c r="M75" s="506"/>
      <c r="N75" s="505">
        <f t="shared" si="9"/>
        <v>3888.5</v>
      </c>
      <c r="O75" s="506"/>
      <c r="P75" s="321">
        <f t="shared" si="10"/>
        <v>6.0600000000000005</v>
      </c>
    </row>
    <row r="76" spans="2:16" s="299" customFormat="1" ht="12.6" customHeight="1">
      <c r="B76" s="315">
        <f t="shared" si="4"/>
        <v>6</v>
      </c>
      <c r="C76" s="316">
        <f t="shared" si="11"/>
        <v>46388</v>
      </c>
      <c r="D76" s="317">
        <f t="shared" si="5"/>
        <v>6.06</v>
      </c>
      <c r="E76" s="318">
        <f t="shared" si="6"/>
        <v>3888.5</v>
      </c>
      <c r="F76" s="319">
        <f t="shared" si="12"/>
        <v>0</v>
      </c>
      <c r="G76" s="319">
        <f t="shared" si="7"/>
        <v>0</v>
      </c>
      <c r="H76" s="318">
        <f t="shared" si="13"/>
        <v>0</v>
      </c>
      <c r="I76" s="505">
        <f t="shared" si="8"/>
        <v>0</v>
      </c>
      <c r="J76" s="506"/>
      <c r="K76" s="319">
        <f>IF($E$37&gt;B76,0,$E$36 IF(B76&gt;$E$21,0,$E$36))</f>
        <v>0</v>
      </c>
      <c r="L76" s="507">
        <f>IF($F$37&gt;B76,0,$F$36 IF(B76&gt;$E$21,0,$F$36))</f>
        <v>0</v>
      </c>
      <c r="M76" s="506"/>
      <c r="N76" s="505">
        <f t="shared" si="9"/>
        <v>3888.5</v>
      </c>
      <c r="O76" s="506"/>
      <c r="P76" s="305">
        <f t="shared" si="10"/>
        <v>6.0600000000000005</v>
      </c>
    </row>
    <row r="77" spans="2:16" s="299" customFormat="1" ht="12.6" customHeight="1">
      <c r="B77" s="315">
        <f t="shared" si="4"/>
        <v>7</v>
      </c>
      <c r="C77" s="316">
        <f t="shared" si="11"/>
        <v>46419</v>
      </c>
      <c r="D77" s="317">
        <f t="shared" si="5"/>
        <v>6.06</v>
      </c>
      <c r="E77" s="318">
        <f t="shared" si="6"/>
        <v>3888.5</v>
      </c>
      <c r="F77" s="319">
        <f t="shared" si="12"/>
        <v>0</v>
      </c>
      <c r="G77" s="319">
        <f t="shared" si="7"/>
        <v>0</v>
      </c>
      <c r="H77" s="318">
        <f t="shared" si="13"/>
        <v>0</v>
      </c>
      <c r="I77" s="505">
        <f t="shared" si="8"/>
        <v>0</v>
      </c>
      <c r="J77" s="506"/>
      <c r="K77" s="319">
        <f>IF($E$37&gt;B77,0,$E$36 IF(B77&gt;$E$21,0,$E$36))</f>
        <v>0</v>
      </c>
      <c r="L77" s="507">
        <f>IF($F$37&gt;B77,0,$F$36 IF(B77&gt;$E$21,0,$F$36))</f>
        <v>0</v>
      </c>
      <c r="M77" s="506"/>
      <c r="N77" s="505">
        <f t="shared" si="9"/>
        <v>3888.5</v>
      </c>
      <c r="O77" s="506"/>
      <c r="P77" s="305">
        <f t="shared" si="10"/>
        <v>6.0600000000000005</v>
      </c>
    </row>
    <row r="78" spans="2:16" s="299" customFormat="1" ht="12.6" customHeight="1">
      <c r="B78" s="315">
        <f t="shared" si="4"/>
        <v>8</v>
      </c>
      <c r="C78" s="316">
        <f t="shared" si="11"/>
        <v>46447</v>
      </c>
      <c r="D78" s="317">
        <f t="shared" si="5"/>
        <v>6.06</v>
      </c>
      <c r="E78" s="318">
        <f t="shared" si="6"/>
        <v>3888.5</v>
      </c>
      <c r="F78" s="319">
        <f t="shared" si="12"/>
        <v>0</v>
      </c>
      <c r="G78" s="319">
        <f t="shared" si="7"/>
        <v>0</v>
      </c>
      <c r="H78" s="318">
        <f t="shared" si="13"/>
        <v>0</v>
      </c>
      <c r="I78" s="505">
        <f t="shared" si="8"/>
        <v>0</v>
      </c>
      <c r="J78" s="506"/>
      <c r="K78" s="319">
        <f>IF($E$37&gt;B78,0,$E$36 IF(B78&gt;$E$21,0,$E$36))</f>
        <v>0</v>
      </c>
      <c r="L78" s="507">
        <f>IF($F$37&gt;B78,0,$F$36 IF(B78&gt;$E$21,0,$F$36))</f>
        <v>0</v>
      </c>
      <c r="M78" s="506"/>
      <c r="N78" s="505">
        <f t="shared" si="9"/>
        <v>3888.5</v>
      </c>
      <c r="O78" s="506"/>
      <c r="P78" s="305">
        <f t="shared" si="10"/>
        <v>6.0600000000000005</v>
      </c>
    </row>
    <row r="79" spans="2:16" s="299" customFormat="1" ht="12.6" customHeight="1">
      <c r="B79" s="315">
        <f t="shared" si="4"/>
        <v>9</v>
      </c>
      <c r="C79" s="316">
        <f t="shared" si="11"/>
        <v>46478</v>
      </c>
      <c r="D79" s="317">
        <f t="shared" si="5"/>
        <v>6.06</v>
      </c>
      <c r="E79" s="318">
        <f t="shared" si="6"/>
        <v>3888.5</v>
      </c>
      <c r="F79" s="319">
        <f t="shared" si="12"/>
        <v>0</v>
      </c>
      <c r="G79" s="319">
        <f t="shared" si="7"/>
        <v>0</v>
      </c>
      <c r="H79" s="318">
        <f t="shared" si="13"/>
        <v>0</v>
      </c>
      <c r="I79" s="505">
        <f t="shared" si="8"/>
        <v>0</v>
      </c>
      <c r="J79" s="506"/>
      <c r="K79" s="319">
        <f>IF($E$37&gt;B79,0,$E$36 IF(B79&gt;$E$21,0,$E$36))</f>
        <v>0</v>
      </c>
      <c r="L79" s="507">
        <f>IF($F$37&gt;B79,0,$F$36 IF(B79&gt;$E$21,0,$F$36))</f>
        <v>0</v>
      </c>
      <c r="M79" s="506"/>
      <c r="N79" s="505">
        <f t="shared" si="9"/>
        <v>3888.5</v>
      </c>
      <c r="O79" s="506"/>
      <c r="P79" s="305">
        <f t="shared" si="10"/>
        <v>6.0600000000000005</v>
      </c>
    </row>
    <row r="80" spans="2:16" s="299" customFormat="1" ht="12.6" customHeight="1">
      <c r="B80" s="315">
        <f t="shared" si="4"/>
        <v>10</v>
      </c>
      <c r="C80" s="316">
        <f t="shared" si="11"/>
        <v>46508</v>
      </c>
      <c r="D80" s="317">
        <f t="shared" si="5"/>
        <v>6.06</v>
      </c>
      <c r="E80" s="318">
        <f t="shared" si="6"/>
        <v>3888.5</v>
      </c>
      <c r="F80" s="319">
        <f t="shared" si="12"/>
        <v>0</v>
      </c>
      <c r="G80" s="319">
        <f t="shared" si="7"/>
        <v>0</v>
      </c>
      <c r="H80" s="318">
        <f t="shared" si="13"/>
        <v>0</v>
      </c>
      <c r="I80" s="505">
        <f t="shared" si="8"/>
        <v>0</v>
      </c>
      <c r="J80" s="506"/>
      <c r="K80" s="319">
        <f>IF($E$37&gt;B80,0,$E$36 IF(B80&gt;$E$21,0,$E$36))</f>
        <v>0</v>
      </c>
      <c r="L80" s="507">
        <f>IF($F$37&gt;B80,0,$F$36 IF(B80&gt;$E$21,0,$F$36))</f>
        <v>0</v>
      </c>
      <c r="M80" s="506"/>
      <c r="N80" s="505">
        <f t="shared" si="9"/>
        <v>3888.5</v>
      </c>
      <c r="O80" s="506"/>
      <c r="P80" s="305">
        <f t="shared" si="10"/>
        <v>6.0600000000000005</v>
      </c>
    </row>
    <row r="81" spans="2:16" s="299" customFormat="1" ht="12.6" customHeight="1">
      <c r="B81" s="315">
        <f t="shared" si="4"/>
        <v>11</v>
      </c>
      <c r="C81" s="316">
        <f t="shared" si="11"/>
        <v>46539</v>
      </c>
      <c r="D81" s="317">
        <f t="shared" si="5"/>
        <v>6.06</v>
      </c>
      <c r="E81" s="318">
        <f t="shared" si="6"/>
        <v>3888.5</v>
      </c>
      <c r="F81" s="319">
        <f t="shared" si="12"/>
        <v>0</v>
      </c>
      <c r="G81" s="319">
        <f t="shared" si="7"/>
        <v>0</v>
      </c>
      <c r="H81" s="318">
        <f t="shared" si="13"/>
        <v>0</v>
      </c>
      <c r="I81" s="505">
        <f t="shared" si="8"/>
        <v>0</v>
      </c>
      <c r="J81" s="506"/>
      <c r="K81" s="319">
        <f>IF($E$37&gt;B81,0,$E$36 IF(B81&gt;$E$21,0,$E$36))</f>
        <v>0</v>
      </c>
      <c r="L81" s="507">
        <f>IF($F$37&gt;B81,0,$F$36 IF(B81&gt;$E$21,0,$F$36))</f>
        <v>0</v>
      </c>
      <c r="M81" s="506"/>
      <c r="N81" s="505">
        <f t="shared" si="9"/>
        <v>3888.5</v>
      </c>
      <c r="O81" s="506"/>
      <c r="P81" s="305">
        <f t="shared" si="10"/>
        <v>6.0600000000000005</v>
      </c>
    </row>
    <row r="82" spans="2:16" s="299" customFormat="1" ht="12.6" customHeight="1">
      <c r="B82" s="315">
        <f t="shared" si="4"/>
        <v>12</v>
      </c>
      <c r="C82" s="316">
        <f t="shared" si="11"/>
        <v>46569</v>
      </c>
      <c r="D82" s="317">
        <f t="shared" si="5"/>
        <v>6.06</v>
      </c>
      <c r="E82" s="318">
        <f t="shared" si="6"/>
        <v>3888.5</v>
      </c>
      <c r="F82" s="319">
        <f t="shared" si="12"/>
        <v>0</v>
      </c>
      <c r="G82" s="319">
        <f t="shared" si="7"/>
        <v>0</v>
      </c>
      <c r="H82" s="318">
        <f t="shared" si="13"/>
        <v>0</v>
      </c>
      <c r="I82" s="505">
        <f t="shared" si="8"/>
        <v>0</v>
      </c>
      <c r="J82" s="506"/>
      <c r="K82" s="319">
        <f>IF($E$37&gt;B82,0,$E$36 IF(B82&gt;$E$21,0,$E$36))</f>
        <v>0</v>
      </c>
      <c r="L82" s="507">
        <f>IF($F$37&gt;B82,0,$F$36 IF(B82&gt;$E$21,0,$F$36))</f>
        <v>0</v>
      </c>
      <c r="M82" s="506"/>
      <c r="N82" s="505">
        <f t="shared" si="9"/>
        <v>3888.5</v>
      </c>
      <c r="O82" s="506"/>
      <c r="P82" s="305">
        <f t="shared" si="10"/>
        <v>6.0600000000000005</v>
      </c>
    </row>
    <row r="83" spans="2:16" s="299" customFormat="1" ht="12.6" customHeight="1">
      <c r="B83" s="315">
        <f t="shared" si="4"/>
        <v>13</v>
      </c>
      <c r="C83" s="316">
        <f t="shared" si="11"/>
        <v>46600</v>
      </c>
      <c r="D83" s="317">
        <f t="shared" si="5"/>
        <v>6.2417999999999996</v>
      </c>
      <c r="E83" s="318">
        <f t="shared" si="6"/>
        <v>4005.1549999999993</v>
      </c>
      <c r="F83" s="319">
        <f t="shared" si="12"/>
        <v>0</v>
      </c>
      <c r="G83" s="319">
        <f t="shared" si="7"/>
        <v>0</v>
      </c>
      <c r="H83" s="318">
        <f t="shared" si="13"/>
        <v>0</v>
      </c>
      <c r="I83" s="505">
        <f t="shared" si="8"/>
        <v>0</v>
      </c>
      <c r="J83" s="506"/>
      <c r="K83" s="319">
        <f>IF($E$37&gt;B83,0,$E$36 IF(B83&gt;$E$21,0,$E$36))</f>
        <v>0</v>
      </c>
      <c r="L83" s="507">
        <f>IF($F$37&gt;B83,0,$F$36 IF(B83&gt;$E$21,0,$F$36))</f>
        <v>0</v>
      </c>
      <c r="M83" s="506"/>
      <c r="N83" s="505">
        <f t="shared" si="9"/>
        <v>4005.1549999999993</v>
      </c>
      <c r="O83" s="506"/>
      <c r="P83" s="305">
        <f t="shared" si="10"/>
        <v>6.2417999999999987</v>
      </c>
    </row>
    <row r="84" spans="2:16" s="299" customFormat="1" ht="12.6" customHeight="1">
      <c r="B84" s="315">
        <f t="shared" si="4"/>
        <v>14</v>
      </c>
      <c r="C84" s="316">
        <f t="shared" si="11"/>
        <v>46631</v>
      </c>
      <c r="D84" s="317">
        <f t="shared" si="5"/>
        <v>6.2417999999999996</v>
      </c>
      <c r="E84" s="318">
        <f t="shared" si="6"/>
        <v>4005.1549999999993</v>
      </c>
      <c r="F84" s="319">
        <f t="shared" si="12"/>
        <v>0</v>
      </c>
      <c r="G84" s="319">
        <f t="shared" si="7"/>
        <v>0</v>
      </c>
      <c r="H84" s="318">
        <f t="shared" si="13"/>
        <v>0</v>
      </c>
      <c r="I84" s="505">
        <f t="shared" si="8"/>
        <v>0</v>
      </c>
      <c r="J84" s="506"/>
      <c r="K84" s="319">
        <f>IF($E$37&gt;B84,0,$E$36 IF(B84&gt;$E$21,0,$E$36))</f>
        <v>0</v>
      </c>
      <c r="L84" s="507">
        <f>IF($F$37&gt;B84,0,$F$36 IF(B84&gt;$E$21,0,$F$36))</f>
        <v>0</v>
      </c>
      <c r="M84" s="506"/>
      <c r="N84" s="505">
        <f t="shared" si="9"/>
        <v>4005.1549999999993</v>
      </c>
      <c r="O84" s="506"/>
      <c r="P84" s="305">
        <f t="shared" si="10"/>
        <v>6.2417999999999987</v>
      </c>
    </row>
    <row r="85" spans="2:16" s="299" customFormat="1" ht="12.6" customHeight="1">
      <c r="B85" s="315">
        <f t="shared" si="4"/>
        <v>15</v>
      </c>
      <c r="C85" s="316">
        <f t="shared" si="11"/>
        <v>46661</v>
      </c>
      <c r="D85" s="317">
        <f t="shared" si="5"/>
        <v>6.2417999999999996</v>
      </c>
      <c r="E85" s="318">
        <f t="shared" si="6"/>
        <v>4005.1549999999993</v>
      </c>
      <c r="F85" s="319">
        <f t="shared" si="12"/>
        <v>0</v>
      </c>
      <c r="G85" s="319">
        <f t="shared" si="7"/>
        <v>0</v>
      </c>
      <c r="H85" s="318">
        <f t="shared" si="13"/>
        <v>0</v>
      </c>
      <c r="I85" s="505">
        <f t="shared" si="8"/>
        <v>0</v>
      </c>
      <c r="J85" s="506"/>
      <c r="K85" s="319">
        <f>IF($E$37&gt;B85,0,$E$36 IF(B85&gt;$E$21,0,$E$36))</f>
        <v>0</v>
      </c>
      <c r="L85" s="507">
        <f>IF($F$37&gt;B85,0,$F$36 IF(B85&gt;$E$21,0,$F$36))</f>
        <v>0</v>
      </c>
      <c r="M85" s="506"/>
      <c r="N85" s="505">
        <f t="shared" si="9"/>
        <v>4005.1549999999993</v>
      </c>
      <c r="O85" s="506"/>
      <c r="P85" s="305">
        <f t="shared" si="10"/>
        <v>6.2417999999999987</v>
      </c>
    </row>
    <row r="86" spans="2:16" s="299" customFormat="1" ht="12.6" customHeight="1">
      <c r="B86" s="315">
        <f t="shared" si="4"/>
        <v>16</v>
      </c>
      <c r="C86" s="316">
        <f t="shared" si="11"/>
        <v>46692</v>
      </c>
      <c r="D86" s="317">
        <f t="shared" si="5"/>
        <v>6.2417999999999996</v>
      </c>
      <c r="E86" s="318">
        <f t="shared" si="6"/>
        <v>4005.1549999999993</v>
      </c>
      <c r="F86" s="319">
        <f t="shared" si="12"/>
        <v>0</v>
      </c>
      <c r="G86" s="319">
        <f t="shared" si="7"/>
        <v>0</v>
      </c>
      <c r="H86" s="318">
        <f t="shared" si="13"/>
        <v>0</v>
      </c>
      <c r="I86" s="505">
        <f t="shared" si="8"/>
        <v>0</v>
      </c>
      <c r="J86" s="506"/>
      <c r="K86" s="319">
        <f>IF($E$37&gt;B86,0,$E$36 IF(B86&gt;$E$21,0,$E$36))</f>
        <v>0</v>
      </c>
      <c r="L86" s="507">
        <f>IF($F$37&gt;B86,0,$F$36 IF(B86&gt;$E$21,0,$F$36))</f>
        <v>0</v>
      </c>
      <c r="M86" s="506"/>
      <c r="N86" s="505">
        <f t="shared" si="9"/>
        <v>4005.1549999999993</v>
      </c>
      <c r="O86" s="506"/>
      <c r="P86" s="305">
        <f t="shared" si="10"/>
        <v>6.2417999999999987</v>
      </c>
    </row>
    <row r="87" spans="2:16" s="299" customFormat="1" ht="12.6" customHeight="1">
      <c r="B87" s="315">
        <f t="shared" si="4"/>
        <v>17</v>
      </c>
      <c r="C87" s="316">
        <f t="shared" si="11"/>
        <v>46722</v>
      </c>
      <c r="D87" s="317">
        <f t="shared" si="5"/>
        <v>6.2417999999999996</v>
      </c>
      <c r="E87" s="318">
        <f t="shared" si="6"/>
        <v>4005.1549999999993</v>
      </c>
      <c r="F87" s="319">
        <f t="shared" si="12"/>
        <v>0</v>
      </c>
      <c r="G87" s="319">
        <f t="shared" si="7"/>
        <v>0</v>
      </c>
      <c r="H87" s="318">
        <f t="shared" si="13"/>
        <v>0</v>
      </c>
      <c r="I87" s="505">
        <f t="shared" si="8"/>
        <v>0</v>
      </c>
      <c r="J87" s="506"/>
      <c r="K87" s="319">
        <f>IF($E$37&gt;B87,0,$E$36 IF(B87&gt;$E$21,0,$E$36))</f>
        <v>0</v>
      </c>
      <c r="L87" s="507">
        <f>IF($F$37&gt;B87,0,$F$36 IF(B87&gt;$E$21,0,$F$36))</f>
        <v>0</v>
      </c>
      <c r="M87" s="506"/>
      <c r="N87" s="505">
        <f t="shared" si="9"/>
        <v>4005.1549999999993</v>
      </c>
      <c r="O87" s="506"/>
      <c r="P87" s="305">
        <f t="shared" si="10"/>
        <v>6.2417999999999987</v>
      </c>
    </row>
    <row r="88" spans="2:16" s="299" customFormat="1" ht="12.6" customHeight="1">
      <c r="B88" s="315">
        <f t="shared" si="4"/>
        <v>18</v>
      </c>
      <c r="C88" s="316">
        <f t="shared" si="11"/>
        <v>46753</v>
      </c>
      <c r="D88" s="317">
        <f t="shared" si="5"/>
        <v>6.2417999999999996</v>
      </c>
      <c r="E88" s="318">
        <f t="shared" si="6"/>
        <v>4005.1549999999993</v>
      </c>
      <c r="F88" s="319">
        <f t="shared" si="12"/>
        <v>0</v>
      </c>
      <c r="G88" s="319">
        <f t="shared" si="7"/>
        <v>0</v>
      </c>
      <c r="H88" s="318">
        <f t="shared" si="13"/>
        <v>0</v>
      </c>
      <c r="I88" s="505">
        <f t="shared" si="8"/>
        <v>0</v>
      </c>
      <c r="J88" s="506"/>
      <c r="K88" s="319">
        <f>IF($E$37&gt;B88,0,$E$36 IF(B88&gt;$E$21,0,$E$36))</f>
        <v>0</v>
      </c>
      <c r="L88" s="507">
        <f>IF($F$37&gt;B88,0,$F$36 IF(B88&gt;$E$21,0,$F$36))</f>
        <v>0</v>
      </c>
      <c r="M88" s="506"/>
      <c r="N88" s="505">
        <f t="shared" si="9"/>
        <v>4005.1549999999993</v>
      </c>
      <c r="O88" s="506"/>
      <c r="P88" s="305">
        <f t="shared" si="10"/>
        <v>6.2417999999999987</v>
      </c>
    </row>
    <row r="89" spans="2:16" s="299" customFormat="1" ht="12.6" customHeight="1">
      <c r="B89" s="315">
        <f t="shared" si="4"/>
        <v>19</v>
      </c>
      <c r="C89" s="316">
        <f t="shared" si="11"/>
        <v>46784</v>
      </c>
      <c r="D89" s="317">
        <f t="shared" si="5"/>
        <v>6.2417999999999996</v>
      </c>
      <c r="E89" s="318">
        <f t="shared" si="6"/>
        <v>4005.1549999999993</v>
      </c>
      <c r="F89" s="319">
        <f t="shared" si="12"/>
        <v>0</v>
      </c>
      <c r="G89" s="319">
        <f t="shared" si="7"/>
        <v>0</v>
      </c>
      <c r="H89" s="318">
        <f t="shared" si="13"/>
        <v>0</v>
      </c>
      <c r="I89" s="505">
        <f t="shared" si="8"/>
        <v>0</v>
      </c>
      <c r="J89" s="506"/>
      <c r="K89" s="319">
        <f>IF($E$37&gt;B89,0,$E$36 IF(B89&gt;$E$21,0,$E$36))</f>
        <v>0</v>
      </c>
      <c r="L89" s="507">
        <f>IF($F$37&gt;B89,0,$F$36 IF(B89&gt;$E$21,0,$F$36))</f>
        <v>0</v>
      </c>
      <c r="M89" s="506"/>
      <c r="N89" s="505">
        <f t="shared" si="9"/>
        <v>4005.1549999999993</v>
      </c>
      <c r="O89" s="506"/>
      <c r="P89" s="305">
        <f t="shared" si="10"/>
        <v>6.2417999999999987</v>
      </c>
    </row>
    <row r="90" spans="2:16" s="299" customFormat="1" ht="12.6" customHeight="1">
      <c r="B90" s="315">
        <f t="shared" si="4"/>
        <v>20</v>
      </c>
      <c r="C90" s="316">
        <f t="shared" si="11"/>
        <v>46813</v>
      </c>
      <c r="D90" s="317">
        <f t="shared" si="5"/>
        <v>6.2417999999999996</v>
      </c>
      <c r="E90" s="318">
        <f t="shared" si="6"/>
        <v>4005.1549999999993</v>
      </c>
      <c r="F90" s="319">
        <f t="shared" si="12"/>
        <v>0</v>
      </c>
      <c r="G90" s="319">
        <f t="shared" si="7"/>
        <v>0</v>
      </c>
      <c r="H90" s="318">
        <f t="shared" si="13"/>
        <v>0</v>
      </c>
      <c r="I90" s="505">
        <f t="shared" si="8"/>
        <v>0</v>
      </c>
      <c r="J90" s="506"/>
      <c r="K90" s="319">
        <f>IF($E$37&gt;B90,0,$E$36 IF(B90&gt;$E$21,0,$E$36))</f>
        <v>0</v>
      </c>
      <c r="L90" s="507">
        <f>IF($F$37&gt;B90,0,$F$36 IF(B90&gt;$E$21,0,$F$36))</f>
        <v>0</v>
      </c>
      <c r="M90" s="506"/>
      <c r="N90" s="505">
        <f t="shared" si="9"/>
        <v>4005.1549999999993</v>
      </c>
      <c r="O90" s="506"/>
      <c r="P90" s="305">
        <f t="shared" si="10"/>
        <v>6.2417999999999987</v>
      </c>
    </row>
    <row r="91" spans="2:16" s="299" customFormat="1" ht="12.6" customHeight="1">
      <c r="B91" s="315">
        <f t="shared" si="4"/>
        <v>21</v>
      </c>
      <c r="C91" s="316">
        <f t="shared" si="11"/>
        <v>46844</v>
      </c>
      <c r="D91" s="317">
        <f t="shared" si="5"/>
        <v>6.2417999999999996</v>
      </c>
      <c r="E91" s="318">
        <f t="shared" si="6"/>
        <v>4005.1549999999993</v>
      </c>
      <c r="F91" s="319">
        <f t="shared" si="12"/>
        <v>0</v>
      </c>
      <c r="G91" s="319">
        <f t="shared" si="7"/>
        <v>0</v>
      </c>
      <c r="H91" s="318">
        <f t="shared" si="13"/>
        <v>0</v>
      </c>
      <c r="I91" s="505">
        <f t="shared" si="8"/>
        <v>0</v>
      </c>
      <c r="J91" s="506"/>
      <c r="K91" s="319">
        <f>IF($E$37&gt;B91,0,$E$36 IF(B91&gt;$E$21,0,$E$36))</f>
        <v>0</v>
      </c>
      <c r="L91" s="507">
        <f>IF($F$37&gt;B91,0,$F$36 IF(B91&gt;$E$21,0,$F$36))</f>
        <v>0</v>
      </c>
      <c r="M91" s="506"/>
      <c r="N91" s="505">
        <f t="shared" si="9"/>
        <v>4005.1549999999993</v>
      </c>
      <c r="O91" s="506"/>
      <c r="P91" s="305">
        <f t="shared" si="10"/>
        <v>6.2417999999999987</v>
      </c>
    </row>
    <row r="92" spans="2:16" s="299" customFormat="1" ht="12.6" customHeight="1">
      <c r="B92" s="315">
        <f t="shared" si="4"/>
        <v>22</v>
      </c>
      <c r="C92" s="316">
        <f t="shared" si="11"/>
        <v>46874</v>
      </c>
      <c r="D92" s="317">
        <f t="shared" si="5"/>
        <v>6.2417999999999996</v>
      </c>
      <c r="E92" s="318">
        <f t="shared" si="6"/>
        <v>4005.1549999999993</v>
      </c>
      <c r="F92" s="319">
        <f t="shared" si="12"/>
        <v>0</v>
      </c>
      <c r="G92" s="319">
        <f t="shared" si="7"/>
        <v>0</v>
      </c>
      <c r="H92" s="318">
        <f t="shared" si="13"/>
        <v>0</v>
      </c>
      <c r="I92" s="505">
        <f t="shared" si="8"/>
        <v>0</v>
      </c>
      <c r="J92" s="506"/>
      <c r="K92" s="319">
        <f>IF($E$37&gt;B92,0,$E$36 IF(B92&gt;$E$21,0,$E$36))</f>
        <v>0</v>
      </c>
      <c r="L92" s="507">
        <f>IF($F$37&gt;B92,0,$F$36 IF(B92&gt;$E$21,0,$F$36))</f>
        <v>0</v>
      </c>
      <c r="M92" s="506"/>
      <c r="N92" s="505">
        <f t="shared" si="9"/>
        <v>4005.1549999999993</v>
      </c>
      <c r="O92" s="506"/>
      <c r="P92" s="305">
        <f t="shared" si="10"/>
        <v>6.2417999999999987</v>
      </c>
    </row>
    <row r="93" spans="2:16" s="299" customFormat="1" ht="12.6" customHeight="1">
      <c r="B93" s="315">
        <f t="shared" si="4"/>
        <v>23</v>
      </c>
      <c r="C93" s="316">
        <f t="shared" si="11"/>
        <v>46905</v>
      </c>
      <c r="D93" s="317">
        <f t="shared" si="5"/>
        <v>6.2417999999999996</v>
      </c>
      <c r="E93" s="318">
        <f t="shared" si="6"/>
        <v>4005.1549999999993</v>
      </c>
      <c r="F93" s="319">
        <f t="shared" si="12"/>
        <v>0</v>
      </c>
      <c r="G93" s="319">
        <f t="shared" si="7"/>
        <v>0</v>
      </c>
      <c r="H93" s="318">
        <f t="shared" si="13"/>
        <v>0</v>
      </c>
      <c r="I93" s="505">
        <f t="shared" si="8"/>
        <v>0</v>
      </c>
      <c r="J93" s="506"/>
      <c r="K93" s="319">
        <f>IF($E$37&gt;B93,0,$E$36 IF(B93&gt;$E$21,0,$E$36))</f>
        <v>0</v>
      </c>
      <c r="L93" s="507">
        <f>IF($F$37&gt;B93,0,$F$36 IF(B93&gt;$E$21,0,$F$36))</f>
        <v>0</v>
      </c>
      <c r="M93" s="506"/>
      <c r="N93" s="505">
        <f t="shared" si="9"/>
        <v>4005.1549999999993</v>
      </c>
      <c r="O93" s="506"/>
      <c r="P93" s="305">
        <f t="shared" si="10"/>
        <v>6.2417999999999987</v>
      </c>
    </row>
    <row r="94" spans="2:16" s="299" customFormat="1" ht="12.6" customHeight="1">
      <c r="B94" s="315">
        <f t="shared" si="4"/>
        <v>24</v>
      </c>
      <c r="C94" s="316">
        <f t="shared" si="11"/>
        <v>46935</v>
      </c>
      <c r="D94" s="317">
        <f t="shared" si="5"/>
        <v>6.2417999999999996</v>
      </c>
      <c r="E94" s="318">
        <f t="shared" si="6"/>
        <v>4005.1549999999993</v>
      </c>
      <c r="F94" s="319">
        <f t="shared" si="12"/>
        <v>0</v>
      </c>
      <c r="G94" s="319">
        <f t="shared" si="7"/>
        <v>0</v>
      </c>
      <c r="H94" s="318">
        <f t="shared" si="13"/>
        <v>0</v>
      </c>
      <c r="I94" s="505">
        <f t="shared" si="8"/>
        <v>0</v>
      </c>
      <c r="J94" s="506"/>
      <c r="K94" s="319">
        <f>IF($E$37&gt;B94,0,$E$36 IF(B94&gt;$E$21,0,$E$36))</f>
        <v>0</v>
      </c>
      <c r="L94" s="507">
        <f>IF($F$37&gt;B94,0,$F$36 IF(B94&gt;$E$21,0,$F$36))</f>
        <v>0</v>
      </c>
      <c r="M94" s="506"/>
      <c r="N94" s="505">
        <f t="shared" si="9"/>
        <v>4005.1549999999993</v>
      </c>
      <c r="O94" s="506"/>
      <c r="P94" s="305">
        <f t="shared" si="10"/>
        <v>6.2417999999999987</v>
      </c>
    </row>
    <row r="95" spans="2:16" s="299" customFormat="1" ht="12.6" customHeight="1">
      <c r="B95" s="315">
        <f t="shared" si="4"/>
        <v>25</v>
      </c>
      <c r="C95" s="316">
        <f t="shared" si="11"/>
        <v>46966</v>
      </c>
      <c r="D95" s="317">
        <f t="shared" si="5"/>
        <v>6.4290539999999998</v>
      </c>
      <c r="E95" s="318">
        <f t="shared" si="6"/>
        <v>4125.3096500000001</v>
      </c>
      <c r="F95" s="319">
        <f t="shared" si="12"/>
        <v>0</v>
      </c>
      <c r="G95" s="319">
        <f t="shared" si="7"/>
        <v>0</v>
      </c>
      <c r="H95" s="318">
        <f t="shared" si="13"/>
        <v>0</v>
      </c>
      <c r="I95" s="505">
        <f t="shared" si="8"/>
        <v>0</v>
      </c>
      <c r="J95" s="506"/>
      <c r="K95" s="319">
        <f>IF($E$37&gt;B95,0,$E$36 IF(B95&gt;$E$21,0,$E$36))</f>
        <v>0</v>
      </c>
      <c r="L95" s="507">
        <f>IF($F$37&gt;B95,0,$F$36 IF(B95&gt;$E$21,0,$F$36))</f>
        <v>0</v>
      </c>
      <c r="M95" s="506"/>
      <c r="N95" s="505">
        <f t="shared" si="9"/>
        <v>4125.3096500000001</v>
      </c>
      <c r="O95" s="506"/>
      <c r="P95" s="305">
        <f t="shared" si="10"/>
        <v>6.4290540000000007</v>
      </c>
    </row>
    <row r="96" spans="2:16" s="299" customFormat="1" ht="12.6" customHeight="1">
      <c r="B96" s="315">
        <f t="shared" si="4"/>
        <v>26</v>
      </c>
      <c r="C96" s="316">
        <f t="shared" si="11"/>
        <v>46997</v>
      </c>
      <c r="D96" s="317">
        <f t="shared" si="5"/>
        <v>6.4290539999999998</v>
      </c>
      <c r="E96" s="318">
        <f t="shared" si="6"/>
        <v>4125.3096500000001</v>
      </c>
      <c r="F96" s="319">
        <f t="shared" si="12"/>
        <v>0</v>
      </c>
      <c r="G96" s="319">
        <f t="shared" si="7"/>
        <v>0</v>
      </c>
      <c r="H96" s="318">
        <f t="shared" si="13"/>
        <v>0</v>
      </c>
      <c r="I96" s="505">
        <f t="shared" si="8"/>
        <v>0</v>
      </c>
      <c r="J96" s="506"/>
      <c r="K96" s="319">
        <f>IF($E$37&gt;B96,0,$E$36 IF(B96&gt;$E$21,0,$E$36))</f>
        <v>0</v>
      </c>
      <c r="L96" s="507">
        <f>IF($F$37&gt;B96,0,$F$36 IF(B96&gt;$E$21,0,$F$36))</f>
        <v>0</v>
      </c>
      <c r="M96" s="506"/>
      <c r="N96" s="505">
        <f t="shared" si="9"/>
        <v>4125.3096500000001</v>
      </c>
      <c r="O96" s="506"/>
      <c r="P96" s="305">
        <f t="shared" si="10"/>
        <v>6.4290540000000007</v>
      </c>
    </row>
    <row r="97" spans="2:16" s="299" customFormat="1" ht="12.6" customHeight="1">
      <c r="B97" s="315">
        <f t="shared" si="4"/>
        <v>27</v>
      </c>
      <c r="C97" s="316">
        <f t="shared" si="11"/>
        <v>47027</v>
      </c>
      <c r="D97" s="317">
        <f t="shared" si="5"/>
        <v>6.4290539999999998</v>
      </c>
      <c r="E97" s="318">
        <f t="shared" si="6"/>
        <v>4125.3096500000001</v>
      </c>
      <c r="F97" s="319">
        <f t="shared" si="12"/>
        <v>0</v>
      </c>
      <c r="G97" s="319">
        <f t="shared" si="7"/>
        <v>0</v>
      </c>
      <c r="H97" s="318">
        <f t="shared" si="13"/>
        <v>0</v>
      </c>
      <c r="I97" s="505">
        <f t="shared" si="8"/>
        <v>0</v>
      </c>
      <c r="J97" s="506"/>
      <c r="K97" s="319">
        <f>IF($E$37&gt;B97,0,$E$36 IF(B97&gt;$E$21,0,$E$36))</f>
        <v>0</v>
      </c>
      <c r="L97" s="507">
        <f>IF($F$37&gt;B97,0,$F$36 IF(B97&gt;$E$21,0,$F$36))</f>
        <v>0</v>
      </c>
      <c r="M97" s="506"/>
      <c r="N97" s="505">
        <f t="shared" si="9"/>
        <v>4125.3096500000001</v>
      </c>
      <c r="O97" s="506"/>
      <c r="P97" s="305">
        <f t="shared" si="10"/>
        <v>6.4290540000000007</v>
      </c>
    </row>
    <row r="98" spans="2:16" s="299" customFormat="1" ht="12.6" customHeight="1">
      <c r="B98" s="315">
        <f t="shared" si="4"/>
        <v>28</v>
      </c>
      <c r="C98" s="316">
        <f t="shared" si="11"/>
        <v>47058</v>
      </c>
      <c r="D98" s="317">
        <f t="shared" si="5"/>
        <v>6.4290539999999998</v>
      </c>
      <c r="E98" s="318">
        <f t="shared" si="6"/>
        <v>4125.3096500000001</v>
      </c>
      <c r="F98" s="319">
        <f t="shared" si="12"/>
        <v>0</v>
      </c>
      <c r="G98" s="319">
        <f t="shared" si="7"/>
        <v>0</v>
      </c>
      <c r="H98" s="318">
        <f t="shared" si="13"/>
        <v>0</v>
      </c>
      <c r="I98" s="505">
        <f t="shared" si="8"/>
        <v>0</v>
      </c>
      <c r="J98" s="506"/>
      <c r="K98" s="319">
        <f>IF($E$37&gt;B98,0,$E$36 IF(B98&gt;$E$21,0,$E$36))</f>
        <v>0</v>
      </c>
      <c r="L98" s="507">
        <f>IF($F$37&gt;B98,0,$F$36 IF(B98&gt;$E$21,0,$F$36))</f>
        <v>0</v>
      </c>
      <c r="M98" s="506"/>
      <c r="N98" s="505">
        <f t="shared" si="9"/>
        <v>4125.3096500000001</v>
      </c>
      <c r="O98" s="506"/>
      <c r="P98" s="305">
        <f t="shared" si="10"/>
        <v>6.4290540000000007</v>
      </c>
    </row>
    <row r="99" spans="2:16" s="299" customFormat="1" ht="12.6" customHeight="1">
      <c r="B99" s="315">
        <f t="shared" si="4"/>
        <v>29</v>
      </c>
      <c r="C99" s="316">
        <f t="shared" si="11"/>
        <v>47088</v>
      </c>
      <c r="D99" s="317">
        <f t="shared" si="5"/>
        <v>6.4290539999999998</v>
      </c>
      <c r="E99" s="318">
        <f t="shared" si="6"/>
        <v>4125.3096500000001</v>
      </c>
      <c r="F99" s="319">
        <f t="shared" si="12"/>
        <v>0</v>
      </c>
      <c r="G99" s="319">
        <f t="shared" si="7"/>
        <v>0</v>
      </c>
      <c r="H99" s="318">
        <f t="shared" si="13"/>
        <v>0</v>
      </c>
      <c r="I99" s="505">
        <f t="shared" si="8"/>
        <v>0</v>
      </c>
      <c r="J99" s="506"/>
      <c r="K99" s="319">
        <f>IF($E$37&gt;B99,0,$E$36 IF(B99&gt;$E$21,0,$E$36))</f>
        <v>0</v>
      </c>
      <c r="L99" s="507">
        <f>IF($F$37&gt;B99,0,$F$36 IF(B99&gt;$E$21,0,$F$36))</f>
        <v>0</v>
      </c>
      <c r="M99" s="506"/>
      <c r="N99" s="505">
        <f t="shared" si="9"/>
        <v>4125.3096500000001</v>
      </c>
      <c r="O99" s="506"/>
      <c r="P99" s="305">
        <f t="shared" si="10"/>
        <v>6.4290540000000007</v>
      </c>
    </row>
    <row r="100" spans="2:16" s="299" customFormat="1" ht="12.6" customHeight="1">
      <c r="B100" s="315">
        <f t="shared" si="4"/>
        <v>30</v>
      </c>
      <c r="C100" s="316">
        <f t="shared" si="11"/>
        <v>47119</v>
      </c>
      <c r="D100" s="317">
        <f t="shared" si="5"/>
        <v>6.4290539999999998</v>
      </c>
      <c r="E100" s="318">
        <f t="shared" si="6"/>
        <v>4125.3096500000001</v>
      </c>
      <c r="F100" s="319">
        <f t="shared" si="12"/>
        <v>0</v>
      </c>
      <c r="G100" s="319">
        <f t="shared" si="7"/>
        <v>0</v>
      </c>
      <c r="H100" s="318">
        <f t="shared" si="13"/>
        <v>0</v>
      </c>
      <c r="I100" s="505">
        <f t="shared" si="8"/>
        <v>0</v>
      </c>
      <c r="J100" s="506"/>
      <c r="K100" s="319">
        <f>IF($E$37&gt;B100,0,$E$36 IF(B100&gt;$E$21,0,$E$36))</f>
        <v>0</v>
      </c>
      <c r="L100" s="507">
        <f>IF($F$37&gt;B100,0,$F$36 IF(B100&gt;$E$21,0,$F$36))</f>
        <v>0</v>
      </c>
      <c r="M100" s="506"/>
      <c r="N100" s="505">
        <f t="shared" si="9"/>
        <v>4125.3096500000001</v>
      </c>
      <c r="O100" s="506"/>
      <c r="P100" s="305">
        <f t="shared" si="10"/>
        <v>6.4290540000000007</v>
      </c>
    </row>
    <row r="101" spans="2:16" s="299" customFormat="1" ht="12.6" customHeight="1">
      <c r="B101" s="315">
        <f t="shared" si="4"/>
        <v>31</v>
      </c>
      <c r="C101" s="316">
        <f t="shared" si="11"/>
        <v>47150</v>
      </c>
      <c r="D101" s="317">
        <f t="shared" si="5"/>
        <v>6.4290539999999998</v>
      </c>
      <c r="E101" s="318">
        <f t="shared" si="6"/>
        <v>4125.3096500000001</v>
      </c>
      <c r="F101" s="319">
        <f t="shared" si="12"/>
        <v>0</v>
      </c>
      <c r="G101" s="319">
        <f t="shared" si="7"/>
        <v>0</v>
      </c>
      <c r="H101" s="318">
        <f t="shared" si="13"/>
        <v>0</v>
      </c>
      <c r="I101" s="505">
        <f t="shared" si="8"/>
        <v>0</v>
      </c>
      <c r="J101" s="506"/>
      <c r="K101" s="319">
        <f>IF($E$37&gt;B101,0,$E$36 IF(B101&gt;$E$21,0,$E$36))</f>
        <v>0</v>
      </c>
      <c r="L101" s="507">
        <f>IF($F$37&gt;B101,0,$F$36 IF(B101&gt;$E$21,0,$F$36))</f>
        <v>0</v>
      </c>
      <c r="M101" s="506"/>
      <c r="N101" s="505">
        <f t="shared" si="9"/>
        <v>4125.3096500000001</v>
      </c>
      <c r="O101" s="506"/>
      <c r="P101" s="305">
        <f t="shared" si="10"/>
        <v>6.4290540000000007</v>
      </c>
    </row>
    <row r="102" spans="2:16" s="299" customFormat="1" ht="12.6" customHeight="1">
      <c r="B102" s="315">
        <f t="shared" si="4"/>
        <v>32</v>
      </c>
      <c r="C102" s="316">
        <f t="shared" si="11"/>
        <v>47178</v>
      </c>
      <c r="D102" s="317">
        <f t="shared" si="5"/>
        <v>6.4290539999999998</v>
      </c>
      <c r="E102" s="318">
        <f t="shared" si="6"/>
        <v>4125.3096500000001</v>
      </c>
      <c r="F102" s="319">
        <f t="shared" si="12"/>
        <v>0</v>
      </c>
      <c r="G102" s="319">
        <f t="shared" si="7"/>
        <v>0</v>
      </c>
      <c r="H102" s="318">
        <f t="shared" si="13"/>
        <v>0</v>
      </c>
      <c r="I102" s="505">
        <f t="shared" si="8"/>
        <v>0</v>
      </c>
      <c r="J102" s="506"/>
      <c r="K102" s="319">
        <f>IF($E$37&gt;B102,0,$E$36 IF(B102&gt;$E$21,0,$E$36))</f>
        <v>0</v>
      </c>
      <c r="L102" s="507">
        <f>IF($F$37&gt;B102,0,$F$36 IF(B102&gt;$E$21,0,$F$36))</f>
        <v>0</v>
      </c>
      <c r="M102" s="506"/>
      <c r="N102" s="505">
        <f t="shared" si="9"/>
        <v>4125.3096500000001</v>
      </c>
      <c r="O102" s="506"/>
      <c r="P102" s="305">
        <f t="shared" si="10"/>
        <v>6.4290540000000007</v>
      </c>
    </row>
    <row r="103" spans="2:16" s="299" customFormat="1" ht="12.6" customHeight="1">
      <c r="B103" s="315">
        <f t="shared" si="4"/>
        <v>33</v>
      </c>
      <c r="C103" s="316">
        <f t="shared" si="11"/>
        <v>47209</v>
      </c>
      <c r="D103" s="317">
        <f t="shared" si="5"/>
        <v>6.4290539999999998</v>
      </c>
      <c r="E103" s="318">
        <f t="shared" si="6"/>
        <v>4125.3096500000001</v>
      </c>
      <c r="F103" s="319">
        <f t="shared" si="12"/>
        <v>0</v>
      </c>
      <c r="G103" s="319">
        <f t="shared" si="7"/>
        <v>0</v>
      </c>
      <c r="H103" s="318">
        <f t="shared" si="13"/>
        <v>0</v>
      </c>
      <c r="I103" s="505">
        <f t="shared" si="8"/>
        <v>0</v>
      </c>
      <c r="J103" s="506"/>
      <c r="K103" s="319">
        <f>IF($E$37&gt;B103,0,$E$36 IF(B103&gt;$E$21,0,$E$36))</f>
        <v>0</v>
      </c>
      <c r="L103" s="507">
        <f>IF($F$37&gt;B103,0,$F$36 IF(B103&gt;$E$21,0,$F$36))</f>
        <v>0</v>
      </c>
      <c r="M103" s="506"/>
      <c r="N103" s="505">
        <f t="shared" si="9"/>
        <v>4125.3096500000001</v>
      </c>
      <c r="O103" s="506"/>
      <c r="P103" s="305">
        <f t="shared" si="10"/>
        <v>6.4290540000000007</v>
      </c>
    </row>
    <row r="104" spans="2:16" s="299" customFormat="1" ht="12.6" customHeight="1">
      <c r="B104" s="315">
        <f t="shared" si="4"/>
        <v>34</v>
      </c>
      <c r="C104" s="316">
        <f t="shared" si="11"/>
        <v>47239</v>
      </c>
      <c r="D104" s="317">
        <f t="shared" si="5"/>
        <v>6.4290539999999998</v>
      </c>
      <c r="E104" s="318">
        <f t="shared" si="6"/>
        <v>4125.3096500000001</v>
      </c>
      <c r="F104" s="319">
        <f t="shared" si="12"/>
        <v>0</v>
      </c>
      <c r="G104" s="319">
        <f t="shared" si="7"/>
        <v>0</v>
      </c>
      <c r="H104" s="318">
        <f t="shared" si="13"/>
        <v>0</v>
      </c>
      <c r="I104" s="505">
        <f t="shared" si="8"/>
        <v>0</v>
      </c>
      <c r="J104" s="506"/>
      <c r="K104" s="319">
        <f>IF($E$37&gt;B104,0,$E$36 IF(B104&gt;$E$21,0,$E$36))</f>
        <v>0</v>
      </c>
      <c r="L104" s="507">
        <f>IF($F$37&gt;B104,0,$F$36 IF(B104&gt;$E$21,0,$F$36))</f>
        <v>0</v>
      </c>
      <c r="M104" s="506"/>
      <c r="N104" s="505">
        <f t="shared" si="9"/>
        <v>4125.3096500000001</v>
      </c>
      <c r="O104" s="506"/>
      <c r="P104" s="305">
        <f t="shared" si="10"/>
        <v>6.4290540000000007</v>
      </c>
    </row>
    <row r="105" spans="2:16" s="299" customFormat="1" ht="12.6" customHeight="1">
      <c r="B105" s="315">
        <f t="shared" si="4"/>
        <v>35</v>
      </c>
      <c r="C105" s="316">
        <f t="shared" si="11"/>
        <v>47270</v>
      </c>
      <c r="D105" s="317">
        <f t="shared" si="5"/>
        <v>6.4290539999999998</v>
      </c>
      <c r="E105" s="318">
        <f t="shared" si="6"/>
        <v>4125.3096500000001</v>
      </c>
      <c r="F105" s="319">
        <f t="shared" si="12"/>
        <v>0</v>
      </c>
      <c r="G105" s="319">
        <f t="shared" si="7"/>
        <v>0</v>
      </c>
      <c r="H105" s="318">
        <f t="shared" si="13"/>
        <v>0</v>
      </c>
      <c r="I105" s="505">
        <f t="shared" si="8"/>
        <v>0</v>
      </c>
      <c r="J105" s="506"/>
      <c r="K105" s="319">
        <f>IF($E$37&gt;B105,0,$E$36 IF(B105&gt;$E$21,0,$E$36))</f>
        <v>0</v>
      </c>
      <c r="L105" s="507">
        <f>IF($F$37&gt;B105,0,$F$36 IF(B105&gt;$E$21,0,$F$36))</f>
        <v>0</v>
      </c>
      <c r="M105" s="506"/>
      <c r="N105" s="505">
        <f t="shared" si="9"/>
        <v>4125.3096500000001</v>
      </c>
      <c r="O105" s="506"/>
      <c r="P105" s="305">
        <f t="shared" si="10"/>
        <v>6.4290540000000007</v>
      </c>
    </row>
    <row r="106" spans="2:16" s="299" customFormat="1" ht="12.6" customHeight="1">
      <c r="B106" s="315">
        <f t="shared" si="4"/>
        <v>36</v>
      </c>
      <c r="C106" s="316">
        <f t="shared" si="11"/>
        <v>47300</v>
      </c>
      <c r="D106" s="317">
        <f t="shared" si="5"/>
        <v>6.4290539999999998</v>
      </c>
      <c r="E106" s="318">
        <f t="shared" si="6"/>
        <v>4125.3096500000001</v>
      </c>
      <c r="F106" s="319">
        <f t="shared" si="12"/>
        <v>0</v>
      </c>
      <c r="G106" s="319">
        <f t="shared" si="7"/>
        <v>0</v>
      </c>
      <c r="H106" s="318">
        <f t="shared" si="13"/>
        <v>0</v>
      </c>
      <c r="I106" s="505">
        <f t="shared" si="8"/>
        <v>0</v>
      </c>
      <c r="J106" s="506"/>
      <c r="K106" s="319">
        <f>IF($E$37&gt;B106,0,$E$36 IF(B106&gt;$E$21,0,$E$36))</f>
        <v>0</v>
      </c>
      <c r="L106" s="507">
        <f>IF($F$37&gt;B106,0,$F$36 IF(B106&gt;$E$21,0,$F$36))</f>
        <v>0</v>
      </c>
      <c r="M106" s="506"/>
      <c r="N106" s="505">
        <f t="shared" si="9"/>
        <v>4125.3096500000001</v>
      </c>
      <c r="O106" s="506"/>
      <c r="P106" s="305">
        <f t="shared" si="10"/>
        <v>6.4290540000000007</v>
      </c>
    </row>
    <row r="107" spans="2:16" s="299" customFormat="1" ht="12.6" customHeight="1">
      <c r="B107" s="315">
        <f t="shared" si="4"/>
        <v>37</v>
      </c>
      <c r="C107" s="316">
        <f t="shared" si="11"/>
        <v>47331</v>
      </c>
      <c r="D107" s="317">
        <f t="shared" si="5"/>
        <v>6.6219256199999998</v>
      </c>
      <c r="E107" s="318">
        <f t="shared" si="6"/>
        <v>4249.0689394999999</v>
      </c>
      <c r="F107" s="319">
        <f t="shared" si="12"/>
        <v>0</v>
      </c>
      <c r="G107" s="319">
        <f t="shared" si="7"/>
        <v>0</v>
      </c>
      <c r="H107" s="318">
        <f t="shared" si="13"/>
        <v>0</v>
      </c>
      <c r="I107" s="505">
        <f t="shared" si="8"/>
        <v>0</v>
      </c>
      <c r="J107" s="506"/>
      <c r="K107" s="319">
        <f>IF($E$37&gt;B107,0,$E$36 IF(B107&gt;$E$21,0,$E$36))</f>
        <v>0</v>
      </c>
      <c r="L107" s="507">
        <f>IF($F$37&gt;B107,0,$F$36 IF(B107&gt;$E$21,0,$F$36))</f>
        <v>0</v>
      </c>
      <c r="M107" s="506"/>
      <c r="N107" s="505">
        <f t="shared" si="9"/>
        <v>4249.0689394999999</v>
      </c>
      <c r="O107" s="506"/>
      <c r="P107" s="305">
        <f t="shared" si="10"/>
        <v>6.6219256200000007</v>
      </c>
    </row>
    <row r="108" spans="2:16" s="299" customFormat="1" ht="12.6" customHeight="1">
      <c r="B108" s="315">
        <f t="shared" si="4"/>
        <v>38</v>
      </c>
      <c r="C108" s="316">
        <f t="shared" si="11"/>
        <v>47362</v>
      </c>
      <c r="D108" s="317">
        <f t="shared" si="5"/>
        <v>6.6219256199999998</v>
      </c>
      <c r="E108" s="318">
        <f t="shared" si="6"/>
        <v>4249.0689394999999</v>
      </c>
      <c r="F108" s="319">
        <f t="shared" si="12"/>
        <v>0</v>
      </c>
      <c r="G108" s="319">
        <f t="shared" si="7"/>
        <v>0</v>
      </c>
      <c r="H108" s="318">
        <f t="shared" si="13"/>
        <v>0</v>
      </c>
      <c r="I108" s="505">
        <f t="shared" si="8"/>
        <v>0</v>
      </c>
      <c r="J108" s="506"/>
      <c r="K108" s="319">
        <f>IF($E$37&gt;B108,0,$E$36 IF(B108&gt;$E$21,0,$E$36))</f>
        <v>0</v>
      </c>
      <c r="L108" s="507">
        <f>IF($F$37&gt;B108,0,$F$36 IF(B108&gt;$E$21,0,$F$36))</f>
        <v>0</v>
      </c>
      <c r="M108" s="506"/>
      <c r="N108" s="505">
        <f t="shared" si="9"/>
        <v>4249.0689394999999</v>
      </c>
      <c r="O108" s="506"/>
      <c r="P108" s="305">
        <f t="shared" si="10"/>
        <v>6.6219256200000007</v>
      </c>
    </row>
    <row r="109" spans="2:16" s="299" customFormat="1" ht="12.6" customHeight="1">
      <c r="B109" s="315">
        <f t="shared" si="4"/>
        <v>39</v>
      </c>
      <c r="C109" s="316">
        <f t="shared" si="11"/>
        <v>47392</v>
      </c>
      <c r="D109" s="317">
        <f t="shared" si="5"/>
        <v>6.6219256199999998</v>
      </c>
      <c r="E109" s="318">
        <f t="shared" si="6"/>
        <v>4249.0689394999999</v>
      </c>
      <c r="F109" s="319">
        <f t="shared" si="12"/>
        <v>0</v>
      </c>
      <c r="G109" s="319">
        <f t="shared" si="7"/>
        <v>0</v>
      </c>
      <c r="H109" s="318">
        <f t="shared" si="13"/>
        <v>0</v>
      </c>
      <c r="I109" s="505">
        <f t="shared" si="8"/>
        <v>0</v>
      </c>
      <c r="J109" s="506"/>
      <c r="K109" s="319">
        <f>IF($E$37&gt;B109,0,$E$36 IF(B109&gt;$E$21,0,$E$36))</f>
        <v>0</v>
      </c>
      <c r="L109" s="507">
        <f>IF($F$37&gt;B109,0,$F$36 IF(B109&gt;$E$21,0,$F$36))</f>
        <v>0</v>
      </c>
      <c r="M109" s="506"/>
      <c r="N109" s="505">
        <f t="shared" si="9"/>
        <v>4249.0689394999999</v>
      </c>
      <c r="O109" s="506"/>
      <c r="P109" s="305">
        <f t="shared" si="10"/>
        <v>6.6219256200000007</v>
      </c>
    </row>
    <row r="110" spans="2:16" s="299" customFormat="1" ht="12.6" customHeight="1">
      <c r="B110" s="315">
        <f t="shared" si="4"/>
        <v>40</v>
      </c>
      <c r="C110" s="316">
        <f t="shared" si="11"/>
        <v>47423</v>
      </c>
      <c r="D110" s="317">
        <f t="shared" si="5"/>
        <v>6.6219256199999998</v>
      </c>
      <c r="E110" s="318">
        <f t="shared" si="6"/>
        <v>4249.0689394999999</v>
      </c>
      <c r="F110" s="319">
        <f t="shared" si="12"/>
        <v>0</v>
      </c>
      <c r="G110" s="319">
        <f t="shared" si="7"/>
        <v>0</v>
      </c>
      <c r="H110" s="318">
        <f t="shared" si="13"/>
        <v>0</v>
      </c>
      <c r="I110" s="505">
        <f t="shared" si="8"/>
        <v>0</v>
      </c>
      <c r="J110" s="506"/>
      <c r="K110" s="319">
        <f>IF($E$37&gt;B110,0,$E$36 IF(B110&gt;$E$21,0,$E$36))</f>
        <v>0</v>
      </c>
      <c r="L110" s="507">
        <f>IF($F$37&gt;B110,0,$F$36 IF(B110&gt;$E$21,0,$F$36))</f>
        <v>0</v>
      </c>
      <c r="M110" s="506"/>
      <c r="N110" s="505">
        <f t="shared" si="9"/>
        <v>4249.0689394999999</v>
      </c>
      <c r="O110" s="506"/>
      <c r="P110" s="305">
        <f t="shared" si="10"/>
        <v>6.6219256200000007</v>
      </c>
    </row>
    <row r="111" spans="2:16" s="299" customFormat="1" ht="12.6" customHeight="1">
      <c r="B111" s="315">
        <f t="shared" si="4"/>
        <v>41</v>
      </c>
      <c r="C111" s="316">
        <f t="shared" si="11"/>
        <v>47453</v>
      </c>
      <c r="D111" s="317">
        <f t="shared" si="5"/>
        <v>6.6219256199999998</v>
      </c>
      <c r="E111" s="318">
        <f t="shared" si="6"/>
        <v>4249.0689394999999</v>
      </c>
      <c r="F111" s="319">
        <f t="shared" si="12"/>
        <v>0</v>
      </c>
      <c r="G111" s="319">
        <f t="shared" si="7"/>
        <v>0</v>
      </c>
      <c r="H111" s="318">
        <f t="shared" si="13"/>
        <v>0</v>
      </c>
      <c r="I111" s="505">
        <f t="shared" si="8"/>
        <v>0</v>
      </c>
      <c r="J111" s="506"/>
      <c r="K111" s="319">
        <f>IF($E$37&gt;B111,0,$E$36 IF(B111&gt;$E$21,0,$E$36))</f>
        <v>0</v>
      </c>
      <c r="L111" s="507">
        <f>IF($F$37&gt;B111,0,$F$36 IF(B111&gt;$E$21,0,$F$36))</f>
        <v>0</v>
      </c>
      <c r="M111" s="506"/>
      <c r="N111" s="505">
        <f t="shared" si="9"/>
        <v>4249.0689394999999</v>
      </c>
      <c r="O111" s="506"/>
      <c r="P111" s="305">
        <f t="shared" si="10"/>
        <v>6.6219256200000007</v>
      </c>
    </row>
    <row r="112" spans="2:16" s="299" customFormat="1" ht="12.6" customHeight="1">
      <c r="B112" s="315">
        <f t="shared" si="4"/>
        <v>42</v>
      </c>
      <c r="C112" s="316">
        <f t="shared" si="11"/>
        <v>47484</v>
      </c>
      <c r="D112" s="317">
        <f t="shared" si="5"/>
        <v>6.6219256199999998</v>
      </c>
      <c r="E112" s="318">
        <f t="shared" si="6"/>
        <v>4249.0689394999999</v>
      </c>
      <c r="F112" s="319">
        <f t="shared" si="12"/>
        <v>0</v>
      </c>
      <c r="G112" s="319">
        <f t="shared" si="7"/>
        <v>0</v>
      </c>
      <c r="H112" s="318">
        <f t="shared" si="13"/>
        <v>0</v>
      </c>
      <c r="I112" s="505">
        <f t="shared" si="8"/>
        <v>0</v>
      </c>
      <c r="J112" s="506"/>
      <c r="K112" s="319">
        <f>IF($E$37&gt;B112,0,$E$36 IF(B112&gt;$E$21,0,$E$36))</f>
        <v>0</v>
      </c>
      <c r="L112" s="507">
        <f>IF($F$37&gt;B112,0,$F$36 IF(B112&gt;$E$21,0,$F$36))</f>
        <v>0</v>
      </c>
      <c r="M112" s="506"/>
      <c r="N112" s="505">
        <f t="shared" si="9"/>
        <v>4249.0689394999999</v>
      </c>
      <c r="O112" s="506"/>
      <c r="P112" s="305">
        <f t="shared" si="10"/>
        <v>6.6219256200000007</v>
      </c>
    </row>
    <row r="113" spans="2:16" s="299" customFormat="1" ht="12.6" customHeight="1">
      <c r="B113" s="315">
        <f t="shared" si="4"/>
        <v>43</v>
      </c>
      <c r="C113" s="316">
        <f t="shared" si="11"/>
        <v>47515</v>
      </c>
      <c r="D113" s="317">
        <f t="shared" si="5"/>
        <v>6.6219256199999998</v>
      </c>
      <c r="E113" s="318">
        <f t="shared" si="6"/>
        <v>4249.0689394999999</v>
      </c>
      <c r="F113" s="319">
        <f t="shared" si="12"/>
        <v>0</v>
      </c>
      <c r="G113" s="319">
        <f t="shared" si="7"/>
        <v>0</v>
      </c>
      <c r="H113" s="318">
        <f t="shared" si="13"/>
        <v>0</v>
      </c>
      <c r="I113" s="505">
        <f t="shared" si="8"/>
        <v>0</v>
      </c>
      <c r="J113" s="506"/>
      <c r="K113" s="319">
        <f>IF($E$37&gt;B113,0,$E$36 IF(B113&gt;$E$21,0,$E$36))</f>
        <v>0</v>
      </c>
      <c r="L113" s="507">
        <f>IF($F$37&gt;B113,0,$F$36 IF(B113&gt;$E$21,0,$F$36))</f>
        <v>0</v>
      </c>
      <c r="M113" s="506"/>
      <c r="N113" s="505">
        <f t="shared" si="9"/>
        <v>4249.0689394999999</v>
      </c>
      <c r="O113" s="506"/>
      <c r="P113" s="305">
        <f t="shared" si="10"/>
        <v>6.6219256200000007</v>
      </c>
    </row>
    <row r="114" spans="2:16" s="299" customFormat="1" ht="12.6" customHeight="1">
      <c r="B114" s="315">
        <f t="shared" si="4"/>
        <v>44</v>
      </c>
      <c r="C114" s="316">
        <f t="shared" si="11"/>
        <v>47543</v>
      </c>
      <c r="D114" s="317">
        <f t="shared" si="5"/>
        <v>6.6219256199999998</v>
      </c>
      <c r="E114" s="318">
        <f t="shared" si="6"/>
        <v>4249.0689394999999</v>
      </c>
      <c r="F114" s="319">
        <f t="shared" si="12"/>
        <v>0</v>
      </c>
      <c r="G114" s="319">
        <f t="shared" si="7"/>
        <v>0</v>
      </c>
      <c r="H114" s="318">
        <f t="shared" si="13"/>
        <v>0</v>
      </c>
      <c r="I114" s="505">
        <f t="shared" si="8"/>
        <v>0</v>
      </c>
      <c r="J114" s="506"/>
      <c r="K114" s="319">
        <f>IF($E$37&gt;B114,0,$E$36 IF(B114&gt;$E$21,0,$E$36))</f>
        <v>0</v>
      </c>
      <c r="L114" s="507">
        <f>IF($F$37&gt;B114,0,$F$36 IF(B114&gt;$E$21,0,$F$36))</f>
        <v>0</v>
      </c>
      <c r="M114" s="506"/>
      <c r="N114" s="505">
        <f t="shared" si="9"/>
        <v>4249.0689394999999</v>
      </c>
      <c r="O114" s="506"/>
      <c r="P114" s="305">
        <f t="shared" si="10"/>
        <v>6.6219256200000007</v>
      </c>
    </row>
    <row r="115" spans="2:16" s="299" customFormat="1" ht="12.6" customHeight="1">
      <c r="B115" s="315">
        <f t="shared" si="4"/>
        <v>45</v>
      </c>
      <c r="C115" s="316">
        <f t="shared" si="11"/>
        <v>47574</v>
      </c>
      <c r="D115" s="317">
        <f t="shared" si="5"/>
        <v>6.6219256199999998</v>
      </c>
      <c r="E115" s="318">
        <f t="shared" si="6"/>
        <v>4249.0689394999999</v>
      </c>
      <c r="F115" s="319">
        <f t="shared" si="12"/>
        <v>0</v>
      </c>
      <c r="G115" s="319">
        <f t="shared" si="7"/>
        <v>0</v>
      </c>
      <c r="H115" s="318">
        <f t="shared" si="13"/>
        <v>0</v>
      </c>
      <c r="I115" s="505">
        <f t="shared" si="8"/>
        <v>0</v>
      </c>
      <c r="J115" s="506"/>
      <c r="K115" s="319">
        <f>IF($E$37&gt;B115,0,$E$36 IF(B115&gt;$E$21,0,$E$36))</f>
        <v>0</v>
      </c>
      <c r="L115" s="507">
        <f>IF($F$37&gt;B115,0,$F$36 IF(B115&gt;$E$21,0,$F$36))</f>
        <v>0</v>
      </c>
      <c r="M115" s="506"/>
      <c r="N115" s="505">
        <f t="shared" si="9"/>
        <v>4249.0689394999999</v>
      </c>
      <c r="O115" s="506"/>
      <c r="P115" s="305">
        <f t="shared" si="10"/>
        <v>6.6219256200000007</v>
      </c>
    </row>
    <row r="116" spans="2:16" s="299" customFormat="1" ht="12.6" customHeight="1">
      <c r="B116" s="315">
        <f t="shared" si="4"/>
        <v>46</v>
      </c>
      <c r="C116" s="316">
        <f t="shared" si="11"/>
        <v>47604</v>
      </c>
      <c r="D116" s="317">
        <f t="shared" si="5"/>
        <v>6.6219256199999998</v>
      </c>
      <c r="E116" s="318">
        <f t="shared" si="6"/>
        <v>4249.0689394999999</v>
      </c>
      <c r="F116" s="319">
        <f t="shared" si="12"/>
        <v>0</v>
      </c>
      <c r="G116" s="319">
        <f t="shared" si="7"/>
        <v>0</v>
      </c>
      <c r="H116" s="318">
        <f t="shared" si="13"/>
        <v>0</v>
      </c>
      <c r="I116" s="505">
        <f t="shared" si="8"/>
        <v>0</v>
      </c>
      <c r="J116" s="506"/>
      <c r="K116" s="319">
        <f>IF($E$37&gt;B116,0,$E$36 IF(B116&gt;$E$21,0,$E$36))</f>
        <v>0</v>
      </c>
      <c r="L116" s="507">
        <f>IF($F$37&gt;B116,0,$F$36 IF(B116&gt;$E$21,0,$F$36))</f>
        <v>0</v>
      </c>
      <c r="M116" s="506"/>
      <c r="N116" s="505">
        <f t="shared" si="9"/>
        <v>4249.0689394999999</v>
      </c>
      <c r="O116" s="506"/>
      <c r="P116" s="305">
        <f t="shared" si="10"/>
        <v>6.6219256200000007</v>
      </c>
    </row>
    <row r="117" spans="2:16" s="299" customFormat="1" ht="12.6" customHeight="1">
      <c r="B117" s="315">
        <f t="shared" si="4"/>
        <v>47</v>
      </c>
      <c r="C117" s="316">
        <f t="shared" si="11"/>
        <v>47635</v>
      </c>
      <c r="D117" s="317">
        <f t="shared" si="5"/>
        <v>6.6219256199999998</v>
      </c>
      <c r="E117" s="318">
        <f t="shared" si="6"/>
        <v>4249.0689394999999</v>
      </c>
      <c r="F117" s="319">
        <f t="shared" si="12"/>
        <v>0</v>
      </c>
      <c r="G117" s="319">
        <f t="shared" si="7"/>
        <v>0</v>
      </c>
      <c r="H117" s="318">
        <f t="shared" si="13"/>
        <v>0</v>
      </c>
      <c r="I117" s="505">
        <f t="shared" si="8"/>
        <v>0</v>
      </c>
      <c r="J117" s="506"/>
      <c r="K117" s="319">
        <f>IF($E$37&gt;B117,0,$E$36 IF(B117&gt;$E$21,0,$E$36))</f>
        <v>0</v>
      </c>
      <c r="L117" s="507">
        <f>IF($F$37&gt;B117,0,$F$36 IF(B117&gt;$E$21,0,$F$36))</f>
        <v>0</v>
      </c>
      <c r="M117" s="506"/>
      <c r="N117" s="505">
        <f t="shared" si="9"/>
        <v>4249.0689394999999</v>
      </c>
      <c r="O117" s="506"/>
      <c r="P117" s="305">
        <f t="shared" si="10"/>
        <v>6.6219256200000007</v>
      </c>
    </row>
    <row r="118" spans="2:16" s="299" customFormat="1" ht="12.6" customHeight="1">
      <c r="B118" s="315">
        <f t="shared" si="4"/>
        <v>48</v>
      </c>
      <c r="C118" s="316">
        <f t="shared" si="11"/>
        <v>47665</v>
      </c>
      <c r="D118" s="317">
        <f t="shared" si="5"/>
        <v>6.6219256199999998</v>
      </c>
      <c r="E118" s="318">
        <f t="shared" si="6"/>
        <v>4249.0689394999999</v>
      </c>
      <c r="F118" s="319">
        <f t="shared" si="12"/>
        <v>0</v>
      </c>
      <c r="G118" s="319">
        <f t="shared" si="7"/>
        <v>0</v>
      </c>
      <c r="H118" s="318">
        <f t="shared" si="13"/>
        <v>0</v>
      </c>
      <c r="I118" s="505">
        <f t="shared" si="8"/>
        <v>0</v>
      </c>
      <c r="J118" s="506"/>
      <c r="K118" s="319">
        <f>IF($E$37&gt;B118,0,$E$36 IF(B118&gt;$E$21,0,$E$36))</f>
        <v>0</v>
      </c>
      <c r="L118" s="507">
        <f>IF($F$37&gt;B118,0,$F$36 IF(B118&gt;$E$21,0,$F$36))</f>
        <v>0</v>
      </c>
      <c r="M118" s="506"/>
      <c r="N118" s="505">
        <f t="shared" si="9"/>
        <v>4249.0689394999999</v>
      </c>
      <c r="O118" s="506"/>
      <c r="P118" s="305">
        <f t="shared" si="10"/>
        <v>6.6219256200000007</v>
      </c>
    </row>
    <row r="119" spans="2:16" s="299" customFormat="1" ht="12.6" customHeight="1">
      <c r="B119" s="315">
        <f t="shared" si="4"/>
        <v>49</v>
      </c>
      <c r="C119" s="316">
        <f t="shared" si="11"/>
        <v>47696</v>
      </c>
      <c r="D119" s="317">
        <f t="shared" si="5"/>
        <v>6.8205833886000002</v>
      </c>
      <c r="E119" s="318">
        <f t="shared" si="6"/>
        <v>4376.5410076850003</v>
      </c>
      <c r="F119" s="319">
        <f t="shared" si="12"/>
        <v>0</v>
      </c>
      <c r="G119" s="319">
        <f t="shared" si="7"/>
        <v>0</v>
      </c>
      <c r="H119" s="318">
        <f t="shared" si="13"/>
        <v>0</v>
      </c>
      <c r="I119" s="505">
        <f t="shared" si="8"/>
        <v>0</v>
      </c>
      <c r="J119" s="506"/>
      <c r="K119" s="319">
        <f>IF($E$37&gt;B119,0,$E$36 IF(B119&gt;$E$21,0,$E$36))</f>
        <v>0</v>
      </c>
      <c r="L119" s="507">
        <f>IF($F$37&gt;B119,0,$F$36 IF(B119&gt;$E$21,0,$F$36))</f>
        <v>0</v>
      </c>
      <c r="M119" s="506"/>
      <c r="N119" s="505">
        <f t="shared" si="9"/>
        <v>4376.5410076850003</v>
      </c>
      <c r="O119" s="506"/>
      <c r="P119" s="305">
        <f t="shared" si="10"/>
        <v>6.8205833886000011</v>
      </c>
    </row>
    <row r="120" spans="2:16" s="299" customFormat="1" ht="12.6" customHeight="1">
      <c r="B120" s="315">
        <f t="shared" si="4"/>
        <v>50</v>
      </c>
      <c r="C120" s="316">
        <f t="shared" si="11"/>
        <v>47727</v>
      </c>
      <c r="D120" s="317">
        <f t="shared" si="5"/>
        <v>6.8205833886000002</v>
      </c>
      <c r="E120" s="318">
        <f t="shared" si="6"/>
        <v>4376.5410076850003</v>
      </c>
      <c r="F120" s="319">
        <f t="shared" si="12"/>
        <v>0</v>
      </c>
      <c r="G120" s="319">
        <f t="shared" si="7"/>
        <v>0</v>
      </c>
      <c r="H120" s="318">
        <f t="shared" si="13"/>
        <v>0</v>
      </c>
      <c r="I120" s="505">
        <f t="shared" si="8"/>
        <v>0</v>
      </c>
      <c r="J120" s="506"/>
      <c r="K120" s="319">
        <f>IF($E$37&gt;B120,0,$E$36 IF(B120&gt;$E$21,0,$E$36))</f>
        <v>0</v>
      </c>
      <c r="L120" s="507">
        <f>IF($F$37&gt;B120,0,$F$36 IF(B120&gt;$E$21,0,$F$36))</f>
        <v>0</v>
      </c>
      <c r="M120" s="506"/>
      <c r="N120" s="505">
        <f t="shared" si="9"/>
        <v>4376.5410076850003</v>
      </c>
      <c r="O120" s="506"/>
      <c r="P120" s="305">
        <f t="shared" si="10"/>
        <v>6.8205833886000011</v>
      </c>
    </row>
    <row r="121" spans="2:16" s="299" customFormat="1" ht="12.6" customHeight="1">
      <c r="B121" s="315">
        <f t="shared" si="4"/>
        <v>51</v>
      </c>
      <c r="C121" s="316">
        <f t="shared" si="11"/>
        <v>47757</v>
      </c>
      <c r="D121" s="317">
        <f t="shared" si="5"/>
        <v>6.8205833886000002</v>
      </c>
      <c r="E121" s="318">
        <f t="shared" si="6"/>
        <v>4376.5410076850003</v>
      </c>
      <c r="F121" s="319">
        <f t="shared" si="12"/>
        <v>0</v>
      </c>
      <c r="G121" s="319">
        <f t="shared" si="7"/>
        <v>0</v>
      </c>
      <c r="H121" s="318">
        <f t="shared" si="13"/>
        <v>0</v>
      </c>
      <c r="I121" s="505">
        <f t="shared" si="8"/>
        <v>0</v>
      </c>
      <c r="J121" s="506"/>
      <c r="K121" s="319">
        <f>IF($E$37&gt;B121,0,$E$36 IF(B121&gt;$E$21,0,$E$36))</f>
        <v>0</v>
      </c>
      <c r="L121" s="507">
        <f>IF($F$37&gt;B121,0,$F$36 IF(B121&gt;$E$21,0,$F$36))</f>
        <v>0</v>
      </c>
      <c r="M121" s="506"/>
      <c r="N121" s="505">
        <f t="shared" si="9"/>
        <v>4376.5410076850003</v>
      </c>
      <c r="O121" s="506"/>
      <c r="P121" s="305">
        <f t="shared" si="10"/>
        <v>6.8205833886000011</v>
      </c>
    </row>
    <row r="122" spans="2:16" s="299" customFormat="1" ht="12.6" customHeight="1">
      <c r="B122" s="315">
        <f t="shared" si="4"/>
        <v>52</v>
      </c>
      <c r="C122" s="316">
        <f t="shared" si="11"/>
        <v>47788</v>
      </c>
      <c r="D122" s="317">
        <f t="shared" si="5"/>
        <v>6.8205833886000002</v>
      </c>
      <c r="E122" s="318">
        <f t="shared" si="6"/>
        <v>4376.5410076850003</v>
      </c>
      <c r="F122" s="319">
        <f t="shared" si="12"/>
        <v>0</v>
      </c>
      <c r="G122" s="319">
        <f t="shared" si="7"/>
        <v>0</v>
      </c>
      <c r="H122" s="318">
        <f t="shared" si="13"/>
        <v>0</v>
      </c>
      <c r="I122" s="505">
        <f t="shared" si="8"/>
        <v>0</v>
      </c>
      <c r="J122" s="506"/>
      <c r="K122" s="319">
        <f>IF($E$37&gt;B122,0,$E$36 IF(B122&gt;$E$21,0,$E$36))</f>
        <v>0</v>
      </c>
      <c r="L122" s="507">
        <f>IF($F$37&gt;B122,0,$F$36 IF(B122&gt;$E$21,0,$F$36))</f>
        <v>0</v>
      </c>
      <c r="M122" s="506"/>
      <c r="N122" s="505">
        <f t="shared" si="9"/>
        <v>4376.5410076850003</v>
      </c>
      <c r="O122" s="506"/>
      <c r="P122" s="305">
        <f t="shared" si="10"/>
        <v>6.8205833886000011</v>
      </c>
    </row>
    <row r="123" spans="2:16" s="299" customFormat="1" ht="12.6" customHeight="1">
      <c r="B123" s="315">
        <f t="shared" si="4"/>
        <v>53</v>
      </c>
      <c r="C123" s="316">
        <f t="shared" si="11"/>
        <v>47818</v>
      </c>
      <c r="D123" s="317">
        <f t="shared" si="5"/>
        <v>6.8205833886000002</v>
      </c>
      <c r="E123" s="318">
        <f t="shared" si="6"/>
        <v>4376.5410076850003</v>
      </c>
      <c r="F123" s="319">
        <f t="shared" si="12"/>
        <v>0</v>
      </c>
      <c r="G123" s="319">
        <f t="shared" si="7"/>
        <v>0</v>
      </c>
      <c r="H123" s="318">
        <f t="shared" si="13"/>
        <v>0</v>
      </c>
      <c r="I123" s="505">
        <f t="shared" si="8"/>
        <v>0</v>
      </c>
      <c r="J123" s="506"/>
      <c r="K123" s="319">
        <f>IF($E$37&gt;B123,0,$E$36 IF(B123&gt;$E$21,0,$E$36))</f>
        <v>0</v>
      </c>
      <c r="L123" s="507">
        <f>IF($F$37&gt;B123,0,$F$36 IF(B123&gt;$E$21,0,$F$36))</f>
        <v>0</v>
      </c>
      <c r="M123" s="506"/>
      <c r="N123" s="505">
        <f t="shared" si="9"/>
        <v>4376.5410076850003</v>
      </c>
      <c r="O123" s="506"/>
      <c r="P123" s="305">
        <f t="shared" si="10"/>
        <v>6.8205833886000011</v>
      </c>
    </row>
    <row r="124" spans="2:16" s="299" customFormat="1" ht="12.6" customHeight="1">
      <c r="B124" s="315">
        <f t="shared" si="4"/>
        <v>54</v>
      </c>
      <c r="C124" s="316">
        <f t="shared" si="11"/>
        <v>47849</v>
      </c>
      <c r="D124" s="317">
        <f t="shared" si="5"/>
        <v>6.8205833886000002</v>
      </c>
      <c r="E124" s="318">
        <f t="shared" si="6"/>
        <v>4376.5410076850003</v>
      </c>
      <c r="F124" s="319">
        <f t="shared" si="12"/>
        <v>0</v>
      </c>
      <c r="G124" s="319">
        <f t="shared" si="7"/>
        <v>0</v>
      </c>
      <c r="H124" s="318">
        <f t="shared" si="13"/>
        <v>0</v>
      </c>
      <c r="I124" s="505">
        <f t="shared" si="8"/>
        <v>0</v>
      </c>
      <c r="J124" s="506"/>
      <c r="K124" s="319">
        <f>IF($E$37&gt;B124,0,$E$36 IF(B124&gt;$E$21,0,$E$36))</f>
        <v>0</v>
      </c>
      <c r="L124" s="507">
        <f>IF($F$37&gt;B124,0,$F$36 IF(B124&gt;$E$21,0,$F$36))</f>
        <v>0</v>
      </c>
      <c r="M124" s="506"/>
      <c r="N124" s="505">
        <f t="shared" si="9"/>
        <v>4376.5410076850003</v>
      </c>
      <c r="O124" s="506"/>
      <c r="P124" s="305">
        <f t="shared" si="10"/>
        <v>6.8205833886000011</v>
      </c>
    </row>
    <row r="125" spans="2:16" s="299" customFormat="1" ht="12.6" customHeight="1">
      <c r="B125" s="315">
        <f t="shared" si="4"/>
        <v>55</v>
      </c>
      <c r="C125" s="316">
        <f t="shared" si="11"/>
        <v>47880</v>
      </c>
      <c r="D125" s="317">
        <f t="shared" si="5"/>
        <v>6.8205833886000002</v>
      </c>
      <c r="E125" s="318">
        <f t="shared" si="6"/>
        <v>4376.5410076850003</v>
      </c>
      <c r="F125" s="319">
        <f t="shared" si="12"/>
        <v>0</v>
      </c>
      <c r="G125" s="319">
        <f t="shared" si="7"/>
        <v>0</v>
      </c>
      <c r="H125" s="318">
        <f t="shared" si="13"/>
        <v>0</v>
      </c>
      <c r="I125" s="505">
        <f t="shared" si="8"/>
        <v>0</v>
      </c>
      <c r="J125" s="506"/>
      <c r="K125" s="319">
        <f>IF($E$37&gt;B125,0,$E$36 IF(B125&gt;$E$21,0,$E$36))</f>
        <v>0</v>
      </c>
      <c r="L125" s="507">
        <f>IF($F$37&gt;B125,0,$F$36 IF(B125&gt;$E$21,0,$F$36))</f>
        <v>0</v>
      </c>
      <c r="M125" s="506"/>
      <c r="N125" s="505">
        <f t="shared" si="9"/>
        <v>4376.5410076850003</v>
      </c>
      <c r="O125" s="506"/>
      <c r="P125" s="305">
        <f t="shared" si="10"/>
        <v>6.8205833886000011</v>
      </c>
    </row>
    <row r="126" spans="2:16" s="299" customFormat="1" ht="12.6" customHeight="1">
      <c r="B126" s="315">
        <f t="shared" si="4"/>
        <v>56</v>
      </c>
      <c r="C126" s="316">
        <f t="shared" si="11"/>
        <v>47908</v>
      </c>
      <c r="D126" s="317">
        <f t="shared" si="5"/>
        <v>6.8205833886000002</v>
      </c>
      <c r="E126" s="318">
        <f t="shared" si="6"/>
        <v>4376.5410076850003</v>
      </c>
      <c r="F126" s="319">
        <f t="shared" si="12"/>
        <v>0</v>
      </c>
      <c r="G126" s="319">
        <f t="shared" si="7"/>
        <v>0</v>
      </c>
      <c r="H126" s="318">
        <f t="shared" si="13"/>
        <v>0</v>
      </c>
      <c r="I126" s="505">
        <f t="shared" si="8"/>
        <v>0</v>
      </c>
      <c r="J126" s="506"/>
      <c r="K126" s="319">
        <f>IF($E$37&gt;B126,0,$E$36 IF(B126&gt;$E$21,0,$E$36))</f>
        <v>0</v>
      </c>
      <c r="L126" s="507">
        <f>IF($F$37&gt;B126,0,$F$36 IF(B126&gt;$E$21,0,$F$36))</f>
        <v>0</v>
      </c>
      <c r="M126" s="506"/>
      <c r="N126" s="505">
        <f t="shared" si="9"/>
        <v>4376.5410076850003</v>
      </c>
      <c r="O126" s="506"/>
      <c r="P126" s="305">
        <f t="shared" si="10"/>
        <v>6.8205833886000011</v>
      </c>
    </row>
    <row r="127" spans="2:16" s="299" customFormat="1" ht="12.6" customHeight="1">
      <c r="B127" s="315">
        <f t="shared" si="4"/>
        <v>57</v>
      </c>
      <c r="C127" s="316">
        <f t="shared" si="11"/>
        <v>47939</v>
      </c>
      <c r="D127" s="317">
        <f t="shared" si="5"/>
        <v>6.8205833886000002</v>
      </c>
      <c r="E127" s="318">
        <f t="shared" si="6"/>
        <v>4376.5410076850003</v>
      </c>
      <c r="F127" s="319">
        <f t="shared" si="12"/>
        <v>0</v>
      </c>
      <c r="G127" s="319">
        <f t="shared" si="7"/>
        <v>0</v>
      </c>
      <c r="H127" s="318">
        <f t="shared" si="13"/>
        <v>0</v>
      </c>
      <c r="I127" s="505">
        <f t="shared" si="8"/>
        <v>0</v>
      </c>
      <c r="J127" s="506"/>
      <c r="K127" s="319">
        <f>IF($E$37&gt;B127,0,$E$36 IF(B127&gt;$E$21,0,$E$36))</f>
        <v>0</v>
      </c>
      <c r="L127" s="507">
        <f>IF($F$37&gt;B127,0,$F$36 IF(B127&gt;$E$21,0,$F$36))</f>
        <v>0</v>
      </c>
      <c r="M127" s="506"/>
      <c r="N127" s="505">
        <f t="shared" si="9"/>
        <v>4376.5410076850003</v>
      </c>
      <c r="O127" s="506"/>
      <c r="P127" s="305">
        <f t="shared" si="10"/>
        <v>6.8205833886000011</v>
      </c>
    </row>
    <row r="128" spans="2:16" s="299" customFormat="1" ht="12.6" customHeight="1">
      <c r="B128" s="315">
        <f t="shared" si="4"/>
        <v>58</v>
      </c>
      <c r="C128" s="316">
        <f t="shared" si="11"/>
        <v>47969</v>
      </c>
      <c r="D128" s="317">
        <f t="shared" si="5"/>
        <v>6.8205833886000002</v>
      </c>
      <c r="E128" s="318">
        <f t="shared" si="6"/>
        <v>4376.5410076850003</v>
      </c>
      <c r="F128" s="319">
        <f t="shared" si="12"/>
        <v>0</v>
      </c>
      <c r="G128" s="319">
        <f t="shared" si="7"/>
        <v>0</v>
      </c>
      <c r="H128" s="318">
        <f t="shared" si="13"/>
        <v>0</v>
      </c>
      <c r="I128" s="505">
        <f t="shared" si="8"/>
        <v>0</v>
      </c>
      <c r="J128" s="506"/>
      <c r="K128" s="319">
        <f>IF($E$37&gt;B128,0,$E$36 IF(B128&gt;$E$21,0,$E$36))</f>
        <v>0</v>
      </c>
      <c r="L128" s="507">
        <f>IF($F$37&gt;B128,0,$F$36 IF(B128&gt;$E$21,0,$F$36))</f>
        <v>0</v>
      </c>
      <c r="M128" s="506"/>
      <c r="N128" s="505">
        <f t="shared" si="9"/>
        <v>4376.5410076850003</v>
      </c>
      <c r="O128" s="506"/>
      <c r="P128" s="305">
        <f t="shared" si="10"/>
        <v>6.8205833886000011</v>
      </c>
    </row>
    <row r="129" spans="2:16" s="299" customFormat="1" ht="12.6" customHeight="1">
      <c r="B129" s="315">
        <f t="shared" si="4"/>
        <v>59</v>
      </c>
      <c r="C129" s="316">
        <f t="shared" si="11"/>
        <v>48000</v>
      </c>
      <c r="D129" s="317">
        <f t="shared" si="5"/>
        <v>6.8205833886000002</v>
      </c>
      <c r="E129" s="318">
        <f t="shared" si="6"/>
        <v>4376.5410076850003</v>
      </c>
      <c r="F129" s="319">
        <f t="shared" si="12"/>
        <v>0</v>
      </c>
      <c r="G129" s="319">
        <f t="shared" si="7"/>
        <v>0</v>
      </c>
      <c r="H129" s="318">
        <f t="shared" si="13"/>
        <v>0</v>
      </c>
      <c r="I129" s="505">
        <f t="shared" si="8"/>
        <v>0</v>
      </c>
      <c r="J129" s="506"/>
      <c r="K129" s="319">
        <f>IF($E$37&gt;B129,0,$E$36 IF(B129&gt;$E$21,0,$E$36))</f>
        <v>0</v>
      </c>
      <c r="L129" s="507">
        <f>IF($F$37&gt;B129,0,$F$36 IF(B129&gt;$E$21,0,$F$36))</f>
        <v>0</v>
      </c>
      <c r="M129" s="506"/>
      <c r="N129" s="505">
        <f t="shared" si="9"/>
        <v>4376.5410076850003</v>
      </c>
      <c r="O129" s="506"/>
      <c r="P129" s="305">
        <f t="shared" si="10"/>
        <v>6.8205833886000011</v>
      </c>
    </row>
    <row r="130" spans="2:16" s="299" customFormat="1" ht="12.6" customHeight="1">
      <c r="B130" s="315">
        <f t="shared" si="4"/>
        <v>60</v>
      </c>
      <c r="C130" s="316">
        <f t="shared" si="11"/>
        <v>48030</v>
      </c>
      <c r="D130" s="317">
        <f t="shared" si="5"/>
        <v>6.8205833886000002</v>
      </c>
      <c r="E130" s="318">
        <f t="shared" si="6"/>
        <v>4376.5410076850003</v>
      </c>
      <c r="F130" s="319">
        <f t="shared" si="12"/>
        <v>0</v>
      </c>
      <c r="G130" s="319">
        <f t="shared" si="7"/>
        <v>0</v>
      </c>
      <c r="H130" s="318">
        <f t="shared" si="13"/>
        <v>0</v>
      </c>
      <c r="I130" s="505">
        <f t="shared" si="8"/>
        <v>0</v>
      </c>
      <c r="J130" s="506"/>
      <c r="K130" s="319">
        <f>IF($E$37&gt;B130,0,$E$36 IF(B130&gt;$E$21,0,$E$36))</f>
        <v>0</v>
      </c>
      <c r="L130" s="507">
        <f>IF($F$37&gt;B130,0,$F$36 IF(B130&gt;$E$21,0,$F$36))</f>
        <v>0</v>
      </c>
      <c r="M130" s="506"/>
      <c r="N130" s="505">
        <f t="shared" si="9"/>
        <v>4376.5410076850003</v>
      </c>
      <c r="O130" s="506"/>
      <c r="P130" s="305">
        <f t="shared" si="10"/>
        <v>6.8205833886000011</v>
      </c>
    </row>
    <row r="131" spans="2:16" s="299" customFormat="1" ht="12.6" customHeight="1">
      <c r="B131" s="315" t="str">
        <f t="shared" si="4"/>
        <v/>
      </c>
      <c r="C131" s="316" t="str">
        <f t="shared" si="11"/>
        <v/>
      </c>
      <c r="D131" s="317">
        <f t="shared" si="5"/>
        <v>0</v>
      </c>
      <c r="E131" s="318">
        <f t="shared" si="6"/>
        <v>0</v>
      </c>
      <c r="F131" s="319">
        <f t="shared" si="12"/>
        <v>0</v>
      </c>
      <c r="G131" s="319">
        <f t="shared" si="7"/>
        <v>0</v>
      </c>
      <c r="H131" s="318" t="e">
        <f t="shared" si="13"/>
        <v>#VALUE!</v>
      </c>
      <c r="I131" s="505" t="e">
        <f t="shared" si="8"/>
        <v>#VALUE!</v>
      </c>
      <c r="J131" s="506"/>
      <c r="K131" s="319" t="e">
        <f>IF($E$37&gt;B131,0,$E$36 IF(B131&gt;$E$21,0,$E$36))</f>
        <v>#VALUE!</v>
      </c>
      <c r="L131" s="507" t="e">
        <f>IF($F$37&gt;B131,0,$F$36 IF(B131&gt;$E$21,0,$F$36))</f>
        <v>#VALUE!</v>
      </c>
      <c r="M131" s="506"/>
      <c r="N131" s="505" t="e">
        <f t="shared" si="9"/>
        <v>#VALUE!</v>
      </c>
      <c r="O131" s="506"/>
      <c r="P131" s="305" t="e">
        <f t="shared" si="10"/>
        <v>#VALUE!</v>
      </c>
    </row>
    <row r="132" spans="2:16" s="299" customFormat="1" ht="12.6" customHeight="1">
      <c r="B132" s="315" t="e">
        <f t="shared" si="4"/>
        <v>#VALUE!</v>
      </c>
      <c r="C132" s="316" t="e">
        <f t="shared" si="11"/>
        <v>#VALUE!</v>
      </c>
      <c r="D132" s="317" t="e">
        <f t="shared" si="5"/>
        <v>#VALUE!</v>
      </c>
      <c r="E132" s="318" t="e">
        <f t="shared" si="6"/>
        <v>#VALUE!</v>
      </c>
      <c r="F132" s="319" t="e">
        <f t="shared" si="12"/>
        <v>#VALUE!</v>
      </c>
      <c r="G132" s="319" t="e">
        <f t="shared" si="7"/>
        <v>#VALUE!</v>
      </c>
      <c r="H132" s="318" t="e">
        <f t="shared" si="13"/>
        <v>#VALUE!</v>
      </c>
      <c r="I132" s="505" t="e">
        <f t="shared" si="8"/>
        <v>#VALUE!</v>
      </c>
      <c r="J132" s="506"/>
      <c r="K132" s="319" t="e">
        <f>IF($E$37&gt;B132,0,$E$36 IF(B132&gt;$E$21,0,$E$36))</f>
        <v>#VALUE!</v>
      </c>
      <c r="L132" s="507" t="e">
        <f>IF($F$37&gt;B132,0,$F$36 IF(B132&gt;$E$21,0,$F$36))</f>
        <v>#VALUE!</v>
      </c>
      <c r="M132" s="506"/>
      <c r="N132" s="505" t="e">
        <f t="shared" si="9"/>
        <v>#VALUE!</v>
      </c>
      <c r="O132" s="506"/>
      <c r="P132" s="305" t="e">
        <f t="shared" si="10"/>
        <v>#VALUE!</v>
      </c>
    </row>
    <row r="133" spans="2:16" s="299" customFormat="1" ht="12.6" customHeight="1">
      <c r="B133" s="315" t="e">
        <f t="shared" si="4"/>
        <v>#VALUE!</v>
      </c>
      <c r="C133" s="316" t="e">
        <f t="shared" si="11"/>
        <v>#VALUE!</v>
      </c>
      <c r="D133" s="317" t="e">
        <f t="shared" si="5"/>
        <v>#VALUE!</v>
      </c>
      <c r="E133" s="318" t="e">
        <f t="shared" si="6"/>
        <v>#VALUE!</v>
      </c>
      <c r="F133" s="319" t="e">
        <f t="shared" si="12"/>
        <v>#VALUE!</v>
      </c>
      <c r="G133" s="319" t="e">
        <f t="shared" si="7"/>
        <v>#VALUE!</v>
      </c>
      <c r="H133" s="318" t="e">
        <f t="shared" si="13"/>
        <v>#VALUE!</v>
      </c>
      <c r="I133" s="505" t="e">
        <f t="shared" si="8"/>
        <v>#VALUE!</v>
      </c>
      <c r="J133" s="506"/>
      <c r="K133" s="319" t="e">
        <f>IF($E$37&gt;B133,0,$E$36 IF(B133&gt;$E$21,0,$E$36))</f>
        <v>#VALUE!</v>
      </c>
      <c r="L133" s="507" t="e">
        <f>IF($F$37&gt;B133,0,$F$36 IF(B133&gt;$E$21,0,$F$36))</f>
        <v>#VALUE!</v>
      </c>
      <c r="M133" s="506"/>
      <c r="N133" s="505" t="e">
        <f t="shared" si="9"/>
        <v>#VALUE!</v>
      </c>
      <c r="O133" s="506"/>
      <c r="P133" s="305" t="e">
        <f t="shared" si="10"/>
        <v>#VALUE!</v>
      </c>
    </row>
    <row r="134" spans="2:16" s="299" customFormat="1" ht="12.6" customHeight="1">
      <c r="B134" s="315" t="e">
        <f t="shared" si="4"/>
        <v>#VALUE!</v>
      </c>
      <c r="C134" s="316" t="e">
        <f t="shared" si="11"/>
        <v>#VALUE!</v>
      </c>
      <c r="D134" s="317" t="e">
        <f t="shared" si="5"/>
        <v>#VALUE!</v>
      </c>
      <c r="E134" s="318" t="e">
        <f t="shared" si="6"/>
        <v>#VALUE!</v>
      </c>
      <c r="F134" s="319" t="e">
        <f t="shared" si="12"/>
        <v>#VALUE!</v>
      </c>
      <c r="G134" s="319" t="e">
        <f t="shared" si="7"/>
        <v>#VALUE!</v>
      </c>
      <c r="H134" s="318" t="e">
        <f t="shared" si="13"/>
        <v>#VALUE!</v>
      </c>
      <c r="I134" s="505" t="e">
        <f t="shared" si="8"/>
        <v>#VALUE!</v>
      </c>
      <c r="J134" s="506"/>
      <c r="K134" s="319" t="e">
        <f>IF($E$37&gt;B134,0,$E$36 IF(B134&gt;$E$21,0,$E$36))</f>
        <v>#VALUE!</v>
      </c>
      <c r="L134" s="507" t="e">
        <f>IF($F$37&gt;B134,0,$F$36 IF(B134&gt;$E$21,0,$F$36))</f>
        <v>#VALUE!</v>
      </c>
      <c r="M134" s="506"/>
      <c r="N134" s="505" t="e">
        <f t="shared" si="9"/>
        <v>#VALUE!</v>
      </c>
      <c r="O134" s="506"/>
      <c r="P134" s="305" t="e">
        <f t="shared" si="10"/>
        <v>#VALUE!</v>
      </c>
    </row>
    <row r="135" spans="2:16" s="299" customFormat="1" ht="12.6" customHeight="1">
      <c r="B135" s="315" t="e">
        <f t="shared" ref="B135:B198" si="14">IF(B134+1&lt;=$E$21,B134+1,IF(B134&gt;=$E$21,"",IF(B134="","")))</f>
        <v>#VALUE!</v>
      </c>
      <c r="C135" s="316" t="e">
        <f t="shared" si="11"/>
        <v>#VALUE!</v>
      </c>
      <c r="D135" s="317" t="e">
        <f t="shared" ref="D135:D198" si="15">VLOOKUP(B135,$G$9:$I$29,3)</f>
        <v>#VALUE!</v>
      </c>
      <c r="E135" s="318" t="e">
        <f t="shared" ref="E135:E198" si="16">D135*$E$8/12</f>
        <v>#VALUE!</v>
      </c>
      <c r="F135" s="319" t="e">
        <f t="shared" si="12"/>
        <v>#VALUE!</v>
      </c>
      <c r="G135" s="319" t="e">
        <f t="shared" ref="G135:G198" si="17">IF($C$16="Base Rent",$B$16*E135,IF($C$16="Gross Rent",$B$16*(H135+E135)))</f>
        <v>#VALUE!</v>
      </c>
      <c r="H135" s="318" t="e">
        <f t="shared" si="13"/>
        <v>#VALUE!</v>
      </c>
      <c r="I135" s="505" t="e">
        <f t="shared" ref="I135:I198" si="18">SUM(F135:H135)</f>
        <v>#VALUE!</v>
      </c>
      <c r="J135" s="506"/>
      <c r="K135" s="319" t="e">
        <f>IF($E$37&gt;B135,0,$E$36 IF(B135&gt;$E$21,0,$E$36))</f>
        <v>#VALUE!</v>
      </c>
      <c r="L135" s="507" t="e">
        <f>IF($F$37&gt;B135,0,$F$36 IF(B135&gt;$E$21,0,$F$36))</f>
        <v>#VALUE!</v>
      </c>
      <c r="M135" s="506"/>
      <c r="N135" s="505" t="e">
        <f t="shared" ref="N135:N198" si="19">SUM(L135,K135,I135,E135)</f>
        <v>#VALUE!</v>
      </c>
      <c r="O135" s="506"/>
      <c r="P135" s="305" t="e">
        <f t="shared" ref="P135:P198" si="20">+N135/$E$8*12</f>
        <v>#VALUE!</v>
      </c>
    </row>
    <row r="136" spans="2:16" s="299" customFormat="1" ht="12.6" customHeight="1">
      <c r="B136" s="315" t="e">
        <f t="shared" si="14"/>
        <v>#VALUE!</v>
      </c>
      <c r="C136" s="316" t="e">
        <f t="shared" ref="C136:C199" si="21">IF(B136&gt;$E$21,"", DATE(YEAR(C135),MONTH(C135)+1,DAY(C135)))</f>
        <v>#VALUE!</v>
      </c>
      <c r="D136" s="317" t="e">
        <f t="shared" si="15"/>
        <v>#VALUE!</v>
      </c>
      <c r="E136" s="318" t="e">
        <f t="shared" si="16"/>
        <v>#VALUE!</v>
      </c>
      <c r="F136" s="319" t="e">
        <f t="shared" ref="F136:F199" si="22">IF($C$17="Gross Rent",$B$17*(H136+E136),IF($C$17="Base Rent",$B$17*E136))</f>
        <v>#VALUE!</v>
      </c>
      <c r="G136" s="319" t="e">
        <f t="shared" si="17"/>
        <v>#VALUE!</v>
      </c>
      <c r="H136" s="318" t="e">
        <f t="shared" ref="H136:H199" si="23">IF(MONTH(C136)=MONTH($E$19),((H135*(1+$E$18))),H135)</f>
        <v>#VALUE!</v>
      </c>
      <c r="I136" s="505" t="e">
        <f t="shared" si="18"/>
        <v>#VALUE!</v>
      </c>
      <c r="J136" s="506"/>
      <c r="K136" s="319" t="e">
        <f>IF($E$37&gt;B136,0,$E$36 IF(B136&gt;$E$21,0,$E$36))</f>
        <v>#VALUE!</v>
      </c>
      <c r="L136" s="507" t="e">
        <f>IF($F$37&gt;B136,0,$F$36 IF(B136&gt;$E$21,0,$F$36))</f>
        <v>#VALUE!</v>
      </c>
      <c r="M136" s="506"/>
      <c r="N136" s="505" t="e">
        <f t="shared" si="19"/>
        <v>#VALUE!</v>
      </c>
      <c r="O136" s="506"/>
      <c r="P136" s="305" t="e">
        <f t="shared" si="20"/>
        <v>#VALUE!</v>
      </c>
    </row>
    <row r="137" spans="2:16" s="299" customFormat="1" ht="12.6" customHeight="1">
      <c r="B137" s="315" t="e">
        <f t="shared" si="14"/>
        <v>#VALUE!</v>
      </c>
      <c r="C137" s="316" t="e">
        <f t="shared" si="21"/>
        <v>#VALUE!</v>
      </c>
      <c r="D137" s="317" t="e">
        <f t="shared" si="15"/>
        <v>#VALUE!</v>
      </c>
      <c r="E137" s="318" t="e">
        <f t="shared" si="16"/>
        <v>#VALUE!</v>
      </c>
      <c r="F137" s="319" t="e">
        <f t="shared" si="22"/>
        <v>#VALUE!</v>
      </c>
      <c r="G137" s="319" t="e">
        <f t="shared" si="17"/>
        <v>#VALUE!</v>
      </c>
      <c r="H137" s="318" t="e">
        <f t="shared" si="23"/>
        <v>#VALUE!</v>
      </c>
      <c r="I137" s="505" t="e">
        <f t="shared" si="18"/>
        <v>#VALUE!</v>
      </c>
      <c r="J137" s="506"/>
      <c r="K137" s="319" t="e">
        <f>IF($E$37&gt;B137,0,$E$36 IF(B137&gt;$E$21,0,$E$36))</f>
        <v>#VALUE!</v>
      </c>
      <c r="L137" s="507" t="e">
        <f>IF($F$37&gt;B137,0,$F$36 IF(B137&gt;$E$21,0,$F$36))</f>
        <v>#VALUE!</v>
      </c>
      <c r="M137" s="506"/>
      <c r="N137" s="505" t="e">
        <f t="shared" si="19"/>
        <v>#VALUE!</v>
      </c>
      <c r="O137" s="506"/>
      <c r="P137" s="322" t="e">
        <f t="shared" si="20"/>
        <v>#VALUE!</v>
      </c>
    </row>
    <row r="138" spans="2:16" s="299" customFormat="1" ht="12.6" customHeight="1">
      <c r="B138" s="315" t="e">
        <f t="shared" si="14"/>
        <v>#VALUE!</v>
      </c>
      <c r="C138" s="316" t="e">
        <f t="shared" si="21"/>
        <v>#VALUE!</v>
      </c>
      <c r="D138" s="317" t="e">
        <f t="shared" si="15"/>
        <v>#VALUE!</v>
      </c>
      <c r="E138" s="318" t="e">
        <f t="shared" si="16"/>
        <v>#VALUE!</v>
      </c>
      <c r="F138" s="319" t="e">
        <f t="shared" si="22"/>
        <v>#VALUE!</v>
      </c>
      <c r="G138" s="319" t="e">
        <f t="shared" si="17"/>
        <v>#VALUE!</v>
      </c>
      <c r="H138" s="318" t="e">
        <f t="shared" si="23"/>
        <v>#VALUE!</v>
      </c>
      <c r="I138" s="505" t="e">
        <f t="shared" si="18"/>
        <v>#VALUE!</v>
      </c>
      <c r="J138" s="506"/>
      <c r="K138" s="319" t="e">
        <f>IF($E$37&gt;B138,0,$E$36 IF(B138&gt;$E$21,0,$E$36))</f>
        <v>#VALUE!</v>
      </c>
      <c r="L138" s="507" t="e">
        <f>IF($F$37&gt;B138,0,$F$36 IF(B138&gt;$E$21,0,$F$36))</f>
        <v>#VALUE!</v>
      </c>
      <c r="M138" s="506"/>
      <c r="N138" s="505" t="e">
        <f t="shared" si="19"/>
        <v>#VALUE!</v>
      </c>
      <c r="O138" s="506"/>
      <c r="P138" s="305" t="e">
        <f t="shared" si="20"/>
        <v>#VALUE!</v>
      </c>
    </row>
    <row r="139" spans="2:16" s="299" customFormat="1" ht="12.6" customHeight="1">
      <c r="B139" s="315" t="e">
        <f t="shared" si="14"/>
        <v>#VALUE!</v>
      </c>
      <c r="C139" s="316" t="e">
        <f t="shared" si="21"/>
        <v>#VALUE!</v>
      </c>
      <c r="D139" s="317" t="e">
        <f t="shared" si="15"/>
        <v>#VALUE!</v>
      </c>
      <c r="E139" s="318" t="e">
        <f t="shared" si="16"/>
        <v>#VALUE!</v>
      </c>
      <c r="F139" s="319" t="e">
        <f t="shared" si="22"/>
        <v>#VALUE!</v>
      </c>
      <c r="G139" s="319" t="e">
        <f t="shared" si="17"/>
        <v>#VALUE!</v>
      </c>
      <c r="H139" s="318" t="e">
        <f t="shared" si="23"/>
        <v>#VALUE!</v>
      </c>
      <c r="I139" s="505" t="e">
        <f t="shared" si="18"/>
        <v>#VALUE!</v>
      </c>
      <c r="J139" s="506"/>
      <c r="K139" s="319" t="e">
        <f>IF($E$37&gt;B139,0,$E$36 IF(B139&gt;$E$21,0,$E$36))</f>
        <v>#VALUE!</v>
      </c>
      <c r="L139" s="507" t="e">
        <f>IF($F$37&gt;B139,0,$F$36 IF(B139&gt;$E$21,0,$F$36))</f>
        <v>#VALUE!</v>
      </c>
      <c r="M139" s="506"/>
      <c r="N139" s="505" t="e">
        <f t="shared" si="19"/>
        <v>#VALUE!</v>
      </c>
      <c r="O139" s="506"/>
      <c r="P139" s="305" t="e">
        <f t="shared" si="20"/>
        <v>#VALUE!</v>
      </c>
    </row>
    <row r="140" spans="2:16" s="299" customFormat="1" ht="12.6" customHeight="1">
      <c r="B140" s="315" t="e">
        <f t="shared" si="14"/>
        <v>#VALUE!</v>
      </c>
      <c r="C140" s="316" t="e">
        <f t="shared" si="21"/>
        <v>#VALUE!</v>
      </c>
      <c r="D140" s="317" t="e">
        <f t="shared" si="15"/>
        <v>#VALUE!</v>
      </c>
      <c r="E140" s="318" t="e">
        <f t="shared" si="16"/>
        <v>#VALUE!</v>
      </c>
      <c r="F140" s="319" t="e">
        <f t="shared" si="22"/>
        <v>#VALUE!</v>
      </c>
      <c r="G140" s="319" t="e">
        <f t="shared" si="17"/>
        <v>#VALUE!</v>
      </c>
      <c r="H140" s="318" t="e">
        <f t="shared" si="23"/>
        <v>#VALUE!</v>
      </c>
      <c r="I140" s="505" t="e">
        <f t="shared" si="18"/>
        <v>#VALUE!</v>
      </c>
      <c r="J140" s="506"/>
      <c r="K140" s="319" t="e">
        <f>IF($E$37&gt;B140,0,$E$36 IF(B140&gt;$E$21,0,$E$36))</f>
        <v>#VALUE!</v>
      </c>
      <c r="L140" s="507" t="e">
        <f>IF($F$37&gt;B140,0,$F$36 IF(B140&gt;$E$21,0,$F$36))</f>
        <v>#VALUE!</v>
      </c>
      <c r="M140" s="506"/>
      <c r="N140" s="505" t="e">
        <f t="shared" si="19"/>
        <v>#VALUE!</v>
      </c>
      <c r="O140" s="506"/>
      <c r="P140" s="305" t="e">
        <f t="shared" si="20"/>
        <v>#VALUE!</v>
      </c>
    </row>
    <row r="141" spans="2:16" s="299" customFormat="1" ht="12.6" customHeight="1">
      <c r="B141" s="315" t="e">
        <f t="shared" si="14"/>
        <v>#VALUE!</v>
      </c>
      <c r="C141" s="316" t="e">
        <f t="shared" si="21"/>
        <v>#VALUE!</v>
      </c>
      <c r="D141" s="317" t="e">
        <f t="shared" si="15"/>
        <v>#VALUE!</v>
      </c>
      <c r="E141" s="318" t="e">
        <f t="shared" si="16"/>
        <v>#VALUE!</v>
      </c>
      <c r="F141" s="319" t="e">
        <f t="shared" si="22"/>
        <v>#VALUE!</v>
      </c>
      <c r="G141" s="319" t="e">
        <f t="shared" si="17"/>
        <v>#VALUE!</v>
      </c>
      <c r="H141" s="318" t="e">
        <f t="shared" si="23"/>
        <v>#VALUE!</v>
      </c>
      <c r="I141" s="505" t="e">
        <f t="shared" si="18"/>
        <v>#VALUE!</v>
      </c>
      <c r="J141" s="506"/>
      <c r="K141" s="319" t="e">
        <f>IF($E$37&gt;B141,0,$E$36 IF(B141&gt;$E$21,0,$E$36))</f>
        <v>#VALUE!</v>
      </c>
      <c r="L141" s="507" t="e">
        <f>IF($F$37&gt;B141,0,$F$36 IF(B141&gt;$E$21,0,$F$36))</f>
        <v>#VALUE!</v>
      </c>
      <c r="M141" s="506"/>
      <c r="N141" s="505" t="e">
        <f t="shared" si="19"/>
        <v>#VALUE!</v>
      </c>
      <c r="O141" s="506"/>
      <c r="P141" s="305" t="e">
        <f t="shared" si="20"/>
        <v>#VALUE!</v>
      </c>
    </row>
    <row r="142" spans="2:16" s="299" customFormat="1" ht="12.6" customHeight="1">
      <c r="B142" s="315" t="e">
        <f t="shared" si="14"/>
        <v>#VALUE!</v>
      </c>
      <c r="C142" s="316" t="e">
        <f t="shared" si="21"/>
        <v>#VALUE!</v>
      </c>
      <c r="D142" s="317" t="e">
        <f t="shared" si="15"/>
        <v>#VALUE!</v>
      </c>
      <c r="E142" s="318" t="e">
        <f t="shared" si="16"/>
        <v>#VALUE!</v>
      </c>
      <c r="F142" s="319" t="e">
        <f t="shared" si="22"/>
        <v>#VALUE!</v>
      </c>
      <c r="G142" s="319" t="e">
        <f t="shared" si="17"/>
        <v>#VALUE!</v>
      </c>
      <c r="H142" s="318" t="e">
        <f t="shared" si="23"/>
        <v>#VALUE!</v>
      </c>
      <c r="I142" s="505" t="e">
        <f t="shared" si="18"/>
        <v>#VALUE!</v>
      </c>
      <c r="J142" s="506"/>
      <c r="K142" s="319" t="e">
        <f>IF($E$37&gt;B142,0,$E$36 IF(B142&gt;$E$21,0,$E$36))</f>
        <v>#VALUE!</v>
      </c>
      <c r="L142" s="507" t="e">
        <f>IF($F$37&gt;B142,0,$F$36 IF(B142&gt;$E$21,0,$F$36))</f>
        <v>#VALUE!</v>
      </c>
      <c r="M142" s="506"/>
      <c r="N142" s="505" t="e">
        <f t="shared" si="19"/>
        <v>#VALUE!</v>
      </c>
      <c r="O142" s="506"/>
      <c r="P142" s="305" t="e">
        <f t="shared" si="20"/>
        <v>#VALUE!</v>
      </c>
    </row>
    <row r="143" spans="2:16" s="299" customFormat="1" ht="12.6" customHeight="1">
      <c r="B143" s="315" t="e">
        <f t="shared" si="14"/>
        <v>#VALUE!</v>
      </c>
      <c r="C143" s="316" t="e">
        <f t="shared" si="21"/>
        <v>#VALUE!</v>
      </c>
      <c r="D143" s="317" t="e">
        <f t="shared" si="15"/>
        <v>#VALUE!</v>
      </c>
      <c r="E143" s="318" t="e">
        <f t="shared" si="16"/>
        <v>#VALUE!</v>
      </c>
      <c r="F143" s="319" t="e">
        <f t="shared" si="22"/>
        <v>#VALUE!</v>
      </c>
      <c r="G143" s="319" t="e">
        <f t="shared" si="17"/>
        <v>#VALUE!</v>
      </c>
      <c r="H143" s="318" t="e">
        <f t="shared" si="23"/>
        <v>#VALUE!</v>
      </c>
      <c r="I143" s="505" t="e">
        <f t="shared" si="18"/>
        <v>#VALUE!</v>
      </c>
      <c r="J143" s="506"/>
      <c r="K143" s="319" t="e">
        <f>IF($E$37&gt;B143,0,$E$36 IF(B143&gt;$E$21,0,$E$36))</f>
        <v>#VALUE!</v>
      </c>
      <c r="L143" s="507" t="e">
        <f>IF($F$37&gt;B143,0,$F$36 IF(B143&gt;$E$21,0,$F$36))</f>
        <v>#VALUE!</v>
      </c>
      <c r="M143" s="506"/>
      <c r="N143" s="505" t="e">
        <f t="shared" si="19"/>
        <v>#VALUE!</v>
      </c>
      <c r="O143" s="506"/>
      <c r="P143" s="305" t="e">
        <f t="shared" si="20"/>
        <v>#VALUE!</v>
      </c>
    </row>
    <row r="144" spans="2:16" s="299" customFormat="1" ht="12.6" customHeight="1">
      <c r="B144" s="315" t="e">
        <f t="shared" si="14"/>
        <v>#VALUE!</v>
      </c>
      <c r="C144" s="316" t="e">
        <f t="shared" si="21"/>
        <v>#VALUE!</v>
      </c>
      <c r="D144" s="317" t="e">
        <f t="shared" si="15"/>
        <v>#VALUE!</v>
      </c>
      <c r="E144" s="318" t="e">
        <f t="shared" si="16"/>
        <v>#VALUE!</v>
      </c>
      <c r="F144" s="319" t="e">
        <f t="shared" si="22"/>
        <v>#VALUE!</v>
      </c>
      <c r="G144" s="319" t="e">
        <f t="shared" si="17"/>
        <v>#VALUE!</v>
      </c>
      <c r="H144" s="318" t="e">
        <f t="shared" si="23"/>
        <v>#VALUE!</v>
      </c>
      <c r="I144" s="505" t="e">
        <f t="shared" si="18"/>
        <v>#VALUE!</v>
      </c>
      <c r="J144" s="506"/>
      <c r="K144" s="319" t="e">
        <f>IF($E$37&gt;B144,0,$E$36 IF(B144&gt;$E$21,0,$E$36))</f>
        <v>#VALUE!</v>
      </c>
      <c r="L144" s="507" t="e">
        <f>IF($F$37&gt;B144,0,$F$36 IF(B144&gt;$E$21,0,$F$36))</f>
        <v>#VALUE!</v>
      </c>
      <c r="M144" s="506"/>
      <c r="N144" s="505" t="e">
        <f t="shared" si="19"/>
        <v>#VALUE!</v>
      </c>
      <c r="O144" s="506"/>
      <c r="P144" s="305" t="e">
        <f t="shared" si="20"/>
        <v>#VALUE!</v>
      </c>
    </row>
    <row r="145" spans="2:16" s="299" customFormat="1" ht="12.6" customHeight="1">
      <c r="B145" s="315" t="e">
        <f t="shared" si="14"/>
        <v>#VALUE!</v>
      </c>
      <c r="C145" s="316" t="e">
        <f t="shared" si="21"/>
        <v>#VALUE!</v>
      </c>
      <c r="D145" s="317" t="e">
        <f t="shared" si="15"/>
        <v>#VALUE!</v>
      </c>
      <c r="E145" s="318" t="e">
        <f t="shared" si="16"/>
        <v>#VALUE!</v>
      </c>
      <c r="F145" s="319" t="e">
        <f t="shared" si="22"/>
        <v>#VALUE!</v>
      </c>
      <c r="G145" s="319" t="e">
        <f t="shared" si="17"/>
        <v>#VALUE!</v>
      </c>
      <c r="H145" s="318" t="e">
        <f t="shared" si="23"/>
        <v>#VALUE!</v>
      </c>
      <c r="I145" s="505" t="e">
        <f t="shared" si="18"/>
        <v>#VALUE!</v>
      </c>
      <c r="J145" s="506"/>
      <c r="K145" s="319" t="e">
        <f>IF($E$37&gt;B145,0,$E$36 IF(B145&gt;$E$21,0,$E$36))</f>
        <v>#VALUE!</v>
      </c>
      <c r="L145" s="507" t="e">
        <f>IF($F$37&gt;B145,0,$F$36 IF(B145&gt;$E$21,0,$F$36))</f>
        <v>#VALUE!</v>
      </c>
      <c r="M145" s="506"/>
      <c r="N145" s="505" t="e">
        <f t="shared" si="19"/>
        <v>#VALUE!</v>
      </c>
      <c r="O145" s="506"/>
      <c r="P145" s="305" t="e">
        <f t="shared" si="20"/>
        <v>#VALUE!</v>
      </c>
    </row>
    <row r="146" spans="2:16" s="299" customFormat="1" ht="12.6" customHeight="1">
      <c r="B146" s="315" t="e">
        <f t="shared" si="14"/>
        <v>#VALUE!</v>
      </c>
      <c r="C146" s="316" t="e">
        <f t="shared" si="21"/>
        <v>#VALUE!</v>
      </c>
      <c r="D146" s="317" t="e">
        <f t="shared" si="15"/>
        <v>#VALUE!</v>
      </c>
      <c r="E146" s="318" t="e">
        <f t="shared" si="16"/>
        <v>#VALUE!</v>
      </c>
      <c r="F146" s="319" t="e">
        <f t="shared" si="22"/>
        <v>#VALUE!</v>
      </c>
      <c r="G146" s="319" t="e">
        <f t="shared" si="17"/>
        <v>#VALUE!</v>
      </c>
      <c r="H146" s="318" t="e">
        <f t="shared" si="23"/>
        <v>#VALUE!</v>
      </c>
      <c r="I146" s="505" t="e">
        <f t="shared" si="18"/>
        <v>#VALUE!</v>
      </c>
      <c r="J146" s="506"/>
      <c r="K146" s="319" t="e">
        <f>IF($E$37&gt;B146,0,$E$36 IF(B146&gt;$E$21,0,$E$36))</f>
        <v>#VALUE!</v>
      </c>
      <c r="L146" s="507" t="e">
        <f>IF($F$37&gt;B146,0,$F$36 IF(B146&gt;$E$21,0,$F$36))</f>
        <v>#VALUE!</v>
      </c>
      <c r="M146" s="506"/>
      <c r="N146" s="505" t="e">
        <f t="shared" si="19"/>
        <v>#VALUE!</v>
      </c>
      <c r="O146" s="506"/>
      <c r="P146" s="305" t="e">
        <f t="shared" si="20"/>
        <v>#VALUE!</v>
      </c>
    </row>
    <row r="147" spans="2:16" s="299" customFormat="1" ht="12.6" customHeight="1">
      <c r="B147" s="315" t="e">
        <f t="shared" si="14"/>
        <v>#VALUE!</v>
      </c>
      <c r="C147" s="316" t="e">
        <f t="shared" si="21"/>
        <v>#VALUE!</v>
      </c>
      <c r="D147" s="317" t="e">
        <f t="shared" si="15"/>
        <v>#VALUE!</v>
      </c>
      <c r="E147" s="318" t="e">
        <f t="shared" si="16"/>
        <v>#VALUE!</v>
      </c>
      <c r="F147" s="319" t="e">
        <f t="shared" si="22"/>
        <v>#VALUE!</v>
      </c>
      <c r="G147" s="319" t="e">
        <f t="shared" si="17"/>
        <v>#VALUE!</v>
      </c>
      <c r="H147" s="318" t="e">
        <f t="shared" si="23"/>
        <v>#VALUE!</v>
      </c>
      <c r="I147" s="505" t="e">
        <f t="shared" si="18"/>
        <v>#VALUE!</v>
      </c>
      <c r="J147" s="506"/>
      <c r="K147" s="319" t="e">
        <f>IF($E$37&gt;B147,0,$E$36 IF(B147&gt;$E$21,0,$E$36))</f>
        <v>#VALUE!</v>
      </c>
      <c r="L147" s="507" t="e">
        <f>IF($F$37&gt;B147,0,$F$36 IF(B147&gt;$E$21,0,$F$36))</f>
        <v>#VALUE!</v>
      </c>
      <c r="M147" s="506"/>
      <c r="N147" s="505" t="e">
        <f t="shared" si="19"/>
        <v>#VALUE!</v>
      </c>
      <c r="O147" s="506"/>
      <c r="P147" s="305" t="e">
        <f t="shared" si="20"/>
        <v>#VALUE!</v>
      </c>
    </row>
    <row r="148" spans="2:16" s="299" customFormat="1" ht="12.6" customHeight="1">
      <c r="B148" s="315" t="e">
        <f t="shared" si="14"/>
        <v>#VALUE!</v>
      </c>
      <c r="C148" s="316" t="e">
        <f t="shared" si="21"/>
        <v>#VALUE!</v>
      </c>
      <c r="D148" s="317" t="e">
        <f t="shared" si="15"/>
        <v>#VALUE!</v>
      </c>
      <c r="E148" s="318" t="e">
        <f t="shared" si="16"/>
        <v>#VALUE!</v>
      </c>
      <c r="F148" s="319" t="e">
        <f t="shared" si="22"/>
        <v>#VALUE!</v>
      </c>
      <c r="G148" s="319" t="e">
        <f t="shared" si="17"/>
        <v>#VALUE!</v>
      </c>
      <c r="H148" s="318" t="e">
        <f t="shared" si="23"/>
        <v>#VALUE!</v>
      </c>
      <c r="I148" s="505" t="e">
        <f t="shared" si="18"/>
        <v>#VALUE!</v>
      </c>
      <c r="J148" s="506"/>
      <c r="K148" s="319" t="e">
        <f>IF($E$37&gt;B148,0,$E$36 IF(B148&gt;$E$21,0,$E$36))</f>
        <v>#VALUE!</v>
      </c>
      <c r="L148" s="507" t="e">
        <f>IF($F$37&gt;B148,0,$F$36 IF(B148&gt;$E$21,0,$F$36))</f>
        <v>#VALUE!</v>
      </c>
      <c r="M148" s="506"/>
      <c r="N148" s="505" t="e">
        <f t="shared" si="19"/>
        <v>#VALUE!</v>
      </c>
      <c r="O148" s="506"/>
      <c r="P148" s="305" t="e">
        <f t="shared" si="20"/>
        <v>#VALUE!</v>
      </c>
    </row>
    <row r="149" spans="2:16" s="299" customFormat="1" ht="12.6" customHeight="1">
      <c r="B149" s="315" t="e">
        <f t="shared" si="14"/>
        <v>#VALUE!</v>
      </c>
      <c r="C149" s="316" t="e">
        <f t="shared" si="21"/>
        <v>#VALUE!</v>
      </c>
      <c r="D149" s="317" t="e">
        <f t="shared" si="15"/>
        <v>#VALUE!</v>
      </c>
      <c r="E149" s="318" t="e">
        <f t="shared" si="16"/>
        <v>#VALUE!</v>
      </c>
      <c r="F149" s="319" t="e">
        <f t="shared" si="22"/>
        <v>#VALUE!</v>
      </c>
      <c r="G149" s="319" t="e">
        <f t="shared" si="17"/>
        <v>#VALUE!</v>
      </c>
      <c r="H149" s="318" t="e">
        <f t="shared" si="23"/>
        <v>#VALUE!</v>
      </c>
      <c r="I149" s="505" t="e">
        <f t="shared" si="18"/>
        <v>#VALUE!</v>
      </c>
      <c r="J149" s="506"/>
      <c r="K149" s="319" t="e">
        <f>IF($E$37&gt;B149,0,$E$36 IF(B149&gt;$E$21,0,$E$36))</f>
        <v>#VALUE!</v>
      </c>
      <c r="L149" s="507" t="e">
        <f>IF($F$37&gt;B149,0,$F$36 IF(B149&gt;$E$21,0,$F$36))</f>
        <v>#VALUE!</v>
      </c>
      <c r="M149" s="506"/>
      <c r="N149" s="505" t="e">
        <f t="shared" si="19"/>
        <v>#VALUE!</v>
      </c>
      <c r="O149" s="506"/>
      <c r="P149" s="305" t="e">
        <f t="shared" si="20"/>
        <v>#VALUE!</v>
      </c>
    </row>
    <row r="150" spans="2:16" s="299" customFormat="1" ht="12.6" customHeight="1">
      <c r="B150" s="315" t="e">
        <f t="shared" si="14"/>
        <v>#VALUE!</v>
      </c>
      <c r="C150" s="316" t="e">
        <f t="shared" si="21"/>
        <v>#VALUE!</v>
      </c>
      <c r="D150" s="317" t="e">
        <f t="shared" si="15"/>
        <v>#VALUE!</v>
      </c>
      <c r="E150" s="318" t="e">
        <f t="shared" si="16"/>
        <v>#VALUE!</v>
      </c>
      <c r="F150" s="319" t="e">
        <f t="shared" si="22"/>
        <v>#VALUE!</v>
      </c>
      <c r="G150" s="319" t="e">
        <f t="shared" si="17"/>
        <v>#VALUE!</v>
      </c>
      <c r="H150" s="318" t="e">
        <f t="shared" si="23"/>
        <v>#VALUE!</v>
      </c>
      <c r="I150" s="505" t="e">
        <f t="shared" si="18"/>
        <v>#VALUE!</v>
      </c>
      <c r="J150" s="506"/>
      <c r="K150" s="319" t="e">
        <f>IF($E$37&gt;B150,0,$E$36 IF(B150&gt;$E$21,0,$E$36))</f>
        <v>#VALUE!</v>
      </c>
      <c r="L150" s="507" t="e">
        <f>IF($F$37&gt;B150,0,$F$36 IF(B150&gt;$E$21,0,$F$36))</f>
        <v>#VALUE!</v>
      </c>
      <c r="M150" s="506"/>
      <c r="N150" s="505" t="e">
        <f t="shared" si="19"/>
        <v>#VALUE!</v>
      </c>
      <c r="O150" s="506"/>
      <c r="P150" s="305" t="e">
        <f t="shared" si="20"/>
        <v>#VALUE!</v>
      </c>
    </row>
    <row r="151" spans="2:16" s="299" customFormat="1" ht="12.6" customHeight="1">
      <c r="B151" s="315" t="e">
        <f t="shared" si="14"/>
        <v>#VALUE!</v>
      </c>
      <c r="C151" s="316" t="e">
        <f t="shared" si="21"/>
        <v>#VALUE!</v>
      </c>
      <c r="D151" s="317" t="e">
        <f t="shared" si="15"/>
        <v>#VALUE!</v>
      </c>
      <c r="E151" s="318" t="e">
        <f t="shared" si="16"/>
        <v>#VALUE!</v>
      </c>
      <c r="F151" s="319" t="e">
        <f t="shared" si="22"/>
        <v>#VALUE!</v>
      </c>
      <c r="G151" s="319" t="e">
        <f t="shared" si="17"/>
        <v>#VALUE!</v>
      </c>
      <c r="H151" s="318" t="e">
        <f t="shared" si="23"/>
        <v>#VALUE!</v>
      </c>
      <c r="I151" s="505" t="e">
        <f t="shared" si="18"/>
        <v>#VALUE!</v>
      </c>
      <c r="J151" s="506"/>
      <c r="K151" s="319" t="e">
        <f>IF($E$37&gt;B151,0,$E$36 IF(B151&gt;$E$21,0,$E$36))</f>
        <v>#VALUE!</v>
      </c>
      <c r="L151" s="507" t="e">
        <f>IF($F$37&gt;B151,0,$F$36 IF(B151&gt;$E$21,0,$F$36))</f>
        <v>#VALUE!</v>
      </c>
      <c r="M151" s="506"/>
      <c r="N151" s="505" t="e">
        <f t="shared" si="19"/>
        <v>#VALUE!</v>
      </c>
      <c r="O151" s="506"/>
      <c r="P151" s="305" t="e">
        <f t="shared" si="20"/>
        <v>#VALUE!</v>
      </c>
    </row>
    <row r="152" spans="2:16" s="299" customFormat="1" ht="12.6" customHeight="1">
      <c r="B152" s="315" t="e">
        <f t="shared" si="14"/>
        <v>#VALUE!</v>
      </c>
      <c r="C152" s="316" t="e">
        <f t="shared" si="21"/>
        <v>#VALUE!</v>
      </c>
      <c r="D152" s="317" t="e">
        <f t="shared" si="15"/>
        <v>#VALUE!</v>
      </c>
      <c r="E152" s="318" t="e">
        <f t="shared" si="16"/>
        <v>#VALUE!</v>
      </c>
      <c r="F152" s="319" t="e">
        <f t="shared" si="22"/>
        <v>#VALUE!</v>
      </c>
      <c r="G152" s="319" t="e">
        <f t="shared" si="17"/>
        <v>#VALUE!</v>
      </c>
      <c r="H152" s="318" t="e">
        <f t="shared" si="23"/>
        <v>#VALUE!</v>
      </c>
      <c r="I152" s="505" t="e">
        <f t="shared" si="18"/>
        <v>#VALUE!</v>
      </c>
      <c r="J152" s="506"/>
      <c r="K152" s="319" t="e">
        <f>IF($E$37&gt;B152,0,$E$36 IF(B152&gt;$E$21,0,$E$36))</f>
        <v>#VALUE!</v>
      </c>
      <c r="L152" s="507" t="e">
        <f>IF($F$37&gt;B152,0,$F$36 IF(B152&gt;$E$21,0,$F$36))</f>
        <v>#VALUE!</v>
      </c>
      <c r="M152" s="506"/>
      <c r="N152" s="505" t="e">
        <f t="shared" si="19"/>
        <v>#VALUE!</v>
      </c>
      <c r="O152" s="506"/>
      <c r="P152" s="305" t="e">
        <f t="shared" si="20"/>
        <v>#VALUE!</v>
      </c>
    </row>
    <row r="153" spans="2:16" s="299" customFormat="1" ht="12.6" customHeight="1">
      <c r="B153" s="315" t="e">
        <f t="shared" si="14"/>
        <v>#VALUE!</v>
      </c>
      <c r="C153" s="316" t="e">
        <f t="shared" si="21"/>
        <v>#VALUE!</v>
      </c>
      <c r="D153" s="317" t="e">
        <f t="shared" si="15"/>
        <v>#VALUE!</v>
      </c>
      <c r="E153" s="318" t="e">
        <f t="shared" si="16"/>
        <v>#VALUE!</v>
      </c>
      <c r="F153" s="319" t="e">
        <f t="shared" si="22"/>
        <v>#VALUE!</v>
      </c>
      <c r="G153" s="319" t="e">
        <f t="shared" si="17"/>
        <v>#VALUE!</v>
      </c>
      <c r="H153" s="318" t="e">
        <f t="shared" si="23"/>
        <v>#VALUE!</v>
      </c>
      <c r="I153" s="505" t="e">
        <f t="shared" si="18"/>
        <v>#VALUE!</v>
      </c>
      <c r="J153" s="506"/>
      <c r="K153" s="319" t="e">
        <f>IF($E$37&gt;B153,0,$E$36 IF(B153&gt;$E$21,0,$E$36))</f>
        <v>#VALUE!</v>
      </c>
      <c r="L153" s="507" t="e">
        <f>IF($F$37&gt;B153,0,$F$36 IF(B153&gt;$E$21,0,$F$36))</f>
        <v>#VALUE!</v>
      </c>
      <c r="M153" s="506"/>
      <c r="N153" s="505" t="e">
        <f t="shared" si="19"/>
        <v>#VALUE!</v>
      </c>
      <c r="O153" s="506"/>
      <c r="P153" s="305" t="e">
        <f t="shared" si="20"/>
        <v>#VALUE!</v>
      </c>
    </row>
    <row r="154" spans="2:16" s="299" customFormat="1" ht="12.6" customHeight="1">
      <c r="B154" s="315" t="e">
        <f t="shared" si="14"/>
        <v>#VALUE!</v>
      </c>
      <c r="C154" s="316" t="e">
        <f t="shared" si="21"/>
        <v>#VALUE!</v>
      </c>
      <c r="D154" s="317" t="e">
        <f t="shared" si="15"/>
        <v>#VALUE!</v>
      </c>
      <c r="E154" s="318" t="e">
        <f t="shared" si="16"/>
        <v>#VALUE!</v>
      </c>
      <c r="F154" s="319" t="e">
        <f t="shared" si="22"/>
        <v>#VALUE!</v>
      </c>
      <c r="G154" s="319" t="e">
        <f t="shared" si="17"/>
        <v>#VALUE!</v>
      </c>
      <c r="H154" s="318" t="e">
        <f t="shared" si="23"/>
        <v>#VALUE!</v>
      </c>
      <c r="I154" s="505" t="e">
        <f t="shared" si="18"/>
        <v>#VALUE!</v>
      </c>
      <c r="J154" s="506"/>
      <c r="K154" s="319" t="e">
        <f>IF($E$37&gt;B154,0,$E$36 IF(B154&gt;$E$21,0,$E$36))</f>
        <v>#VALUE!</v>
      </c>
      <c r="L154" s="507" t="e">
        <f>IF($F$37&gt;B154,0,$F$36 IF(B154&gt;$E$21,0,$F$36))</f>
        <v>#VALUE!</v>
      </c>
      <c r="M154" s="506"/>
      <c r="N154" s="505" t="e">
        <f t="shared" si="19"/>
        <v>#VALUE!</v>
      </c>
      <c r="O154" s="506"/>
      <c r="P154" s="305" t="e">
        <f t="shared" si="20"/>
        <v>#VALUE!</v>
      </c>
    </row>
    <row r="155" spans="2:16" s="299" customFormat="1" ht="12.6" customHeight="1">
      <c r="B155" s="315" t="e">
        <f t="shared" si="14"/>
        <v>#VALUE!</v>
      </c>
      <c r="C155" s="316" t="e">
        <f t="shared" si="21"/>
        <v>#VALUE!</v>
      </c>
      <c r="D155" s="317" t="e">
        <f t="shared" si="15"/>
        <v>#VALUE!</v>
      </c>
      <c r="E155" s="318" t="e">
        <f t="shared" si="16"/>
        <v>#VALUE!</v>
      </c>
      <c r="F155" s="319" t="e">
        <f t="shared" si="22"/>
        <v>#VALUE!</v>
      </c>
      <c r="G155" s="319" t="e">
        <f t="shared" si="17"/>
        <v>#VALUE!</v>
      </c>
      <c r="H155" s="318" t="e">
        <f t="shared" si="23"/>
        <v>#VALUE!</v>
      </c>
      <c r="I155" s="505" t="e">
        <f t="shared" si="18"/>
        <v>#VALUE!</v>
      </c>
      <c r="J155" s="506"/>
      <c r="K155" s="319" t="e">
        <f>IF($E$37&gt;B155,0,$E$36 IF(B155&gt;$E$21,0,$E$36))</f>
        <v>#VALUE!</v>
      </c>
      <c r="L155" s="507" t="e">
        <f>IF($F$37&gt;B155,0,$F$36 IF(B155&gt;$E$21,0,$F$36))</f>
        <v>#VALUE!</v>
      </c>
      <c r="M155" s="506"/>
      <c r="N155" s="505" t="e">
        <f t="shared" si="19"/>
        <v>#VALUE!</v>
      </c>
      <c r="O155" s="506"/>
      <c r="P155" s="305" t="e">
        <f t="shared" si="20"/>
        <v>#VALUE!</v>
      </c>
    </row>
    <row r="156" spans="2:16" s="299" customFormat="1" ht="12.6" customHeight="1">
      <c r="B156" s="315" t="e">
        <f t="shared" si="14"/>
        <v>#VALUE!</v>
      </c>
      <c r="C156" s="316" t="e">
        <f t="shared" si="21"/>
        <v>#VALUE!</v>
      </c>
      <c r="D156" s="317" t="e">
        <f t="shared" si="15"/>
        <v>#VALUE!</v>
      </c>
      <c r="E156" s="318" t="e">
        <f t="shared" si="16"/>
        <v>#VALUE!</v>
      </c>
      <c r="F156" s="319" t="e">
        <f t="shared" si="22"/>
        <v>#VALUE!</v>
      </c>
      <c r="G156" s="319" t="e">
        <f t="shared" si="17"/>
        <v>#VALUE!</v>
      </c>
      <c r="H156" s="318" t="e">
        <f t="shared" si="23"/>
        <v>#VALUE!</v>
      </c>
      <c r="I156" s="505" t="e">
        <f t="shared" si="18"/>
        <v>#VALUE!</v>
      </c>
      <c r="J156" s="506"/>
      <c r="K156" s="319" t="e">
        <f>IF($E$37&gt;B156,0,$E$36 IF(B156&gt;$E$21,0,$E$36))</f>
        <v>#VALUE!</v>
      </c>
      <c r="L156" s="507" t="e">
        <f>IF($F$37&gt;B156,0,$F$36 IF(B156&gt;$E$21,0,$F$36))</f>
        <v>#VALUE!</v>
      </c>
      <c r="M156" s="506"/>
      <c r="N156" s="505" t="e">
        <f t="shared" si="19"/>
        <v>#VALUE!</v>
      </c>
      <c r="O156" s="506"/>
      <c r="P156" s="305" t="e">
        <f t="shared" si="20"/>
        <v>#VALUE!</v>
      </c>
    </row>
    <row r="157" spans="2:16" s="299" customFormat="1" ht="12.6" customHeight="1">
      <c r="B157" s="315" t="e">
        <f t="shared" si="14"/>
        <v>#VALUE!</v>
      </c>
      <c r="C157" s="316" t="e">
        <f t="shared" si="21"/>
        <v>#VALUE!</v>
      </c>
      <c r="D157" s="317" t="e">
        <f t="shared" si="15"/>
        <v>#VALUE!</v>
      </c>
      <c r="E157" s="318" t="e">
        <f t="shared" si="16"/>
        <v>#VALUE!</v>
      </c>
      <c r="F157" s="319" t="e">
        <f t="shared" si="22"/>
        <v>#VALUE!</v>
      </c>
      <c r="G157" s="319" t="e">
        <f t="shared" si="17"/>
        <v>#VALUE!</v>
      </c>
      <c r="H157" s="318" t="e">
        <f t="shared" si="23"/>
        <v>#VALUE!</v>
      </c>
      <c r="I157" s="505" t="e">
        <f t="shared" si="18"/>
        <v>#VALUE!</v>
      </c>
      <c r="J157" s="506"/>
      <c r="K157" s="319" t="e">
        <f>IF($E$37&gt;B157,0,$E$36 IF(B157&gt;$E$21,0,$E$36))</f>
        <v>#VALUE!</v>
      </c>
      <c r="L157" s="507" t="e">
        <f>IF($F$37&gt;B157,0,$F$36 IF(B157&gt;$E$21,0,$F$36))</f>
        <v>#VALUE!</v>
      </c>
      <c r="M157" s="506"/>
      <c r="N157" s="505" t="e">
        <f t="shared" si="19"/>
        <v>#VALUE!</v>
      </c>
      <c r="O157" s="506"/>
      <c r="P157" s="305" t="e">
        <f t="shared" si="20"/>
        <v>#VALUE!</v>
      </c>
    </row>
    <row r="158" spans="2:16" s="299" customFormat="1" ht="12.6" customHeight="1">
      <c r="B158" s="315" t="e">
        <f t="shared" si="14"/>
        <v>#VALUE!</v>
      </c>
      <c r="C158" s="316" t="e">
        <f t="shared" si="21"/>
        <v>#VALUE!</v>
      </c>
      <c r="D158" s="317" t="e">
        <f t="shared" si="15"/>
        <v>#VALUE!</v>
      </c>
      <c r="E158" s="318" t="e">
        <f t="shared" si="16"/>
        <v>#VALUE!</v>
      </c>
      <c r="F158" s="319" t="e">
        <f t="shared" si="22"/>
        <v>#VALUE!</v>
      </c>
      <c r="G158" s="319" t="e">
        <f t="shared" si="17"/>
        <v>#VALUE!</v>
      </c>
      <c r="H158" s="318" t="e">
        <f t="shared" si="23"/>
        <v>#VALUE!</v>
      </c>
      <c r="I158" s="505" t="e">
        <f t="shared" si="18"/>
        <v>#VALUE!</v>
      </c>
      <c r="J158" s="506"/>
      <c r="K158" s="319" t="e">
        <f>IF($E$37&gt;B158,0,$E$36 IF(B158&gt;$E$21,0,$E$36))</f>
        <v>#VALUE!</v>
      </c>
      <c r="L158" s="507" t="e">
        <f>IF($F$37&gt;B158,0,$F$36 IF(B158&gt;$E$21,0,$F$36))</f>
        <v>#VALUE!</v>
      </c>
      <c r="M158" s="506"/>
      <c r="N158" s="505" t="e">
        <f t="shared" si="19"/>
        <v>#VALUE!</v>
      </c>
      <c r="O158" s="506"/>
      <c r="P158" s="305" t="e">
        <f t="shared" si="20"/>
        <v>#VALUE!</v>
      </c>
    </row>
    <row r="159" spans="2:16" s="299" customFormat="1" ht="12.6" customHeight="1">
      <c r="B159" s="315" t="e">
        <f t="shared" si="14"/>
        <v>#VALUE!</v>
      </c>
      <c r="C159" s="316" t="e">
        <f t="shared" si="21"/>
        <v>#VALUE!</v>
      </c>
      <c r="D159" s="317" t="e">
        <f t="shared" si="15"/>
        <v>#VALUE!</v>
      </c>
      <c r="E159" s="318" t="e">
        <f t="shared" si="16"/>
        <v>#VALUE!</v>
      </c>
      <c r="F159" s="319" t="e">
        <f t="shared" si="22"/>
        <v>#VALUE!</v>
      </c>
      <c r="G159" s="319" t="e">
        <f t="shared" si="17"/>
        <v>#VALUE!</v>
      </c>
      <c r="H159" s="318" t="e">
        <f t="shared" si="23"/>
        <v>#VALUE!</v>
      </c>
      <c r="I159" s="505" t="e">
        <f t="shared" si="18"/>
        <v>#VALUE!</v>
      </c>
      <c r="J159" s="506"/>
      <c r="K159" s="319" t="e">
        <f>IF($E$37&gt;B159,0,$E$36 IF(B159&gt;$E$21,0,$E$36))</f>
        <v>#VALUE!</v>
      </c>
      <c r="L159" s="507" t="e">
        <f>IF($F$37&gt;B159,0,$F$36 IF(B159&gt;$E$21,0,$F$36))</f>
        <v>#VALUE!</v>
      </c>
      <c r="M159" s="506"/>
      <c r="N159" s="505" t="e">
        <f t="shared" si="19"/>
        <v>#VALUE!</v>
      </c>
      <c r="O159" s="506"/>
      <c r="P159" s="305" t="e">
        <f t="shared" si="20"/>
        <v>#VALUE!</v>
      </c>
    </row>
    <row r="160" spans="2:16" s="299" customFormat="1" ht="12.6" customHeight="1">
      <c r="B160" s="315" t="e">
        <f t="shared" si="14"/>
        <v>#VALUE!</v>
      </c>
      <c r="C160" s="316" t="e">
        <f t="shared" si="21"/>
        <v>#VALUE!</v>
      </c>
      <c r="D160" s="317" t="e">
        <f t="shared" si="15"/>
        <v>#VALUE!</v>
      </c>
      <c r="E160" s="318" t="e">
        <f t="shared" si="16"/>
        <v>#VALUE!</v>
      </c>
      <c r="F160" s="319" t="e">
        <f t="shared" si="22"/>
        <v>#VALUE!</v>
      </c>
      <c r="G160" s="319" t="e">
        <f t="shared" si="17"/>
        <v>#VALUE!</v>
      </c>
      <c r="H160" s="318" t="e">
        <f t="shared" si="23"/>
        <v>#VALUE!</v>
      </c>
      <c r="I160" s="505" t="e">
        <f t="shared" si="18"/>
        <v>#VALUE!</v>
      </c>
      <c r="J160" s="506"/>
      <c r="K160" s="319" t="e">
        <f>IF($E$37&gt;B160,0,$E$36 IF(B160&gt;$E$21,0,$E$36))</f>
        <v>#VALUE!</v>
      </c>
      <c r="L160" s="507" t="e">
        <f>IF($F$37&gt;B160,0,$F$36 IF(B160&gt;$E$21,0,$F$36))</f>
        <v>#VALUE!</v>
      </c>
      <c r="M160" s="506"/>
      <c r="N160" s="505" t="e">
        <f t="shared" si="19"/>
        <v>#VALUE!</v>
      </c>
      <c r="O160" s="506"/>
      <c r="P160" s="305" t="e">
        <f t="shared" si="20"/>
        <v>#VALUE!</v>
      </c>
    </row>
    <row r="161" spans="2:16" s="299" customFormat="1" ht="12.6" customHeight="1">
      <c r="B161" s="315" t="e">
        <f t="shared" si="14"/>
        <v>#VALUE!</v>
      </c>
      <c r="C161" s="316" t="e">
        <f t="shared" si="21"/>
        <v>#VALUE!</v>
      </c>
      <c r="D161" s="317" t="e">
        <f t="shared" si="15"/>
        <v>#VALUE!</v>
      </c>
      <c r="E161" s="318" t="e">
        <f t="shared" si="16"/>
        <v>#VALUE!</v>
      </c>
      <c r="F161" s="319" t="e">
        <f t="shared" si="22"/>
        <v>#VALUE!</v>
      </c>
      <c r="G161" s="319" t="e">
        <f t="shared" si="17"/>
        <v>#VALUE!</v>
      </c>
      <c r="H161" s="318" t="e">
        <f t="shared" si="23"/>
        <v>#VALUE!</v>
      </c>
      <c r="I161" s="505" t="e">
        <f t="shared" si="18"/>
        <v>#VALUE!</v>
      </c>
      <c r="J161" s="506"/>
      <c r="K161" s="319" t="e">
        <f>IF($E$37&gt;B161,0,$E$36 IF(B161&gt;$E$21,0,$E$36))</f>
        <v>#VALUE!</v>
      </c>
      <c r="L161" s="507" t="e">
        <f>IF($F$37&gt;B161,0,$F$36 IF(B161&gt;$E$21,0,$F$36))</f>
        <v>#VALUE!</v>
      </c>
      <c r="M161" s="506"/>
      <c r="N161" s="505" t="e">
        <f t="shared" si="19"/>
        <v>#VALUE!</v>
      </c>
      <c r="O161" s="506"/>
      <c r="P161" s="305" t="e">
        <f t="shared" si="20"/>
        <v>#VALUE!</v>
      </c>
    </row>
    <row r="162" spans="2:16" s="299" customFormat="1" ht="12.6" customHeight="1">
      <c r="B162" s="315" t="e">
        <f t="shared" si="14"/>
        <v>#VALUE!</v>
      </c>
      <c r="C162" s="316" t="e">
        <f t="shared" si="21"/>
        <v>#VALUE!</v>
      </c>
      <c r="D162" s="317" t="e">
        <f t="shared" si="15"/>
        <v>#VALUE!</v>
      </c>
      <c r="E162" s="318" t="e">
        <f t="shared" si="16"/>
        <v>#VALUE!</v>
      </c>
      <c r="F162" s="319" t="e">
        <f t="shared" si="22"/>
        <v>#VALUE!</v>
      </c>
      <c r="G162" s="319" t="e">
        <f t="shared" si="17"/>
        <v>#VALUE!</v>
      </c>
      <c r="H162" s="318" t="e">
        <f t="shared" si="23"/>
        <v>#VALUE!</v>
      </c>
      <c r="I162" s="505" t="e">
        <f t="shared" si="18"/>
        <v>#VALUE!</v>
      </c>
      <c r="J162" s="506"/>
      <c r="K162" s="319" t="e">
        <f>IF($E$37&gt;B162,0,$E$36 IF(B162&gt;$E$21,0,$E$36))</f>
        <v>#VALUE!</v>
      </c>
      <c r="L162" s="507" t="e">
        <f>IF($F$37&gt;B162,0,$F$36 IF(B162&gt;$E$21,0,$F$36))</f>
        <v>#VALUE!</v>
      </c>
      <c r="M162" s="506"/>
      <c r="N162" s="505" t="e">
        <f t="shared" si="19"/>
        <v>#VALUE!</v>
      </c>
      <c r="O162" s="506"/>
      <c r="P162" s="305" t="e">
        <f t="shared" si="20"/>
        <v>#VALUE!</v>
      </c>
    </row>
    <row r="163" spans="2:16" s="299" customFormat="1" ht="12.6" customHeight="1">
      <c r="B163" s="315" t="e">
        <f t="shared" si="14"/>
        <v>#VALUE!</v>
      </c>
      <c r="C163" s="316" t="e">
        <f t="shared" si="21"/>
        <v>#VALUE!</v>
      </c>
      <c r="D163" s="317" t="e">
        <f t="shared" si="15"/>
        <v>#VALUE!</v>
      </c>
      <c r="E163" s="318" t="e">
        <f t="shared" si="16"/>
        <v>#VALUE!</v>
      </c>
      <c r="F163" s="319" t="e">
        <f t="shared" si="22"/>
        <v>#VALUE!</v>
      </c>
      <c r="G163" s="319" t="e">
        <f t="shared" si="17"/>
        <v>#VALUE!</v>
      </c>
      <c r="H163" s="318" t="e">
        <f t="shared" si="23"/>
        <v>#VALUE!</v>
      </c>
      <c r="I163" s="505" t="e">
        <f t="shared" si="18"/>
        <v>#VALUE!</v>
      </c>
      <c r="J163" s="506"/>
      <c r="K163" s="319" t="e">
        <f>IF($E$37&gt;B163,0,$E$36 IF(B163&gt;$E$21,0,$E$36))</f>
        <v>#VALUE!</v>
      </c>
      <c r="L163" s="507" t="e">
        <f>IF($F$37&gt;B163,0,$F$36 IF(B163&gt;$E$21,0,$F$36))</f>
        <v>#VALUE!</v>
      </c>
      <c r="M163" s="506"/>
      <c r="N163" s="505" t="e">
        <f t="shared" si="19"/>
        <v>#VALUE!</v>
      </c>
      <c r="O163" s="506"/>
      <c r="P163" s="305" t="e">
        <f t="shared" si="20"/>
        <v>#VALUE!</v>
      </c>
    </row>
    <row r="164" spans="2:16" s="299" customFormat="1" ht="12.6" customHeight="1">
      <c r="B164" s="315" t="e">
        <f t="shared" si="14"/>
        <v>#VALUE!</v>
      </c>
      <c r="C164" s="316" t="e">
        <f t="shared" si="21"/>
        <v>#VALUE!</v>
      </c>
      <c r="D164" s="317" t="e">
        <f t="shared" si="15"/>
        <v>#VALUE!</v>
      </c>
      <c r="E164" s="318" t="e">
        <f t="shared" si="16"/>
        <v>#VALUE!</v>
      </c>
      <c r="F164" s="319" t="e">
        <f t="shared" si="22"/>
        <v>#VALUE!</v>
      </c>
      <c r="G164" s="319" t="e">
        <f t="shared" si="17"/>
        <v>#VALUE!</v>
      </c>
      <c r="H164" s="318" t="e">
        <f t="shared" si="23"/>
        <v>#VALUE!</v>
      </c>
      <c r="I164" s="505" t="e">
        <f t="shared" si="18"/>
        <v>#VALUE!</v>
      </c>
      <c r="J164" s="506"/>
      <c r="K164" s="319" t="e">
        <f>IF($E$37&gt;B164,0,$E$36 IF(B164&gt;$E$21,0,$E$36))</f>
        <v>#VALUE!</v>
      </c>
      <c r="L164" s="507" t="e">
        <f>IF($F$37&gt;B164,0,$F$36 IF(B164&gt;$E$21,0,$F$36))</f>
        <v>#VALUE!</v>
      </c>
      <c r="M164" s="506"/>
      <c r="N164" s="505" t="e">
        <f t="shared" si="19"/>
        <v>#VALUE!</v>
      </c>
      <c r="O164" s="506"/>
      <c r="P164" s="305" t="e">
        <f t="shared" si="20"/>
        <v>#VALUE!</v>
      </c>
    </row>
    <row r="165" spans="2:16" s="299" customFormat="1" ht="12.6" customHeight="1">
      <c r="B165" s="315" t="e">
        <f t="shared" si="14"/>
        <v>#VALUE!</v>
      </c>
      <c r="C165" s="316" t="e">
        <f t="shared" si="21"/>
        <v>#VALUE!</v>
      </c>
      <c r="D165" s="317" t="e">
        <f t="shared" si="15"/>
        <v>#VALUE!</v>
      </c>
      <c r="E165" s="318" t="e">
        <f t="shared" si="16"/>
        <v>#VALUE!</v>
      </c>
      <c r="F165" s="319" t="e">
        <f t="shared" si="22"/>
        <v>#VALUE!</v>
      </c>
      <c r="G165" s="319" t="e">
        <f t="shared" si="17"/>
        <v>#VALUE!</v>
      </c>
      <c r="H165" s="318" t="e">
        <f t="shared" si="23"/>
        <v>#VALUE!</v>
      </c>
      <c r="I165" s="505" t="e">
        <f t="shared" si="18"/>
        <v>#VALUE!</v>
      </c>
      <c r="J165" s="506"/>
      <c r="K165" s="319" t="e">
        <f>IF($E$37&gt;B165,0,$E$36 IF(B165&gt;$E$21,0,$E$36))</f>
        <v>#VALUE!</v>
      </c>
      <c r="L165" s="507" t="e">
        <f>IF($F$37&gt;B165,0,$F$36 IF(B165&gt;$E$21,0,$F$36))</f>
        <v>#VALUE!</v>
      </c>
      <c r="M165" s="506"/>
      <c r="N165" s="505" t="e">
        <f t="shared" si="19"/>
        <v>#VALUE!</v>
      </c>
      <c r="O165" s="506"/>
      <c r="P165" s="305" t="e">
        <f t="shared" si="20"/>
        <v>#VALUE!</v>
      </c>
    </row>
    <row r="166" spans="2:16" s="299" customFormat="1" ht="12.6" customHeight="1">
      <c r="B166" s="315" t="e">
        <f t="shared" si="14"/>
        <v>#VALUE!</v>
      </c>
      <c r="C166" s="316" t="e">
        <f t="shared" si="21"/>
        <v>#VALUE!</v>
      </c>
      <c r="D166" s="317" t="e">
        <f t="shared" si="15"/>
        <v>#VALUE!</v>
      </c>
      <c r="E166" s="318" t="e">
        <f t="shared" si="16"/>
        <v>#VALUE!</v>
      </c>
      <c r="F166" s="319" t="e">
        <f t="shared" si="22"/>
        <v>#VALUE!</v>
      </c>
      <c r="G166" s="319" t="e">
        <f t="shared" si="17"/>
        <v>#VALUE!</v>
      </c>
      <c r="H166" s="318" t="e">
        <f t="shared" si="23"/>
        <v>#VALUE!</v>
      </c>
      <c r="I166" s="505" t="e">
        <f t="shared" si="18"/>
        <v>#VALUE!</v>
      </c>
      <c r="J166" s="506"/>
      <c r="K166" s="319" t="e">
        <f>IF($E$37&gt;B166,0,$E$36 IF(B166&gt;$E$21,0,$E$36))</f>
        <v>#VALUE!</v>
      </c>
      <c r="L166" s="507" t="e">
        <f>IF($F$37&gt;B166,0,$F$36 IF(B166&gt;$E$21,0,$F$36))</f>
        <v>#VALUE!</v>
      </c>
      <c r="M166" s="506"/>
      <c r="N166" s="505" t="e">
        <f t="shared" si="19"/>
        <v>#VALUE!</v>
      </c>
      <c r="O166" s="506"/>
      <c r="P166" s="305" t="e">
        <f t="shared" si="20"/>
        <v>#VALUE!</v>
      </c>
    </row>
    <row r="167" spans="2:16" s="299" customFormat="1" ht="12.6" customHeight="1">
      <c r="B167" s="315" t="e">
        <f t="shared" si="14"/>
        <v>#VALUE!</v>
      </c>
      <c r="C167" s="316" t="e">
        <f t="shared" si="21"/>
        <v>#VALUE!</v>
      </c>
      <c r="D167" s="317" t="e">
        <f t="shared" si="15"/>
        <v>#VALUE!</v>
      </c>
      <c r="E167" s="318" t="e">
        <f t="shared" si="16"/>
        <v>#VALUE!</v>
      </c>
      <c r="F167" s="319" t="e">
        <f t="shared" si="22"/>
        <v>#VALUE!</v>
      </c>
      <c r="G167" s="319" t="e">
        <f t="shared" si="17"/>
        <v>#VALUE!</v>
      </c>
      <c r="H167" s="318" t="e">
        <f t="shared" si="23"/>
        <v>#VALUE!</v>
      </c>
      <c r="I167" s="505" t="e">
        <f t="shared" si="18"/>
        <v>#VALUE!</v>
      </c>
      <c r="J167" s="506"/>
      <c r="K167" s="319" t="e">
        <f>IF($E$37&gt;B167,0,$E$36 IF(B167&gt;$E$21,0,$E$36))</f>
        <v>#VALUE!</v>
      </c>
      <c r="L167" s="507" t="e">
        <f>IF($F$37&gt;B167,0,$F$36 IF(B167&gt;$E$21,0,$F$36))</f>
        <v>#VALUE!</v>
      </c>
      <c r="M167" s="506"/>
      <c r="N167" s="505" t="e">
        <f t="shared" si="19"/>
        <v>#VALUE!</v>
      </c>
      <c r="O167" s="506"/>
      <c r="P167" s="305" t="e">
        <f t="shared" si="20"/>
        <v>#VALUE!</v>
      </c>
    </row>
    <row r="168" spans="2:16" s="299" customFormat="1" ht="12.6" customHeight="1">
      <c r="B168" s="315" t="e">
        <f t="shared" si="14"/>
        <v>#VALUE!</v>
      </c>
      <c r="C168" s="316" t="e">
        <f t="shared" si="21"/>
        <v>#VALUE!</v>
      </c>
      <c r="D168" s="317" t="e">
        <f t="shared" si="15"/>
        <v>#VALUE!</v>
      </c>
      <c r="E168" s="318" t="e">
        <f t="shared" si="16"/>
        <v>#VALUE!</v>
      </c>
      <c r="F168" s="319" t="e">
        <f t="shared" si="22"/>
        <v>#VALUE!</v>
      </c>
      <c r="G168" s="319" t="e">
        <f t="shared" si="17"/>
        <v>#VALUE!</v>
      </c>
      <c r="H168" s="318" t="e">
        <f t="shared" si="23"/>
        <v>#VALUE!</v>
      </c>
      <c r="I168" s="505" t="e">
        <f t="shared" si="18"/>
        <v>#VALUE!</v>
      </c>
      <c r="J168" s="506"/>
      <c r="K168" s="319" t="e">
        <f>IF($E$37&gt;B168,0,$E$36 IF(B168&gt;$E$21,0,$E$36))</f>
        <v>#VALUE!</v>
      </c>
      <c r="L168" s="507" t="e">
        <f>IF($F$37&gt;B168,0,$F$36 IF(B168&gt;$E$21,0,$F$36))</f>
        <v>#VALUE!</v>
      </c>
      <c r="M168" s="506"/>
      <c r="N168" s="505" t="e">
        <f t="shared" si="19"/>
        <v>#VALUE!</v>
      </c>
      <c r="O168" s="506"/>
      <c r="P168" s="305" t="e">
        <f t="shared" si="20"/>
        <v>#VALUE!</v>
      </c>
    </row>
    <row r="169" spans="2:16" s="299" customFormat="1" ht="12.6" customHeight="1">
      <c r="B169" s="315" t="e">
        <f t="shared" si="14"/>
        <v>#VALUE!</v>
      </c>
      <c r="C169" s="316" t="e">
        <f t="shared" si="21"/>
        <v>#VALUE!</v>
      </c>
      <c r="D169" s="317" t="e">
        <f t="shared" si="15"/>
        <v>#VALUE!</v>
      </c>
      <c r="E169" s="318" t="e">
        <f t="shared" si="16"/>
        <v>#VALUE!</v>
      </c>
      <c r="F169" s="319" t="e">
        <f t="shared" si="22"/>
        <v>#VALUE!</v>
      </c>
      <c r="G169" s="319" t="e">
        <f t="shared" si="17"/>
        <v>#VALUE!</v>
      </c>
      <c r="H169" s="318" t="e">
        <f t="shared" si="23"/>
        <v>#VALUE!</v>
      </c>
      <c r="I169" s="505" t="e">
        <f t="shared" si="18"/>
        <v>#VALUE!</v>
      </c>
      <c r="J169" s="506"/>
      <c r="K169" s="319" t="e">
        <f>IF($E$37&gt;B169,0,$E$36 IF(B169&gt;$E$21,0,$E$36))</f>
        <v>#VALUE!</v>
      </c>
      <c r="L169" s="507" t="e">
        <f>IF($F$37&gt;B169,0,$F$36 IF(B169&gt;$E$21,0,$F$36))</f>
        <v>#VALUE!</v>
      </c>
      <c r="M169" s="506"/>
      <c r="N169" s="505" t="e">
        <f t="shared" si="19"/>
        <v>#VALUE!</v>
      </c>
      <c r="O169" s="506"/>
      <c r="P169" s="305" t="e">
        <f t="shared" si="20"/>
        <v>#VALUE!</v>
      </c>
    </row>
    <row r="170" spans="2:16" s="299" customFormat="1" ht="12.6" customHeight="1">
      <c r="B170" s="315" t="e">
        <f t="shared" si="14"/>
        <v>#VALUE!</v>
      </c>
      <c r="C170" s="316" t="e">
        <f t="shared" si="21"/>
        <v>#VALUE!</v>
      </c>
      <c r="D170" s="317" t="e">
        <f t="shared" si="15"/>
        <v>#VALUE!</v>
      </c>
      <c r="E170" s="318" t="e">
        <f t="shared" si="16"/>
        <v>#VALUE!</v>
      </c>
      <c r="F170" s="319" t="e">
        <f t="shared" si="22"/>
        <v>#VALUE!</v>
      </c>
      <c r="G170" s="319" t="e">
        <f t="shared" si="17"/>
        <v>#VALUE!</v>
      </c>
      <c r="H170" s="318" t="e">
        <f t="shared" si="23"/>
        <v>#VALUE!</v>
      </c>
      <c r="I170" s="505" t="e">
        <f t="shared" si="18"/>
        <v>#VALUE!</v>
      </c>
      <c r="J170" s="506"/>
      <c r="K170" s="319" t="e">
        <f>IF($E$37&gt;B170,0,$E$36 IF(B170&gt;$E$21,0,$E$36))</f>
        <v>#VALUE!</v>
      </c>
      <c r="L170" s="507" t="e">
        <f>IF($F$37&gt;B170,0,$F$36 IF(B170&gt;$E$21,0,$F$36))</f>
        <v>#VALUE!</v>
      </c>
      <c r="M170" s="506"/>
      <c r="N170" s="505" t="e">
        <f t="shared" si="19"/>
        <v>#VALUE!</v>
      </c>
      <c r="O170" s="506"/>
      <c r="P170" s="305" t="e">
        <f t="shared" si="20"/>
        <v>#VALUE!</v>
      </c>
    </row>
    <row r="171" spans="2:16" s="299" customFormat="1" ht="12.6" customHeight="1">
      <c r="B171" s="315" t="e">
        <f t="shared" si="14"/>
        <v>#VALUE!</v>
      </c>
      <c r="C171" s="316" t="e">
        <f t="shared" si="21"/>
        <v>#VALUE!</v>
      </c>
      <c r="D171" s="317" t="e">
        <f t="shared" si="15"/>
        <v>#VALUE!</v>
      </c>
      <c r="E171" s="318" t="e">
        <f t="shared" si="16"/>
        <v>#VALUE!</v>
      </c>
      <c r="F171" s="319" t="e">
        <f t="shared" si="22"/>
        <v>#VALUE!</v>
      </c>
      <c r="G171" s="319" t="e">
        <f t="shared" si="17"/>
        <v>#VALUE!</v>
      </c>
      <c r="H171" s="318" t="e">
        <f t="shared" si="23"/>
        <v>#VALUE!</v>
      </c>
      <c r="I171" s="505" t="e">
        <f t="shared" si="18"/>
        <v>#VALUE!</v>
      </c>
      <c r="J171" s="506"/>
      <c r="K171" s="319" t="e">
        <f>IF($E$37&gt;B171,0,$E$36 IF(B171&gt;$E$21,0,$E$36))</f>
        <v>#VALUE!</v>
      </c>
      <c r="L171" s="507" t="e">
        <f>IF($F$37&gt;B171,0,$F$36 IF(B171&gt;$E$21,0,$F$36))</f>
        <v>#VALUE!</v>
      </c>
      <c r="M171" s="506"/>
      <c r="N171" s="505" t="e">
        <f t="shared" si="19"/>
        <v>#VALUE!</v>
      </c>
      <c r="O171" s="506"/>
      <c r="P171" s="305" t="e">
        <f t="shared" si="20"/>
        <v>#VALUE!</v>
      </c>
    </row>
    <row r="172" spans="2:16" s="299" customFormat="1" ht="12.6" customHeight="1">
      <c r="B172" s="315" t="e">
        <f t="shared" si="14"/>
        <v>#VALUE!</v>
      </c>
      <c r="C172" s="316" t="e">
        <f t="shared" si="21"/>
        <v>#VALUE!</v>
      </c>
      <c r="D172" s="317" t="e">
        <f t="shared" si="15"/>
        <v>#VALUE!</v>
      </c>
      <c r="E172" s="318" t="e">
        <f t="shared" si="16"/>
        <v>#VALUE!</v>
      </c>
      <c r="F172" s="319" t="e">
        <f t="shared" si="22"/>
        <v>#VALUE!</v>
      </c>
      <c r="G172" s="319" t="e">
        <f t="shared" si="17"/>
        <v>#VALUE!</v>
      </c>
      <c r="H172" s="318" t="e">
        <f t="shared" si="23"/>
        <v>#VALUE!</v>
      </c>
      <c r="I172" s="505" t="e">
        <f t="shared" si="18"/>
        <v>#VALUE!</v>
      </c>
      <c r="J172" s="506"/>
      <c r="K172" s="319" t="e">
        <f>IF($E$37&gt;B172,0,$E$36 IF(B172&gt;$E$21,0,$E$36))</f>
        <v>#VALUE!</v>
      </c>
      <c r="L172" s="507" t="e">
        <f>IF($F$37&gt;B172,0,$F$36 IF(B172&gt;$E$21,0,$F$36))</f>
        <v>#VALUE!</v>
      </c>
      <c r="M172" s="506"/>
      <c r="N172" s="505" t="e">
        <f t="shared" si="19"/>
        <v>#VALUE!</v>
      </c>
      <c r="O172" s="506"/>
      <c r="P172" s="305" t="e">
        <f t="shared" si="20"/>
        <v>#VALUE!</v>
      </c>
    </row>
    <row r="173" spans="2:16" s="299" customFormat="1" ht="12.6" customHeight="1">
      <c r="B173" s="315" t="e">
        <f t="shared" si="14"/>
        <v>#VALUE!</v>
      </c>
      <c r="C173" s="316" t="e">
        <f t="shared" si="21"/>
        <v>#VALUE!</v>
      </c>
      <c r="D173" s="317" t="e">
        <f t="shared" si="15"/>
        <v>#VALUE!</v>
      </c>
      <c r="E173" s="318" t="e">
        <f t="shared" si="16"/>
        <v>#VALUE!</v>
      </c>
      <c r="F173" s="319" t="e">
        <f t="shared" si="22"/>
        <v>#VALUE!</v>
      </c>
      <c r="G173" s="319" t="e">
        <f t="shared" si="17"/>
        <v>#VALUE!</v>
      </c>
      <c r="H173" s="318" t="e">
        <f t="shared" si="23"/>
        <v>#VALUE!</v>
      </c>
      <c r="I173" s="505" t="e">
        <f t="shared" si="18"/>
        <v>#VALUE!</v>
      </c>
      <c r="J173" s="506"/>
      <c r="K173" s="319" t="e">
        <f>IF($E$37&gt;B173,0,$E$36 IF(B173&gt;$E$21,0,$E$36))</f>
        <v>#VALUE!</v>
      </c>
      <c r="L173" s="507" t="e">
        <f>IF($F$37&gt;B173,0,$F$36 IF(B173&gt;$E$21,0,$F$36))</f>
        <v>#VALUE!</v>
      </c>
      <c r="M173" s="506"/>
      <c r="N173" s="505" t="e">
        <f t="shared" si="19"/>
        <v>#VALUE!</v>
      </c>
      <c r="O173" s="506"/>
      <c r="P173" s="305" t="e">
        <f t="shared" si="20"/>
        <v>#VALUE!</v>
      </c>
    </row>
    <row r="174" spans="2:16" s="299" customFormat="1" ht="12.6" customHeight="1">
      <c r="B174" s="315" t="e">
        <f t="shared" si="14"/>
        <v>#VALUE!</v>
      </c>
      <c r="C174" s="316" t="e">
        <f t="shared" si="21"/>
        <v>#VALUE!</v>
      </c>
      <c r="D174" s="317" t="e">
        <f t="shared" si="15"/>
        <v>#VALUE!</v>
      </c>
      <c r="E174" s="318" t="e">
        <f t="shared" si="16"/>
        <v>#VALUE!</v>
      </c>
      <c r="F174" s="319" t="e">
        <f t="shared" si="22"/>
        <v>#VALUE!</v>
      </c>
      <c r="G174" s="319" t="e">
        <f t="shared" si="17"/>
        <v>#VALUE!</v>
      </c>
      <c r="H174" s="318" t="e">
        <f t="shared" si="23"/>
        <v>#VALUE!</v>
      </c>
      <c r="I174" s="505" t="e">
        <f t="shared" si="18"/>
        <v>#VALUE!</v>
      </c>
      <c r="J174" s="506"/>
      <c r="K174" s="319" t="e">
        <f>IF($E$37&gt;B174,0,$E$36 IF(B174&gt;$E$21,0,$E$36))</f>
        <v>#VALUE!</v>
      </c>
      <c r="L174" s="507" t="e">
        <f>IF($F$37&gt;B174,0,$F$36 IF(B174&gt;$E$21,0,$F$36))</f>
        <v>#VALUE!</v>
      </c>
      <c r="M174" s="506"/>
      <c r="N174" s="505" t="e">
        <f t="shared" si="19"/>
        <v>#VALUE!</v>
      </c>
      <c r="O174" s="506"/>
      <c r="P174" s="305" t="e">
        <f t="shared" si="20"/>
        <v>#VALUE!</v>
      </c>
    </row>
    <row r="175" spans="2:16" s="299" customFormat="1" ht="12.6" customHeight="1">
      <c r="B175" s="315" t="e">
        <f t="shared" si="14"/>
        <v>#VALUE!</v>
      </c>
      <c r="C175" s="316" t="e">
        <f t="shared" si="21"/>
        <v>#VALUE!</v>
      </c>
      <c r="D175" s="317" t="e">
        <f t="shared" si="15"/>
        <v>#VALUE!</v>
      </c>
      <c r="E175" s="318" t="e">
        <f t="shared" si="16"/>
        <v>#VALUE!</v>
      </c>
      <c r="F175" s="319" t="e">
        <f t="shared" si="22"/>
        <v>#VALUE!</v>
      </c>
      <c r="G175" s="319" t="e">
        <f t="shared" si="17"/>
        <v>#VALUE!</v>
      </c>
      <c r="H175" s="318" t="e">
        <f t="shared" si="23"/>
        <v>#VALUE!</v>
      </c>
      <c r="I175" s="505" t="e">
        <f t="shared" si="18"/>
        <v>#VALUE!</v>
      </c>
      <c r="J175" s="506"/>
      <c r="K175" s="319" t="e">
        <f>IF($E$37&gt;B175,0,$E$36 IF(B175&gt;$E$21,0,$E$36))</f>
        <v>#VALUE!</v>
      </c>
      <c r="L175" s="507" t="e">
        <f>IF($F$37&gt;B175,0,$F$36 IF(B175&gt;$E$21,0,$F$36))</f>
        <v>#VALUE!</v>
      </c>
      <c r="M175" s="506"/>
      <c r="N175" s="505" t="e">
        <f t="shared" si="19"/>
        <v>#VALUE!</v>
      </c>
      <c r="O175" s="506"/>
      <c r="P175" s="305" t="e">
        <f t="shared" si="20"/>
        <v>#VALUE!</v>
      </c>
    </row>
    <row r="176" spans="2:16" s="299" customFormat="1" ht="12.6" customHeight="1">
      <c r="B176" s="315" t="e">
        <f t="shared" si="14"/>
        <v>#VALUE!</v>
      </c>
      <c r="C176" s="316" t="e">
        <f t="shared" si="21"/>
        <v>#VALUE!</v>
      </c>
      <c r="D176" s="317" t="e">
        <f t="shared" si="15"/>
        <v>#VALUE!</v>
      </c>
      <c r="E176" s="318" t="e">
        <f t="shared" si="16"/>
        <v>#VALUE!</v>
      </c>
      <c r="F176" s="319" t="e">
        <f t="shared" si="22"/>
        <v>#VALUE!</v>
      </c>
      <c r="G176" s="319" t="e">
        <f t="shared" si="17"/>
        <v>#VALUE!</v>
      </c>
      <c r="H176" s="318" t="e">
        <f t="shared" si="23"/>
        <v>#VALUE!</v>
      </c>
      <c r="I176" s="505" t="e">
        <f t="shared" si="18"/>
        <v>#VALUE!</v>
      </c>
      <c r="J176" s="506"/>
      <c r="K176" s="319" t="e">
        <f>IF($E$37&gt;B176,0,$E$36 IF(B176&gt;$E$21,0,$E$36))</f>
        <v>#VALUE!</v>
      </c>
      <c r="L176" s="507" t="e">
        <f>IF($F$37&gt;B176,0,$F$36 IF(B176&gt;$E$21,0,$F$36))</f>
        <v>#VALUE!</v>
      </c>
      <c r="M176" s="506"/>
      <c r="N176" s="505" t="e">
        <f t="shared" si="19"/>
        <v>#VALUE!</v>
      </c>
      <c r="O176" s="506"/>
      <c r="P176" s="305" t="e">
        <f t="shared" si="20"/>
        <v>#VALUE!</v>
      </c>
    </row>
    <row r="177" spans="2:16" s="299" customFormat="1" ht="12.6" customHeight="1">
      <c r="B177" s="315" t="e">
        <f t="shared" si="14"/>
        <v>#VALUE!</v>
      </c>
      <c r="C177" s="316" t="e">
        <f t="shared" si="21"/>
        <v>#VALUE!</v>
      </c>
      <c r="D177" s="317" t="e">
        <f t="shared" si="15"/>
        <v>#VALUE!</v>
      </c>
      <c r="E177" s="318" t="e">
        <f t="shared" si="16"/>
        <v>#VALUE!</v>
      </c>
      <c r="F177" s="319" t="e">
        <f t="shared" si="22"/>
        <v>#VALUE!</v>
      </c>
      <c r="G177" s="319" t="e">
        <f t="shared" si="17"/>
        <v>#VALUE!</v>
      </c>
      <c r="H177" s="318" t="e">
        <f t="shared" si="23"/>
        <v>#VALUE!</v>
      </c>
      <c r="I177" s="505" t="e">
        <f t="shared" si="18"/>
        <v>#VALUE!</v>
      </c>
      <c r="J177" s="506"/>
      <c r="K177" s="319" t="e">
        <f>IF($E$37&gt;B177,0,$E$36 IF(B177&gt;$E$21,0,$E$36))</f>
        <v>#VALUE!</v>
      </c>
      <c r="L177" s="507" t="e">
        <f>IF($F$37&gt;B177,0,$F$36 IF(B177&gt;$E$21,0,$F$36))</f>
        <v>#VALUE!</v>
      </c>
      <c r="M177" s="506"/>
      <c r="N177" s="505" t="e">
        <f t="shared" si="19"/>
        <v>#VALUE!</v>
      </c>
      <c r="O177" s="506"/>
      <c r="P177" s="305" t="e">
        <f t="shared" si="20"/>
        <v>#VALUE!</v>
      </c>
    </row>
    <row r="178" spans="2:16" s="299" customFormat="1" ht="12.6" customHeight="1">
      <c r="B178" s="315" t="e">
        <f t="shared" si="14"/>
        <v>#VALUE!</v>
      </c>
      <c r="C178" s="316" t="e">
        <f t="shared" si="21"/>
        <v>#VALUE!</v>
      </c>
      <c r="D178" s="317" t="e">
        <f t="shared" si="15"/>
        <v>#VALUE!</v>
      </c>
      <c r="E178" s="318" t="e">
        <f t="shared" si="16"/>
        <v>#VALUE!</v>
      </c>
      <c r="F178" s="319" t="e">
        <f t="shared" si="22"/>
        <v>#VALUE!</v>
      </c>
      <c r="G178" s="319" t="e">
        <f t="shared" si="17"/>
        <v>#VALUE!</v>
      </c>
      <c r="H178" s="318" t="e">
        <f t="shared" si="23"/>
        <v>#VALUE!</v>
      </c>
      <c r="I178" s="505" t="e">
        <f t="shared" si="18"/>
        <v>#VALUE!</v>
      </c>
      <c r="J178" s="506"/>
      <c r="K178" s="319" t="e">
        <f>IF($E$37&gt;B178,0,$E$36 IF(B178&gt;$E$21,0,$E$36))</f>
        <v>#VALUE!</v>
      </c>
      <c r="L178" s="507" t="e">
        <f>IF($F$37&gt;B178,0,$F$36 IF(B178&gt;$E$21,0,$F$36))</f>
        <v>#VALUE!</v>
      </c>
      <c r="M178" s="506"/>
      <c r="N178" s="505" t="e">
        <f t="shared" si="19"/>
        <v>#VALUE!</v>
      </c>
      <c r="O178" s="506"/>
      <c r="P178" s="305" t="e">
        <f t="shared" si="20"/>
        <v>#VALUE!</v>
      </c>
    </row>
    <row r="179" spans="2:16" s="299" customFormat="1" ht="12.6" customHeight="1">
      <c r="B179" s="315" t="e">
        <f t="shared" si="14"/>
        <v>#VALUE!</v>
      </c>
      <c r="C179" s="316" t="e">
        <f t="shared" si="21"/>
        <v>#VALUE!</v>
      </c>
      <c r="D179" s="317" t="e">
        <f t="shared" si="15"/>
        <v>#VALUE!</v>
      </c>
      <c r="E179" s="318" t="e">
        <f t="shared" si="16"/>
        <v>#VALUE!</v>
      </c>
      <c r="F179" s="319" t="e">
        <f t="shared" si="22"/>
        <v>#VALUE!</v>
      </c>
      <c r="G179" s="319" t="e">
        <f t="shared" si="17"/>
        <v>#VALUE!</v>
      </c>
      <c r="H179" s="318" t="e">
        <f t="shared" si="23"/>
        <v>#VALUE!</v>
      </c>
      <c r="I179" s="505" t="e">
        <f t="shared" si="18"/>
        <v>#VALUE!</v>
      </c>
      <c r="J179" s="506"/>
      <c r="K179" s="319" t="e">
        <f>IF($E$37&gt;B179,0,$E$36 IF(B179&gt;$E$21,0,$E$36))</f>
        <v>#VALUE!</v>
      </c>
      <c r="L179" s="507" t="e">
        <f>IF($F$37&gt;B179,0,$F$36 IF(B179&gt;$E$21,0,$F$36))</f>
        <v>#VALUE!</v>
      </c>
      <c r="M179" s="506"/>
      <c r="N179" s="505" t="e">
        <f t="shared" si="19"/>
        <v>#VALUE!</v>
      </c>
      <c r="O179" s="506"/>
      <c r="P179" s="305" t="e">
        <f t="shared" si="20"/>
        <v>#VALUE!</v>
      </c>
    </row>
    <row r="180" spans="2:16" s="299" customFormat="1" ht="12.6" customHeight="1">
      <c r="B180" s="315" t="e">
        <f t="shared" si="14"/>
        <v>#VALUE!</v>
      </c>
      <c r="C180" s="316" t="e">
        <f t="shared" si="21"/>
        <v>#VALUE!</v>
      </c>
      <c r="D180" s="317" t="e">
        <f t="shared" si="15"/>
        <v>#VALUE!</v>
      </c>
      <c r="E180" s="318" t="e">
        <f t="shared" si="16"/>
        <v>#VALUE!</v>
      </c>
      <c r="F180" s="319" t="e">
        <f t="shared" si="22"/>
        <v>#VALUE!</v>
      </c>
      <c r="G180" s="319" t="e">
        <f t="shared" si="17"/>
        <v>#VALUE!</v>
      </c>
      <c r="H180" s="318" t="e">
        <f t="shared" si="23"/>
        <v>#VALUE!</v>
      </c>
      <c r="I180" s="505" t="e">
        <f t="shared" si="18"/>
        <v>#VALUE!</v>
      </c>
      <c r="J180" s="506"/>
      <c r="K180" s="319" t="e">
        <f>IF($E$37&gt;B180,0,$E$36 IF(B180&gt;$E$21,0,$E$36))</f>
        <v>#VALUE!</v>
      </c>
      <c r="L180" s="507" t="e">
        <f>IF($F$37&gt;B180,0,$F$36 IF(B180&gt;$E$21,0,$F$36))</f>
        <v>#VALUE!</v>
      </c>
      <c r="M180" s="506"/>
      <c r="N180" s="505" t="e">
        <f t="shared" si="19"/>
        <v>#VALUE!</v>
      </c>
      <c r="O180" s="506"/>
      <c r="P180" s="305" t="e">
        <f t="shared" si="20"/>
        <v>#VALUE!</v>
      </c>
    </row>
    <row r="181" spans="2:16" s="299" customFormat="1" ht="12.6" customHeight="1">
      <c r="B181" s="315" t="e">
        <f t="shared" si="14"/>
        <v>#VALUE!</v>
      </c>
      <c r="C181" s="316" t="e">
        <f t="shared" si="21"/>
        <v>#VALUE!</v>
      </c>
      <c r="D181" s="317" t="e">
        <f t="shared" si="15"/>
        <v>#VALUE!</v>
      </c>
      <c r="E181" s="318" t="e">
        <f t="shared" si="16"/>
        <v>#VALUE!</v>
      </c>
      <c r="F181" s="319" t="e">
        <f t="shared" si="22"/>
        <v>#VALUE!</v>
      </c>
      <c r="G181" s="319" t="e">
        <f t="shared" si="17"/>
        <v>#VALUE!</v>
      </c>
      <c r="H181" s="318" t="e">
        <f t="shared" si="23"/>
        <v>#VALUE!</v>
      </c>
      <c r="I181" s="505" t="e">
        <f t="shared" si="18"/>
        <v>#VALUE!</v>
      </c>
      <c r="J181" s="506"/>
      <c r="K181" s="319" t="e">
        <f>IF($E$37&gt;B181,0,$E$36 IF(B181&gt;$E$21,0,$E$36))</f>
        <v>#VALUE!</v>
      </c>
      <c r="L181" s="507" t="e">
        <f>IF($F$37&gt;B181,0,$F$36 IF(B181&gt;$E$21,0,$F$36))</f>
        <v>#VALUE!</v>
      </c>
      <c r="M181" s="506"/>
      <c r="N181" s="505" t="e">
        <f t="shared" si="19"/>
        <v>#VALUE!</v>
      </c>
      <c r="O181" s="506"/>
      <c r="P181" s="305" t="e">
        <f t="shared" si="20"/>
        <v>#VALUE!</v>
      </c>
    </row>
    <row r="182" spans="2:16" s="299" customFormat="1" ht="12.6" customHeight="1">
      <c r="B182" s="315" t="e">
        <f t="shared" si="14"/>
        <v>#VALUE!</v>
      </c>
      <c r="C182" s="316" t="e">
        <f t="shared" si="21"/>
        <v>#VALUE!</v>
      </c>
      <c r="D182" s="317" t="e">
        <f t="shared" si="15"/>
        <v>#VALUE!</v>
      </c>
      <c r="E182" s="318" t="e">
        <f t="shared" si="16"/>
        <v>#VALUE!</v>
      </c>
      <c r="F182" s="319" t="e">
        <f t="shared" si="22"/>
        <v>#VALUE!</v>
      </c>
      <c r="G182" s="319" t="e">
        <f t="shared" si="17"/>
        <v>#VALUE!</v>
      </c>
      <c r="H182" s="318" t="e">
        <f t="shared" si="23"/>
        <v>#VALUE!</v>
      </c>
      <c r="I182" s="505" t="e">
        <f t="shared" si="18"/>
        <v>#VALUE!</v>
      </c>
      <c r="J182" s="506"/>
      <c r="K182" s="319" t="e">
        <f>IF($E$37&gt;B182,0,$E$36 IF(B182&gt;$E$21,0,$E$36))</f>
        <v>#VALUE!</v>
      </c>
      <c r="L182" s="507" t="e">
        <f>IF($F$37&gt;B182,0,$F$36 IF(B182&gt;$E$21,0,$F$36))</f>
        <v>#VALUE!</v>
      </c>
      <c r="M182" s="506"/>
      <c r="N182" s="505" t="e">
        <f t="shared" si="19"/>
        <v>#VALUE!</v>
      </c>
      <c r="O182" s="506"/>
      <c r="P182" s="305" t="e">
        <f t="shared" si="20"/>
        <v>#VALUE!</v>
      </c>
    </row>
    <row r="183" spans="2:16" s="299" customFormat="1" ht="12.6" customHeight="1">
      <c r="B183" s="315" t="e">
        <f t="shared" si="14"/>
        <v>#VALUE!</v>
      </c>
      <c r="C183" s="316" t="e">
        <f t="shared" si="21"/>
        <v>#VALUE!</v>
      </c>
      <c r="D183" s="317" t="e">
        <f t="shared" si="15"/>
        <v>#VALUE!</v>
      </c>
      <c r="E183" s="318" t="e">
        <f t="shared" si="16"/>
        <v>#VALUE!</v>
      </c>
      <c r="F183" s="319" t="e">
        <f t="shared" si="22"/>
        <v>#VALUE!</v>
      </c>
      <c r="G183" s="319" t="e">
        <f t="shared" si="17"/>
        <v>#VALUE!</v>
      </c>
      <c r="H183" s="318" t="e">
        <f t="shared" si="23"/>
        <v>#VALUE!</v>
      </c>
      <c r="I183" s="505" t="e">
        <f t="shared" si="18"/>
        <v>#VALUE!</v>
      </c>
      <c r="J183" s="506"/>
      <c r="K183" s="319" t="e">
        <f>IF($E$37&gt;B183,0,$E$36 IF(B183&gt;$E$21,0,$E$36))</f>
        <v>#VALUE!</v>
      </c>
      <c r="L183" s="507" t="e">
        <f>IF($F$37&gt;B183,0,$F$36 IF(B183&gt;$E$21,0,$F$36))</f>
        <v>#VALUE!</v>
      </c>
      <c r="M183" s="506"/>
      <c r="N183" s="505" t="e">
        <f t="shared" si="19"/>
        <v>#VALUE!</v>
      </c>
      <c r="O183" s="506"/>
      <c r="P183" s="305" t="e">
        <f t="shared" si="20"/>
        <v>#VALUE!</v>
      </c>
    </row>
    <row r="184" spans="2:16" s="299" customFormat="1" ht="12.6" customHeight="1">
      <c r="B184" s="315" t="e">
        <f t="shared" si="14"/>
        <v>#VALUE!</v>
      </c>
      <c r="C184" s="316" t="e">
        <f t="shared" si="21"/>
        <v>#VALUE!</v>
      </c>
      <c r="D184" s="317" t="e">
        <f t="shared" si="15"/>
        <v>#VALUE!</v>
      </c>
      <c r="E184" s="318" t="e">
        <f t="shared" si="16"/>
        <v>#VALUE!</v>
      </c>
      <c r="F184" s="319" t="e">
        <f t="shared" si="22"/>
        <v>#VALUE!</v>
      </c>
      <c r="G184" s="319" t="e">
        <f t="shared" si="17"/>
        <v>#VALUE!</v>
      </c>
      <c r="H184" s="318" t="e">
        <f t="shared" si="23"/>
        <v>#VALUE!</v>
      </c>
      <c r="I184" s="505" t="e">
        <f t="shared" si="18"/>
        <v>#VALUE!</v>
      </c>
      <c r="J184" s="506"/>
      <c r="K184" s="319" t="e">
        <f>IF($E$37&gt;B184,0,$E$36 IF(B184&gt;$E$21,0,$E$36))</f>
        <v>#VALUE!</v>
      </c>
      <c r="L184" s="507" t="e">
        <f>IF($F$37&gt;B184,0,$F$36 IF(B184&gt;$E$21,0,$F$36))</f>
        <v>#VALUE!</v>
      </c>
      <c r="M184" s="506"/>
      <c r="N184" s="505" t="e">
        <f t="shared" si="19"/>
        <v>#VALUE!</v>
      </c>
      <c r="O184" s="506"/>
      <c r="P184" s="305" t="e">
        <f t="shared" si="20"/>
        <v>#VALUE!</v>
      </c>
    </row>
    <row r="185" spans="2:16" s="299" customFormat="1" ht="12.6" customHeight="1">
      <c r="B185" s="315" t="e">
        <f t="shared" si="14"/>
        <v>#VALUE!</v>
      </c>
      <c r="C185" s="316" t="e">
        <f t="shared" si="21"/>
        <v>#VALUE!</v>
      </c>
      <c r="D185" s="317" t="e">
        <f t="shared" si="15"/>
        <v>#VALUE!</v>
      </c>
      <c r="E185" s="318" t="e">
        <f t="shared" si="16"/>
        <v>#VALUE!</v>
      </c>
      <c r="F185" s="319" t="e">
        <f t="shared" si="22"/>
        <v>#VALUE!</v>
      </c>
      <c r="G185" s="319" t="e">
        <f t="shared" si="17"/>
        <v>#VALUE!</v>
      </c>
      <c r="H185" s="318" t="e">
        <f t="shared" si="23"/>
        <v>#VALUE!</v>
      </c>
      <c r="I185" s="505" t="e">
        <f t="shared" si="18"/>
        <v>#VALUE!</v>
      </c>
      <c r="J185" s="506"/>
      <c r="K185" s="319" t="e">
        <f>IF($E$37&gt;B185,0,$E$36 IF(B185&gt;$E$21,0,$E$36))</f>
        <v>#VALUE!</v>
      </c>
      <c r="L185" s="507" t="e">
        <f>IF($F$37&gt;B185,0,$F$36 IF(B185&gt;$E$21,0,$F$36))</f>
        <v>#VALUE!</v>
      </c>
      <c r="M185" s="506"/>
      <c r="N185" s="505" t="e">
        <f t="shared" si="19"/>
        <v>#VALUE!</v>
      </c>
      <c r="O185" s="506"/>
      <c r="P185" s="305" t="e">
        <f t="shared" si="20"/>
        <v>#VALUE!</v>
      </c>
    </row>
    <row r="186" spans="2:16" s="299" customFormat="1" ht="12.6" customHeight="1">
      <c r="B186" s="315" t="e">
        <f t="shared" si="14"/>
        <v>#VALUE!</v>
      </c>
      <c r="C186" s="316" t="e">
        <f t="shared" si="21"/>
        <v>#VALUE!</v>
      </c>
      <c r="D186" s="317" t="e">
        <f t="shared" si="15"/>
        <v>#VALUE!</v>
      </c>
      <c r="E186" s="318" t="e">
        <f t="shared" si="16"/>
        <v>#VALUE!</v>
      </c>
      <c r="F186" s="319" t="e">
        <f t="shared" si="22"/>
        <v>#VALUE!</v>
      </c>
      <c r="G186" s="319" t="e">
        <f t="shared" si="17"/>
        <v>#VALUE!</v>
      </c>
      <c r="H186" s="318" t="e">
        <f t="shared" si="23"/>
        <v>#VALUE!</v>
      </c>
      <c r="I186" s="505" t="e">
        <f t="shared" si="18"/>
        <v>#VALUE!</v>
      </c>
      <c r="J186" s="506"/>
      <c r="K186" s="319" t="e">
        <f>IF($E$37&gt;B186,0,$E$36 IF(B186&gt;$E$21,0,$E$36))</f>
        <v>#VALUE!</v>
      </c>
      <c r="L186" s="507" t="e">
        <f>IF($F$37&gt;B186,0,$F$36 IF(B186&gt;$E$21,0,$F$36))</f>
        <v>#VALUE!</v>
      </c>
      <c r="M186" s="506"/>
      <c r="N186" s="505" t="e">
        <f t="shared" si="19"/>
        <v>#VALUE!</v>
      </c>
      <c r="O186" s="506"/>
      <c r="P186" s="305" t="e">
        <f t="shared" si="20"/>
        <v>#VALUE!</v>
      </c>
    </row>
    <row r="187" spans="2:16" s="299" customFormat="1" ht="12.6" customHeight="1">
      <c r="B187" s="315" t="e">
        <f t="shared" si="14"/>
        <v>#VALUE!</v>
      </c>
      <c r="C187" s="316" t="e">
        <f t="shared" si="21"/>
        <v>#VALUE!</v>
      </c>
      <c r="D187" s="317" t="e">
        <f t="shared" si="15"/>
        <v>#VALUE!</v>
      </c>
      <c r="E187" s="318" t="e">
        <f t="shared" si="16"/>
        <v>#VALUE!</v>
      </c>
      <c r="F187" s="319" t="e">
        <f t="shared" si="22"/>
        <v>#VALUE!</v>
      </c>
      <c r="G187" s="319" t="e">
        <f t="shared" si="17"/>
        <v>#VALUE!</v>
      </c>
      <c r="H187" s="318" t="e">
        <f t="shared" si="23"/>
        <v>#VALUE!</v>
      </c>
      <c r="I187" s="505" t="e">
        <f t="shared" si="18"/>
        <v>#VALUE!</v>
      </c>
      <c r="J187" s="506"/>
      <c r="K187" s="319" t="e">
        <f>IF($E$37&gt;B187,0,$E$36 IF(B187&gt;$E$21,0,$E$36))</f>
        <v>#VALUE!</v>
      </c>
      <c r="L187" s="507" t="e">
        <f>IF($F$37&gt;B187,0,$F$36 IF(B187&gt;$E$21,0,$F$36))</f>
        <v>#VALUE!</v>
      </c>
      <c r="M187" s="506"/>
      <c r="N187" s="505" t="e">
        <f t="shared" si="19"/>
        <v>#VALUE!</v>
      </c>
      <c r="O187" s="506"/>
      <c r="P187" s="305" t="e">
        <f t="shared" si="20"/>
        <v>#VALUE!</v>
      </c>
    </row>
    <row r="188" spans="2:16" s="299" customFormat="1" ht="12.6" customHeight="1">
      <c r="B188" s="315" t="e">
        <f t="shared" si="14"/>
        <v>#VALUE!</v>
      </c>
      <c r="C188" s="316" t="e">
        <f t="shared" si="21"/>
        <v>#VALUE!</v>
      </c>
      <c r="D188" s="317" t="e">
        <f t="shared" si="15"/>
        <v>#VALUE!</v>
      </c>
      <c r="E188" s="318" t="e">
        <f t="shared" si="16"/>
        <v>#VALUE!</v>
      </c>
      <c r="F188" s="319" t="e">
        <f t="shared" si="22"/>
        <v>#VALUE!</v>
      </c>
      <c r="G188" s="319" t="e">
        <f t="shared" si="17"/>
        <v>#VALUE!</v>
      </c>
      <c r="H188" s="318" t="e">
        <f t="shared" si="23"/>
        <v>#VALUE!</v>
      </c>
      <c r="I188" s="505" t="e">
        <f t="shared" si="18"/>
        <v>#VALUE!</v>
      </c>
      <c r="J188" s="506"/>
      <c r="K188" s="319" t="e">
        <f>IF($E$37&gt;B188,0,$E$36 IF(B188&gt;$E$21,0,$E$36))</f>
        <v>#VALUE!</v>
      </c>
      <c r="L188" s="507" t="e">
        <f>IF($F$37&gt;B188,0,$F$36 IF(B188&gt;$E$21,0,$F$36))</f>
        <v>#VALUE!</v>
      </c>
      <c r="M188" s="506"/>
      <c r="N188" s="505" t="e">
        <f t="shared" si="19"/>
        <v>#VALUE!</v>
      </c>
      <c r="O188" s="506"/>
      <c r="P188" s="305" t="e">
        <f t="shared" si="20"/>
        <v>#VALUE!</v>
      </c>
    </row>
    <row r="189" spans="2:16" s="299" customFormat="1" ht="12.6" customHeight="1">
      <c r="B189" s="315" t="e">
        <f t="shared" si="14"/>
        <v>#VALUE!</v>
      </c>
      <c r="C189" s="316" t="e">
        <f t="shared" si="21"/>
        <v>#VALUE!</v>
      </c>
      <c r="D189" s="317" t="e">
        <f t="shared" si="15"/>
        <v>#VALUE!</v>
      </c>
      <c r="E189" s="318" t="e">
        <f t="shared" si="16"/>
        <v>#VALUE!</v>
      </c>
      <c r="F189" s="319" t="e">
        <f t="shared" si="22"/>
        <v>#VALUE!</v>
      </c>
      <c r="G189" s="319" t="e">
        <f t="shared" si="17"/>
        <v>#VALUE!</v>
      </c>
      <c r="H189" s="318" t="e">
        <f t="shared" si="23"/>
        <v>#VALUE!</v>
      </c>
      <c r="I189" s="505" t="e">
        <f t="shared" si="18"/>
        <v>#VALUE!</v>
      </c>
      <c r="J189" s="506"/>
      <c r="K189" s="319" t="e">
        <f>IF($E$37&gt;B189,0,$E$36 IF(B189&gt;$E$21,0,$E$36))</f>
        <v>#VALUE!</v>
      </c>
      <c r="L189" s="507" t="e">
        <f>IF($F$37&gt;B189,0,$F$36 IF(B189&gt;$E$21,0,$F$36))</f>
        <v>#VALUE!</v>
      </c>
      <c r="M189" s="506"/>
      <c r="N189" s="505" t="e">
        <f t="shared" si="19"/>
        <v>#VALUE!</v>
      </c>
      <c r="O189" s="506"/>
      <c r="P189" s="305" t="e">
        <f t="shared" si="20"/>
        <v>#VALUE!</v>
      </c>
    </row>
    <row r="190" spans="2:16" s="299" customFormat="1" ht="12.6" customHeight="1">
      <c r="B190" s="315" t="e">
        <f t="shared" si="14"/>
        <v>#VALUE!</v>
      </c>
      <c r="C190" s="316" t="e">
        <f t="shared" si="21"/>
        <v>#VALUE!</v>
      </c>
      <c r="D190" s="317" t="e">
        <f t="shared" si="15"/>
        <v>#VALUE!</v>
      </c>
      <c r="E190" s="318" t="e">
        <f t="shared" si="16"/>
        <v>#VALUE!</v>
      </c>
      <c r="F190" s="319" t="e">
        <f t="shared" si="22"/>
        <v>#VALUE!</v>
      </c>
      <c r="G190" s="319" t="e">
        <f t="shared" si="17"/>
        <v>#VALUE!</v>
      </c>
      <c r="H190" s="318" t="e">
        <f t="shared" si="23"/>
        <v>#VALUE!</v>
      </c>
      <c r="I190" s="505" t="e">
        <f t="shared" si="18"/>
        <v>#VALUE!</v>
      </c>
      <c r="J190" s="506"/>
      <c r="K190" s="319" t="e">
        <f>IF($E$37&gt;B190,0,$E$36 IF(B190&gt;$E$21,0,$E$36))</f>
        <v>#VALUE!</v>
      </c>
      <c r="L190" s="507" t="e">
        <f>IF($F$37&gt;B190,0,$F$36 IF(B190&gt;$E$21,0,$F$36))</f>
        <v>#VALUE!</v>
      </c>
      <c r="M190" s="506"/>
      <c r="N190" s="505" t="e">
        <f t="shared" si="19"/>
        <v>#VALUE!</v>
      </c>
      <c r="O190" s="506"/>
      <c r="P190" s="305" t="e">
        <f t="shared" si="20"/>
        <v>#VALUE!</v>
      </c>
    </row>
    <row r="191" spans="2:16" s="299" customFormat="1" ht="12.6" customHeight="1">
      <c r="B191" s="315" t="e">
        <f t="shared" si="14"/>
        <v>#VALUE!</v>
      </c>
      <c r="C191" s="316" t="e">
        <f t="shared" si="21"/>
        <v>#VALUE!</v>
      </c>
      <c r="D191" s="317" t="e">
        <f t="shared" si="15"/>
        <v>#VALUE!</v>
      </c>
      <c r="E191" s="318" t="e">
        <f t="shared" si="16"/>
        <v>#VALUE!</v>
      </c>
      <c r="F191" s="319" t="e">
        <f t="shared" si="22"/>
        <v>#VALUE!</v>
      </c>
      <c r="G191" s="319" t="e">
        <f t="shared" si="17"/>
        <v>#VALUE!</v>
      </c>
      <c r="H191" s="318" t="e">
        <f t="shared" si="23"/>
        <v>#VALUE!</v>
      </c>
      <c r="I191" s="505" t="e">
        <f t="shared" si="18"/>
        <v>#VALUE!</v>
      </c>
      <c r="J191" s="506"/>
      <c r="K191" s="319" t="e">
        <f>IF($E$37&gt;B191,0,$E$36 IF(B191&gt;$E$21,0,$E$36))</f>
        <v>#VALUE!</v>
      </c>
      <c r="L191" s="507" t="e">
        <f>IF($F$37&gt;B191,0,$F$36 IF(B191&gt;$E$21,0,$F$36))</f>
        <v>#VALUE!</v>
      </c>
      <c r="M191" s="506"/>
      <c r="N191" s="505" t="e">
        <f t="shared" si="19"/>
        <v>#VALUE!</v>
      </c>
      <c r="O191" s="506"/>
      <c r="P191" s="305" t="e">
        <f t="shared" si="20"/>
        <v>#VALUE!</v>
      </c>
    </row>
    <row r="192" spans="2:16" s="299" customFormat="1" ht="12.6" customHeight="1">
      <c r="B192" s="315" t="e">
        <f t="shared" si="14"/>
        <v>#VALUE!</v>
      </c>
      <c r="C192" s="316" t="e">
        <f t="shared" si="21"/>
        <v>#VALUE!</v>
      </c>
      <c r="D192" s="317" t="e">
        <f t="shared" si="15"/>
        <v>#VALUE!</v>
      </c>
      <c r="E192" s="318" t="e">
        <f t="shared" si="16"/>
        <v>#VALUE!</v>
      </c>
      <c r="F192" s="319" t="e">
        <f t="shared" si="22"/>
        <v>#VALUE!</v>
      </c>
      <c r="G192" s="319" t="e">
        <f t="shared" si="17"/>
        <v>#VALUE!</v>
      </c>
      <c r="H192" s="318" t="e">
        <f t="shared" si="23"/>
        <v>#VALUE!</v>
      </c>
      <c r="I192" s="505" t="e">
        <f t="shared" si="18"/>
        <v>#VALUE!</v>
      </c>
      <c r="J192" s="506"/>
      <c r="K192" s="319" t="e">
        <f>IF($E$37&gt;B192,0,$E$36 IF(B192&gt;$E$21,0,$E$36))</f>
        <v>#VALUE!</v>
      </c>
      <c r="L192" s="507" t="e">
        <f>IF($F$37&gt;B192,0,$F$36 IF(B192&gt;$E$21,0,$F$36))</f>
        <v>#VALUE!</v>
      </c>
      <c r="M192" s="506"/>
      <c r="N192" s="505" t="e">
        <f t="shared" si="19"/>
        <v>#VALUE!</v>
      </c>
      <c r="O192" s="506"/>
      <c r="P192" s="305" t="e">
        <f t="shared" si="20"/>
        <v>#VALUE!</v>
      </c>
    </row>
    <row r="193" spans="2:16" s="299" customFormat="1" ht="12.6" customHeight="1">
      <c r="B193" s="315" t="e">
        <f t="shared" si="14"/>
        <v>#VALUE!</v>
      </c>
      <c r="C193" s="316" t="e">
        <f t="shared" si="21"/>
        <v>#VALUE!</v>
      </c>
      <c r="D193" s="317" t="e">
        <f t="shared" si="15"/>
        <v>#VALUE!</v>
      </c>
      <c r="E193" s="318" t="e">
        <f t="shared" si="16"/>
        <v>#VALUE!</v>
      </c>
      <c r="F193" s="319" t="e">
        <f t="shared" si="22"/>
        <v>#VALUE!</v>
      </c>
      <c r="G193" s="319" t="e">
        <f t="shared" si="17"/>
        <v>#VALUE!</v>
      </c>
      <c r="H193" s="318" t="e">
        <f t="shared" si="23"/>
        <v>#VALUE!</v>
      </c>
      <c r="I193" s="505" t="e">
        <f t="shared" si="18"/>
        <v>#VALUE!</v>
      </c>
      <c r="J193" s="506"/>
      <c r="K193" s="319" t="e">
        <f>IF($E$37&gt;B193,0,$E$36 IF(B193&gt;$E$21,0,$E$36))</f>
        <v>#VALUE!</v>
      </c>
      <c r="L193" s="507" t="e">
        <f>IF($F$37&gt;B193,0,$F$36 IF(B193&gt;$E$21,0,$F$36))</f>
        <v>#VALUE!</v>
      </c>
      <c r="M193" s="506"/>
      <c r="N193" s="505" t="e">
        <f t="shared" si="19"/>
        <v>#VALUE!</v>
      </c>
      <c r="O193" s="506"/>
      <c r="P193" s="305" t="e">
        <f t="shared" si="20"/>
        <v>#VALUE!</v>
      </c>
    </row>
    <row r="194" spans="2:16" s="299" customFormat="1" ht="12.6" customHeight="1">
      <c r="B194" s="315" t="e">
        <f t="shared" si="14"/>
        <v>#VALUE!</v>
      </c>
      <c r="C194" s="316" t="e">
        <f t="shared" si="21"/>
        <v>#VALUE!</v>
      </c>
      <c r="D194" s="317" t="e">
        <f t="shared" si="15"/>
        <v>#VALUE!</v>
      </c>
      <c r="E194" s="318" t="e">
        <f t="shared" si="16"/>
        <v>#VALUE!</v>
      </c>
      <c r="F194" s="319" t="e">
        <f t="shared" si="22"/>
        <v>#VALUE!</v>
      </c>
      <c r="G194" s="319" t="e">
        <f t="shared" si="17"/>
        <v>#VALUE!</v>
      </c>
      <c r="H194" s="318" t="e">
        <f t="shared" si="23"/>
        <v>#VALUE!</v>
      </c>
      <c r="I194" s="505" t="e">
        <f t="shared" si="18"/>
        <v>#VALUE!</v>
      </c>
      <c r="J194" s="506"/>
      <c r="K194" s="319" t="e">
        <f>IF($E$37&gt;B194,0,$E$36 IF(B194&gt;$E$21,0,$E$36))</f>
        <v>#VALUE!</v>
      </c>
      <c r="L194" s="507" t="e">
        <f>IF($F$37&gt;B194,0,$F$36 IF(B194&gt;$E$21,0,$F$36))</f>
        <v>#VALUE!</v>
      </c>
      <c r="M194" s="506"/>
      <c r="N194" s="505" t="e">
        <f t="shared" si="19"/>
        <v>#VALUE!</v>
      </c>
      <c r="O194" s="506"/>
      <c r="P194" s="305" t="e">
        <f t="shared" si="20"/>
        <v>#VALUE!</v>
      </c>
    </row>
    <row r="195" spans="2:16" s="299" customFormat="1" ht="12.6" customHeight="1">
      <c r="B195" s="315" t="e">
        <f t="shared" si="14"/>
        <v>#VALUE!</v>
      </c>
      <c r="C195" s="316" t="e">
        <f t="shared" si="21"/>
        <v>#VALUE!</v>
      </c>
      <c r="D195" s="317" t="e">
        <f t="shared" si="15"/>
        <v>#VALUE!</v>
      </c>
      <c r="E195" s="318" t="e">
        <f t="shared" si="16"/>
        <v>#VALUE!</v>
      </c>
      <c r="F195" s="319" t="e">
        <f t="shared" si="22"/>
        <v>#VALUE!</v>
      </c>
      <c r="G195" s="319" t="e">
        <f t="shared" si="17"/>
        <v>#VALUE!</v>
      </c>
      <c r="H195" s="318" t="e">
        <f t="shared" si="23"/>
        <v>#VALUE!</v>
      </c>
      <c r="I195" s="505" t="e">
        <f t="shared" si="18"/>
        <v>#VALUE!</v>
      </c>
      <c r="J195" s="506"/>
      <c r="K195" s="319" t="e">
        <f>IF($E$37&gt;B195,0,$E$36 IF(B195&gt;$E$21,0,$E$36))</f>
        <v>#VALUE!</v>
      </c>
      <c r="L195" s="507" t="e">
        <f>IF($F$37&gt;B195,0,$F$36 IF(B195&gt;$E$21,0,$F$36))</f>
        <v>#VALUE!</v>
      </c>
      <c r="M195" s="506"/>
      <c r="N195" s="505" t="e">
        <f t="shared" si="19"/>
        <v>#VALUE!</v>
      </c>
      <c r="O195" s="506"/>
      <c r="P195" s="305" t="e">
        <f t="shared" si="20"/>
        <v>#VALUE!</v>
      </c>
    </row>
    <row r="196" spans="2:16" s="299" customFormat="1" ht="12.6" customHeight="1">
      <c r="B196" s="315" t="e">
        <f t="shared" si="14"/>
        <v>#VALUE!</v>
      </c>
      <c r="C196" s="316" t="e">
        <f t="shared" si="21"/>
        <v>#VALUE!</v>
      </c>
      <c r="D196" s="317" t="e">
        <f t="shared" si="15"/>
        <v>#VALUE!</v>
      </c>
      <c r="E196" s="318" t="e">
        <f t="shared" si="16"/>
        <v>#VALUE!</v>
      </c>
      <c r="F196" s="319" t="e">
        <f t="shared" si="22"/>
        <v>#VALUE!</v>
      </c>
      <c r="G196" s="319" t="e">
        <f t="shared" si="17"/>
        <v>#VALUE!</v>
      </c>
      <c r="H196" s="318" t="e">
        <f t="shared" si="23"/>
        <v>#VALUE!</v>
      </c>
      <c r="I196" s="505" t="e">
        <f t="shared" si="18"/>
        <v>#VALUE!</v>
      </c>
      <c r="J196" s="506"/>
      <c r="K196" s="319" t="e">
        <f>IF($E$37&gt;B196,0,$E$36 IF(B196&gt;$E$21,0,$E$36))</f>
        <v>#VALUE!</v>
      </c>
      <c r="L196" s="507" t="e">
        <f>IF($F$37&gt;B196,0,$F$36 IF(B196&gt;$E$21,0,$F$36))</f>
        <v>#VALUE!</v>
      </c>
      <c r="M196" s="506"/>
      <c r="N196" s="505" t="e">
        <f t="shared" si="19"/>
        <v>#VALUE!</v>
      </c>
      <c r="O196" s="506"/>
      <c r="P196" s="305" t="e">
        <f t="shared" si="20"/>
        <v>#VALUE!</v>
      </c>
    </row>
    <row r="197" spans="2:16" s="299" customFormat="1" ht="12.6" customHeight="1">
      <c r="B197" s="315" t="e">
        <f t="shared" si="14"/>
        <v>#VALUE!</v>
      </c>
      <c r="C197" s="316" t="e">
        <f t="shared" si="21"/>
        <v>#VALUE!</v>
      </c>
      <c r="D197" s="317" t="e">
        <f t="shared" si="15"/>
        <v>#VALUE!</v>
      </c>
      <c r="E197" s="318" t="e">
        <f t="shared" si="16"/>
        <v>#VALUE!</v>
      </c>
      <c r="F197" s="319" t="e">
        <f t="shared" si="22"/>
        <v>#VALUE!</v>
      </c>
      <c r="G197" s="319" t="e">
        <f t="shared" si="17"/>
        <v>#VALUE!</v>
      </c>
      <c r="H197" s="318" t="e">
        <f t="shared" si="23"/>
        <v>#VALUE!</v>
      </c>
      <c r="I197" s="505" t="e">
        <f t="shared" si="18"/>
        <v>#VALUE!</v>
      </c>
      <c r="J197" s="506"/>
      <c r="K197" s="319" t="e">
        <f>IF($E$37&gt;B197,0,$E$36 IF(B197&gt;$E$21,0,$E$36))</f>
        <v>#VALUE!</v>
      </c>
      <c r="L197" s="507" t="e">
        <f>IF($F$37&gt;B197,0,$F$36 IF(B197&gt;$E$21,0,$F$36))</f>
        <v>#VALUE!</v>
      </c>
      <c r="M197" s="506"/>
      <c r="N197" s="505" t="e">
        <f t="shared" si="19"/>
        <v>#VALUE!</v>
      </c>
      <c r="O197" s="506"/>
      <c r="P197" s="305" t="e">
        <f t="shared" si="20"/>
        <v>#VALUE!</v>
      </c>
    </row>
    <row r="198" spans="2:16" s="299" customFormat="1" ht="12.6" customHeight="1">
      <c r="B198" s="315" t="e">
        <f t="shared" si="14"/>
        <v>#VALUE!</v>
      </c>
      <c r="C198" s="316" t="e">
        <f t="shared" si="21"/>
        <v>#VALUE!</v>
      </c>
      <c r="D198" s="317" t="e">
        <f t="shared" si="15"/>
        <v>#VALUE!</v>
      </c>
      <c r="E198" s="318" t="e">
        <f t="shared" si="16"/>
        <v>#VALUE!</v>
      </c>
      <c r="F198" s="319" t="e">
        <f t="shared" si="22"/>
        <v>#VALUE!</v>
      </c>
      <c r="G198" s="319" t="e">
        <f t="shared" si="17"/>
        <v>#VALUE!</v>
      </c>
      <c r="H198" s="318" t="e">
        <f t="shared" si="23"/>
        <v>#VALUE!</v>
      </c>
      <c r="I198" s="505" t="e">
        <f t="shared" si="18"/>
        <v>#VALUE!</v>
      </c>
      <c r="J198" s="506"/>
      <c r="K198" s="319" t="e">
        <f>IF($E$37&gt;B198,0,$E$36 IF(B198&gt;$E$21,0,$E$36))</f>
        <v>#VALUE!</v>
      </c>
      <c r="L198" s="507" t="e">
        <f>IF($F$37&gt;B198,0,$F$36 IF(B198&gt;$E$21,0,$F$36))</f>
        <v>#VALUE!</v>
      </c>
      <c r="M198" s="506"/>
      <c r="N198" s="505" t="e">
        <f t="shared" si="19"/>
        <v>#VALUE!</v>
      </c>
      <c r="O198" s="506"/>
      <c r="P198" s="305" t="e">
        <f t="shared" si="20"/>
        <v>#VALUE!</v>
      </c>
    </row>
    <row r="199" spans="2:16" s="299" customFormat="1" ht="12.6" customHeight="1">
      <c r="B199" s="315" t="e">
        <f t="shared" ref="B199:B262" si="24">IF(B198+1&lt;=$E$21,B198+1,IF(B198&gt;=$E$21,"",IF(B198="","")))</f>
        <v>#VALUE!</v>
      </c>
      <c r="C199" s="316" t="e">
        <f t="shared" si="21"/>
        <v>#VALUE!</v>
      </c>
      <c r="D199" s="317" t="e">
        <f t="shared" ref="D199:D262" si="25">VLOOKUP(B199,$G$9:$I$29,3)</f>
        <v>#VALUE!</v>
      </c>
      <c r="E199" s="318" t="e">
        <f t="shared" ref="E199:E262" si="26">D199*$E$8/12</f>
        <v>#VALUE!</v>
      </c>
      <c r="F199" s="319" t="e">
        <f t="shared" si="22"/>
        <v>#VALUE!</v>
      </c>
      <c r="G199" s="319" t="e">
        <f t="shared" ref="G199:G262" si="27">IF($C$16="Base Rent",$B$16*E199,IF($C$16="Gross Rent",$B$16*(H199+E199)))</f>
        <v>#VALUE!</v>
      </c>
      <c r="H199" s="318" t="e">
        <f t="shared" si="23"/>
        <v>#VALUE!</v>
      </c>
      <c r="I199" s="505" t="e">
        <f t="shared" ref="I199:I262" si="28">SUM(F199:H199)</f>
        <v>#VALUE!</v>
      </c>
      <c r="J199" s="506"/>
      <c r="K199" s="319" t="e">
        <f>IF($E$37&gt;B199,0,$E$36 IF(B199&gt;$E$21,0,$E$36))</f>
        <v>#VALUE!</v>
      </c>
      <c r="L199" s="507" t="e">
        <f>IF($F$37&gt;B199,0,$F$36 IF(B199&gt;$E$21,0,$F$36))</f>
        <v>#VALUE!</v>
      </c>
      <c r="M199" s="506"/>
      <c r="N199" s="505" t="e">
        <f t="shared" ref="N199:N262" si="29">SUM(L199,K199,I199,E199)</f>
        <v>#VALUE!</v>
      </c>
      <c r="O199" s="506"/>
      <c r="P199" s="305" t="e">
        <f t="shared" ref="P199:P262" si="30">+N199/$E$8*12</f>
        <v>#VALUE!</v>
      </c>
    </row>
    <row r="200" spans="2:16" s="299" customFormat="1" ht="12.6" customHeight="1">
      <c r="B200" s="315" t="e">
        <f t="shared" si="24"/>
        <v>#VALUE!</v>
      </c>
      <c r="C200" s="316" t="e">
        <f t="shared" ref="C200:C263" si="31">IF(B200&gt;$E$21,"", DATE(YEAR(C199),MONTH(C199)+1,DAY(C199)))</f>
        <v>#VALUE!</v>
      </c>
      <c r="D200" s="317" t="e">
        <f t="shared" si="25"/>
        <v>#VALUE!</v>
      </c>
      <c r="E200" s="318" t="e">
        <f t="shared" si="26"/>
        <v>#VALUE!</v>
      </c>
      <c r="F200" s="319" t="e">
        <f t="shared" ref="F200:F263" si="32">IF($C$17="Gross Rent",$B$17*(H200+E200),IF($C$17="Base Rent",$B$17*E200))</f>
        <v>#VALUE!</v>
      </c>
      <c r="G200" s="319" t="e">
        <f t="shared" si="27"/>
        <v>#VALUE!</v>
      </c>
      <c r="H200" s="318" t="e">
        <f t="shared" ref="H200:H263" si="33">IF(MONTH(C200)=MONTH($E$19),((H199*(1+$E$18))),H199)</f>
        <v>#VALUE!</v>
      </c>
      <c r="I200" s="505" t="e">
        <f t="shared" si="28"/>
        <v>#VALUE!</v>
      </c>
      <c r="J200" s="506"/>
      <c r="K200" s="319" t="e">
        <f>IF($E$37&gt;B200,0,$E$36 IF(B200&gt;$E$21,0,$E$36))</f>
        <v>#VALUE!</v>
      </c>
      <c r="L200" s="507" t="e">
        <f>IF($F$37&gt;B200,0,$F$36 IF(B200&gt;$E$21,0,$F$36))</f>
        <v>#VALUE!</v>
      </c>
      <c r="M200" s="506"/>
      <c r="N200" s="505" t="e">
        <f t="shared" si="29"/>
        <v>#VALUE!</v>
      </c>
      <c r="O200" s="506"/>
      <c r="P200" s="305" t="e">
        <f t="shared" si="30"/>
        <v>#VALUE!</v>
      </c>
    </row>
    <row r="201" spans="2:16" s="299" customFormat="1" ht="12.6" customHeight="1">
      <c r="B201" s="315" t="e">
        <f t="shared" si="24"/>
        <v>#VALUE!</v>
      </c>
      <c r="C201" s="316" t="e">
        <f t="shared" si="31"/>
        <v>#VALUE!</v>
      </c>
      <c r="D201" s="317" t="e">
        <f t="shared" si="25"/>
        <v>#VALUE!</v>
      </c>
      <c r="E201" s="318" t="e">
        <f t="shared" si="26"/>
        <v>#VALUE!</v>
      </c>
      <c r="F201" s="319" t="e">
        <f t="shared" si="32"/>
        <v>#VALUE!</v>
      </c>
      <c r="G201" s="319" t="e">
        <f t="shared" si="27"/>
        <v>#VALUE!</v>
      </c>
      <c r="H201" s="318" t="e">
        <f t="shared" si="33"/>
        <v>#VALUE!</v>
      </c>
      <c r="I201" s="505" t="e">
        <f t="shared" si="28"/>
        <v>#VALUE!</v>
      </c>
      <c r="J201" s="506"/>
      <c r="K201" s="319" t="e">
        <f>IF($E$37&gt;B201,0,$E$36 IF(B201&gt;$E$21,0,$E$36))</f>
        <v>#VALUE!</v>
      </c>
      <c r="L201" s="507" t="e">
        <f>IF($F$37&gt;B201,0,$F$36 IF(B201&gt;$E$21,0,$F$36))</f>
        <v>#VALUE!</v>
      </c>
      <c r="M201" s="506"/>
      <c r="N201" s="505" t="e">
        <f t="shared" si="29"/>
        <v>#VALUE!</v>
      </c>
      <c r="O201" s="506"/>
      <c r="P201" s="305" t="e">
        <f t="shared" si="30"/>
        <v>#VALUE!</v>
      </c>
    </row>
    <row r="202" spans="2:16" s="299" customFormat="1" ht="12.6" customHeight="1">
      <c r="B202" s="315" t="e">
        <f t="shared" si="24"/>
        <v>#VALUE!</v>
      </c>
      <c r="C202" s="316" t="e">
        <f t="shared" si="31"/>
        <v>#VALUE!</v>
      </c>
      <c r="D202" s="317" t="e">
        <f t="shared" si="25"/>
        <v>#VALUE!</v>
      </c>
      <c r="E202" s="318" t="e">
        <f t="shared" si="26"/>
        <v>#VALUE!</v>
      </c>
      <c r="F202" s="319" t="e">
        <f t="shared" si="32"/>
        <v>#VALUE!</v>
      </c>
      <c r="G202" s="319" t="e">
        <f t="shared" si="27"/>
        <v>#VALUE!</v>
      </c>
      <c r="H202" s="318" t="e">
        <f t="shared" si="33"/>
        <v>#VALUE!</v>
      </c>
      <c r="I202" s="505" t="e">
        <f t="shared" si="28"/>
        <v>#VALUE!</v>
      </c>
      <c r="J202" s="506"/>
      <c r="K202" s="319" t="e">
        <f>IF($E$37&gt;B202,0,$E$36 IF(B202&gt;$E$21,0,$E$36))</f>
        <v>#VALUE!</v>
      </c>
      <c r="L202" s="507" t="e">
        <f>IF($F$37&gt;B202,0,$F$36 IF(B202&gt;$E$21,0,$F$36))</f>
        <v>#VALUE!</v>
      </c>
      <c r="M202" s="506"/>
      <c r="N202" s="505" t="e">
        <f t="shared" si="29"/>
        <v>#VALUE!</v>
      </c>
      <c r="O202" s="506"/>
      <c r="P202" s="305" t="e">
        <f t="shared" si="30"/>
        <v>#VALUE!</v>
      </c>
    </row>
    <row r="203" spans="2:16" s="299" customFormat="1" ht="12.6" customHeight="1">
      <c r="B203" s="315" t="e">
        <f t="shared" si="24"/>
        <v>#VALUE!</v>
      </c>
      <c r="C203" s="316" t="e">
        <f t="shared" si="31"/>
        <v>#VALUE!</v>
      </c>
      <c r="D203" s="317" t="e">
        <f t="shared" si="25"/>
        <v>#VALUE!</v>
      </c>
      <c r="E203" s="318" t="e">
        <f t="shared" si="26"/>
        <v>#VALUE!</v>
      </c>
      <c r="F203" s="319" t="e">
        <f t="shared" si="32"/>
        <v>#VALUE!</v>
      </c>
      <c r="G203" s="319" t="e">
        <f t="shared" si="27"/>
        <v>#VALUE!</v>
      </c>
      <c r="H203" s="318" t="e">
        <f t="shared" si="33"/>
        <v>#VALUE!</v>
      </c>
      <c r="I203" s="505" t="e">
        <f t="shared" si="28"/>
        <v>#VALUE!</v>
      </c>
      <c r="J203" s="506"/>
      <c r="K203" s="319" t="e">
        <f>IF($E$37&gt;B203,0,$E$36 IF(B203&gt;$E$21,0,$E$36))</f>
        <v>#VALUE!</v>
      </c>
      <c r="L203" s="507" t="e">
        <f>IF($F$37&gt;B203,0,$F$36 IF(B203&gt;$E$21,0,$F$36))</f>
        <v>#VALUE!</v>
      </c>
      <c r="M203" s="506"/>
      <c r="N203" s="505" t="e">
        <f t="shared" si="29"/>
        <v>#VALUE!</v>
      </c>
      <c r="O203" s="506"/>
      <c r="P203" s="305" t="e">
        <f t="shared" si="30"/>
        <v>#VALUE!</v>
      </c>
    </row>
    <row r="204" spans="2:16" s="299" customFormat="1" ht="12.6" customHeight="1">
      <c r="B204" s="315" t="e">
        <f t="shared" si="24"/>
        <v>#VALUE!</v>
      </c>
      <c r="C204" s="316" t="e">
        <f t="shared" si="31"/>
        <v>#VALUE!</v>
      </c>
      <c r="D204" s="317" t="e">
        <f t="shared" si="25"/>
        <v>#VALUE!</v>
      </c>
      <c r="E204" s="318" t="e">
        <f t="shared" si="26"/>
        <v>#VALUE!</v>
      </c>
      <c r="F204" s="319" t="e">
        <f t="shared" si="32"/>
        <v>#VALUE!</v>
      </c>
      <c r="G204" s="319" t="e">
        <f t="shared" si="27"/>
        <v>#VALUE!</v>
      </c>
      <c r="H204" s="318" t="e">
        <f t="shared" si="33"/>
        <v>#VALUE!</v>
      </c>
      <c r="I204" s="505" t="e">
        <f t="shared" si="28"/>
        <v>#VALUE!</v>
      </c>
      <c r="J204" s="506"/>
      <c r="K204" s="319" t="e">
        <f>IF($E$37&gt;B204,0,$E$36 IF(B204&gt;$E$21,0,$E$36))</f>
        <v>#VALUE!</v>
      </c>
      <c r="L204" s="507" t="e">
        <f>IF($F$37&gt;B204,0,$F$36 IF(B204&gt;$E$21,0,$F$36))</f>
        <v>#VALUE!</v>
      </c>
      <c r="M204" s="506"/>
      <c r="N204" s="505" t="e">
        <f t="shared" si="29"/>
        <v>#VALUE!</v>
      </c>
      <c r="O204" s="506"/>
      <c r="P204" s="305" t="e">
        <f t="shared" si="30"/>
        <v>#VALUE!</v>
      </c>
    </row>
    <row r="205" spans="2:16" s="299" customFormat="1" ht="12.6" customHeight="1">
      <c r="B205" s="315" t="e">
        <f t="shared" si="24"/>
        <v>#VALUE!</v>
      </c>
      <c r="C205" s="316" t="e">
        <f t="shared" si="31"/>
        <v>#VALUE!</v>
      </c>
      <c r="D205" s="317" t="e">
        <f t="shared" si="25"/>
        <v>#VALUE!</v>
      </c>
      <c r="E205" s="318" t="e">
        <f t="shared" si="26"/>
        <v>#VALUE!</v>
      </c>
      <c r="F205" s="319" t="e">
        <f t="shared" si="32"/>
        <v>#VALUE!</v>
      </c>
      <c r="G205" s="319" t="e">
        <f t="shared" si="27"/>
        <v>#VALUE!</v>
      </c>
      <c r="H205" s="318" t="e">
        <f t="shared" si="33"/>
        <v>#VALUE!</v>
      </c>
      <c r="I205" s="505" t="e">
        <f t="shared" si="28"/>
        <v>#VALUE!</v>
      </c>
      <c r="J205" s="506"/>
      <c r="K205" s="319" t="e">
        <f>IF($E$37&gt;B205,0,$E$36 IF(B205&gt;$E$21,0,$E$36))</f>
        <v>#VALUE!</v>
      </c>
      <c r="L205" s="507" t="e">
        <f>IF($F$37&gt;B205,0,$F$36 IF(B205&gt;$E$21,0,$F$36))</f>
        <v>#VALUE!</v>
      </c>
      <c r="M205" s="506"/>
      <c r="N205" s="505" t="e">
        <f t="shared" si="29"/>
        <v>#VALUE!</v>
      </c>
      <c r="O205" s="506"/>
      <c r="P205" s="305" t="e">
        <f t="shared" si="30"/>
        <v>#VALUE!</v>
      </c>
    </row>
    <row r="206" spans="2:16" s="299" customFormat="1" ht="12.6" customHeight="1">
      <c r="B206" s="315" t="e">
        <f t="shared" si="24"/>
        <v>#VALUE!</v>
      </c>
      <c r="C206" s="316" t="e">
        <f t="shared" si="31"/>
        <v>#VALUE!</v>
      </c>
      <c r="D206" s="317" t="e">
        <f t="shared" si="25"/>
        <v>#VALUE!</v>
      </c>
      <c r="E206" s="318" t="e">
        <f t="shared" si="26"/>
        <v>#VALUE!</v>
      </c>
      <c r="F206" s="319" t="e">
        <f t="shared" si="32"/>
        <v>#VALUE!</v>
      </c>
      <c r="G206" s="319" t="e">
        <f t="shared" si="27"/>
        <v>#VALUE!</v>
      </c>
      <c r="H206" s="318" t="e">
        <f t="shared" si="33"/>
        <v>#VALUE!</v>
      </c>
      <c r="I206" s="505" t="e">
        <f t="shared" si="28"/>
        <v>#VALUE!</v>
      </c>
      <c r="J206" s="506"/>
      <c r="K206" s="319" t="e">
        <f>IF($E$37&gt;B206,0,$E$36 IF(B206&gt;$E$21,0,$E$36))</f>
        <v>#VALUE!</v>
      </c>
      <c r="L206" s="507" t="e">
        <f>IF($F$37&gt;B206,0,$F$36 IF(B206&gt;$E$21,0,$F$36))</f>
        <v>#VALUE!</v>
      </c>
      <c r="M206" s="506"/>
      <c r="N206" s="505" t="e">
        <f t="shared" si="29"/>
        <v>#VALUE!</v>
      </c>
      <c r="O206" s="506"/>
      <c r="P206" s="305" t="e">
        <f t="shared" si="30"/>
        <v>#VALUE!</v>
      </c>
    </row>
    <row r="207" spans="2:16" s="299" customFormat="1" ht="12.6" customHeight="1">
      <c r="B207" s="315" t="e">
        <f t="shared" si="24"/>
        <v>#VALUE!</v>
      </c>
      <c r="C207" s="316" t="e">
        <f t="shared" si="31"/>
        <v>#VALUE!</v>
      </c>
      <c r="D207" s="317" t="e">
        <f t="shared" si="25"/>
        <v>#VALUE!</v>
      </c>
      <c r="E207" s="318" t="e">
        <f t="shared" si="26"/>
        <v>#VALUE!</v>
      </c>
      <c r="F207" s="319" t="e">
        <f t="shared" si="32"/>
        <v>#VALUE!</v>
      </c>
      <c r="G207" s="319" t="e">
        <f t="shared" si="27"/>
        <v>#VALUE!</v>
      </c>
      <c r="H207" s="318" t="e">
        <f t="shared" si="33"/>
        <v>#VALUE!</v>
      </c>
      <c r="I207" s="505" t="e">
        <f t="shared" si="28"/>
        <v>#VALUE!</v>
      </c>
      <c r="J207" s="506"/>
      <c r="K207" s="319" t="e">
        <f>IF($E$37&gt;B207,0,$E$36 IF(B207&gt;$E$21,0,$E$36))</f>
        <v>#VALUE!</v>
      </c>
      <c r="L207" s="507" t="e">
        <f>IF($F$37&gt;B207,0,$F$36 IF(B207&gt;$E$21,0,$F$36))</f>
        <v>#VALUE!</v>
      </c>
      <c r="M207" s="506"/>
      <c r="N207" s="505" t="e">
        <f t="shared" si="29"/>
        <v>#VALUE!</v>
      </c>
      <c r="O207" s="506"/>
      <c r="P207" s="305" t="e">
        <f t="shared" si="30"/>
        <v>#VALUE!</v>
      </c>
    </row>
    <row r="208" spans="2:16" s="299" customFormat="1" ht="12.6" customHeight="1">
      <c r="B208" s="315" t="e">
        <f t="shared" si="24"/>
        <v>#VALUE!</v>
      </c>
      <c r="C208" s="316" t="e">
        <f t="shared" si="31"/>
        <v>#VALUE!</v>
      </c>
      <c r="D208" s="317" t="e">
        <f t="shared" si="25"/>
        <v>#VALUE!</v>
      </c>
      <c r="E208" s="318" t="e">
        <f t="shared" si="26"/>
        <v>#VALUE!</v>
      </c>
      <c r="F208" s="319" t="e">
        <f t="shared" si="32"/>
        <v>#VALUE!</v>
      </c>
      <c r="G208" s="319" t="e">
        <f t="shared" si="27"/>
        <v>#VALUE!</v>
      </c>
      <c r="H208" s="318" t="e">
        <f t="shared" si="33"/>
        <v>#VALUE!</v>
      </c>
      <c r="I208" s="505" t="e">
        <f t="shared" si="28"/>
        <v>#VALUE!</v>
      </c>
      <c r="J208" s="506"/>
      <c r="K208" s="319" t="e">
        <f>IF($E$37&gt;B208,0,$E$36 IF(B208&gt;$E$21,0,$E$36))</f>
        <v>#VALUE!</v>
      </c>
      <c r="L208" s="507" t="e">
        <f>IF($F$37&gt;B208,0,$F$36 IF(B208&gt;$E$21,0,$F$36))</f>
        <v>#VALUE!</v>
      </c>
      <c r="M208" s="506"/>
      <c r="N208" s="505" t="e">
        <f t="shared" si="29"/>
        <v>#VALUE!</v>
      </c>
      <c r="O208" s="506"/>
      <c r="P208" s="305" t="e">
        <f t="shared" si="30"/>
        <v>#VALUE!</v>
      </c>
    </row>
    <row r="209" spans="2:16" s="299" customFormat="1" ht="12.6" customHeight="1">
      <c r="B209" s="315" t="e">
        <f t="shared" si="24"/>
        <v>#VALUE!</v>
      </c>
      <c r="C209" s="316" t="e">
        <f t="shared" si="31"/>
        <v>#VALUE!</v>
      </c>
      <c r="D209" s="317" t="e">
        <f t="shared" si="25"/>
        <v>#VALUE!</v>
      </c>
      <c r="E209" s="318" t="e">
        <f t="shared" si="26"/>
        <v>#VALUE!</v>
      </c>
      <c r="F209" s="319" t="e">
        <f t="shared" si="32"/>
        <v>#VALUE!</v>
      </c>
      <c r="G209" s="319" t="e">
        <f t="shared" si="27"/>
        <v>#VALUE!</v>
      </c>
      <c r="H209" s="318" t="e">
        <f t="shared" si="33"/>
        <v>#VALUE!</v>
      </c>
      <c r="I209" s="505" t="e">
        <f t="shared" si="28"/>
        <v>#VALUE!</v>
      </c>
      <c r="J209" s="506"/>
      <c r="K209" s="319" t="e">
        <f>IF($E$37&gt;B209,0,$E$36 IF(B209&gt;$E$21,0,$E$36))</f>
        <v>#VALUE!</v>
      </c>
      <c r="L209" s="507" t="e">
        <f>IF($F$37&gt;B209,0,$F$36 IF(B209&gt;$E$21,0,$F$36))</f>
        <v>#VALUE!</v>
      </c>
      <c r="M209" s="506"/>
      <c r="N209" s="505" t="e">
        <f t="shared" si="29"/>
        <v>#VALUE!</v>
      </c>
      <c r="O209" s="506"/>
      <c r="P209" s="305" t="e">
        <f t="shared" si="30"/>
        <v>#VALUE!</v>
      </c>
    </row>
    <row r="210" spans="2:16" s="299" customFormat="1" ht="12.6" customHeight="1">
      <c r="B210" s="315" t="e">
        <f t="shared" si="24"/>
        <v>#VALUE!</v>
      </c>
      <c r="C210" s="316" t="e">
        <f t="shared" si="31"/>
        <v>#VALUE!</v>
      </c>
      <c r="D210" s="317" t="e">
        <f t="shared" si="25"/>
        <v>#VALUE!</v>
      </c>
      <c r="E210" s="318" t="e">
        <f t="shared" si="26"/>
        <v>#VALUE!</v>
      </c>
      <c r="F210" s="319" t="e">
        <f t="shared" si="32"/>
        <v>#VALUE!</v>
      </c>
      <c r="G210" s="319" t="e">
        <f t="shared" si="27"/>
        <v>#VALUE!</v>
      </c>
      <c r="H210" s="318" t="e">
        <f t="shared" si="33"/>
        <v>#VALUE!</v>
      </c>
      <c r="I210" s="505" t="e">
        <f t="shared" si="28"/>
        <v>#VALUE!</v>
      </c>
      <c r="J210" s="506"/>
      <c r="K210" s="319" t="e">
        <f>IF($E$37&gt;B210,0,$E$36 IF(B210&gt;$E$21,0,$E$36))</f>
        <v>#VALUE!</v>
      </c>
      <c r="L210" s="507" t="e">
        <f>IF($F$37&gt;B210,0,$F$36 IF(B210&gt;$E$21,0,$F$36))</f>
        <v>#VALUE!</v>
      </c>
      <c r="M210" s="506"/>
      <c r="N210" s="505" t="e">
        <f t="shared" si="29"/>
        <v>#VALUE!</v>
      </c>
      <c r="O210" s="506"/>
      <c r="P210" s="305" t="e">
        <f t="shared" si="30"/>
        <v>#VALUE!</v>
      </c>
    </row>
    <row r="211" spans="2:16" s="299" customFormat="1" ht="12.6" customHeight="1">
      <c r="B211" s="315" t="e">
        <f t="shared" si="24"/>
        <v>#VALUE!</v>
      </c>
      <c r="C211" s="316" t="e">
        <f t="shared" si="31"/>
        <v>#VALUE!</v>
      </c>
      <c r="D211" s="317" t="e">
        <f t="shared" si="25"/>
        <v>#VALUE!</v>
      </c>
      <c r="E211" s="318" t="e">
        <f t="shared" si="26"/>
        <v>#VALUE!</v>
      </c>
      <c r="F211" s="319" t="e">
        <f t="shared" si="32"/>
        <v>#VALUE!</v>
      </c>
      <c r="G211" s="319" t="e">
        <f t="shared" si="27"/>
        <v>#VALUE!</v>
      </c>
      <c r="H211" s="318" t="e">
        <f t="shared" si="33"/>
        <v>#VALUE!</v>
      </c>
      <c r="I211" s="505" t="e">
        <f t="shared" si="28"/>
        <v>#VALUE!</v>
      </c>
      <c r="J211" s="506"/>
      <c r="K211" s="319" t="e">
        <f>IF($E$37&gt;B211,0,$E$36 IF(B211&gt;$E$21,0,$E$36))</f>
        <v>#VALUE!</v>
      </c>
      <c r="L211" s="507" t="e">
        <f>IF($F$37&gt;B211,0,$F$36 IF(B211&gt;$E$21,0,$F$36))</f>
        <v>#VALUE!</v>
      </c>
      <c r="M211" s="506"/>
      <c r="N211" s="505" t="e">
        <f t="shared" si="29"/>
        <v>#VALUE!</v>
      </c>
      <c r="O211" s="506"/>
      <c r="P211" s="305" t="e">
        <f t="shared" si="30"/>
        <v>#VALUE!</v>
      </c>
    </row>
    <row r="212" spans="2:16" s="299" customFormat="1" ht="12.6" customHeight="1">
      <c r="B212" s="315" t="e">
        <f t="shared" si="24"/>
        <v>#VALUE!</v>
      </c>
      <c r="C212" s="316" t="e">
        <f t="shared" si="31"/>
        <v>#VALUE!</v>
      </c>
      <c r="D212" s="317" t="e">
        <f t="shared" si="25"/>
        <v>#VALUE!</v>
      </c>
      <c r="E212" s="318" t="e">
        <f t="shared" si="26"/>
        <v>#VALUE!</v>
      </c>
      <c r="F212" s="319" t="e">
        <f t="shared" si="32"/>
        <v>#VALUE!</v>
      </c>
      <c r="G212" s="319" t="e">
        <f t="shared" si="27"/>
        <v>#VALUE!</v>
      </c>
      <c r="H212" s="318" t="e">
        <f t="shared" si="33"/>
        <v>#VALUE!</v>
      </c>
      <c r="I212" s="505" t="e">
        <f t="shared" si="28"/>
        <v>#VALUE!</v>
      </c>
      <c r="J212" s="506"/>
      <c r="K212" s="319" t="e">
        <f>IF($E$37&gt;B212,0,$E$36 IF(B212&gt;$E$21,0,$E$36))</f>
        <v>#VALUE!</v>
      </c>
      <c r="L212" s="507" t="e">
        <f>IF($F$37&gt;B212,0,$F$36 IF(B212&gt;$E$21,0,$F$36))</f>
        <v>#VALUE!</v>
      </c>
      <c r="M212" s="506"/>
      <c r="N212" s="505" t="e">
        <f t="shared" si="29"/>
        <v>#VALUE!</v>
      </c>
      <c r="O212" s="506"/>
      <c r="P212" s="305" t="e">
        <f t="shared" si="30"/>
        <v>#VALUE!</v>
      </c>
    </row>
    <row r="213" spans="2:16" s="299" customFormat="1" ht="12.6" customHeight="1">
      <c r="B213" s="315" t="e">
        <f t="shared" si="24"/>
        <v>#VALUE!</v>
      </c>
      <c r="C213" s="316" t="e">
        <f t="shared" si="31"/>
        <v>#VALUE!</v>
      </c>
      <c r="D213" s="317" t="e">
        <f t="shared" si="25"/>
        <v>#VALUE!</v>
      </c>
      <c r="E213" s="318" t="e">
        <f t="shared" si="26"/>
        <v>#VALUE!</v>
      </c>
      <c r="F213" s="319" t="e">
        <f t="shared" si="32"/>
        <v>#VALUE!</v>
      </c>
      <c r="G213" s="319" t="e">
        <f t="shared" si="27"/>
        <v>#VALUE!</v>
      </c>
      <c r="H213" s="318" t="e">
        <f t="shared" si="33"/>
        <v>#VALUE!</v>
      </c>
      <c r="I213" s="505" t="e">
        <f t="shared" si="28"/>
        <v>#VALUE!</v>
      </c>
      <c r="J213" s="506"/>
      <c r="K213" s="319" t="e">
        <f>IF($E$37&gt;B213,0,$E$36 IF(B213&gt;$E$21,0,$E$36))</f>
        <v>#VALUE!</v>
      </c>
      <c r="L213" s="507" t="e">
        <f>IF($F$37&gt;B213,0,$F$36 IF(B213&gt;$E$21,0,$F$36))</f>
        <v>#VALUE!</v>
      </c>
      <c r="M213" s="506"/>
      <c r="N213" s="505" t="e">
        <f t="shared" si="29"/>
        <v>#VALUE!</v>
      </c>
      <c r="O213" s="506"/>
      <c r="P213" s="305" t="e">
        <f t="shared" si="30"/>
        <v>#VALUE!</v>
      </c>
    </row>
    <row r="214" spans="2:16" s="299" customFormat="1" ht="12.6" customHeight="1">
      <c r="B214" s="315" t="e">
        <f t="shared" si="24"/>
        <v>#VALUE!</v>
      </c>
      <c r="C214" s="316" t="e">
        <f t="shared" si="31"/>
        <v>#VALUE!</v>
      </c>
      <c r="D214" s="317" t="e">
        <f t="shared" si="25"/>
        <v>#VALUE!</v>
      </c>
      <c r="E214" s="318" t="e">
        <f t="shared" si="26"/>
        <v>#VALUE!</v>
      </c>
      <c r="F214" s="319" t="e">
        <f t="shared" si="32"/>
        <v>#VALUE!</v>
      </c>
      <c r="G214" s="319" t="e">
        <f t="shared" si="27"/>
        <v>#VALUE!</v>
      </c>
      <c r="H214" s="318" t="e">
        <f t="shared" si="33"/>
        <v>#VALUE!</v>
      </c>
      <c r="I214" s="505" t="e">
        <f t="shared" si="28"/>
        <v>#VALUE!</v>
      </c>
      <c r="J214" s="506"/>
      <c r="K214" s="319" t="e">
        <f>IF($E$37&gt;B214,0,$E$36 IF(B214&gt;$E$21,0,$E$36))</f>
        <v>#VALUE!</v>
      </c>
      <c r="L214" s="507" t="e">
        <f>IF($F$37&gt;B214,0,$F$36 IF(B214&gt;$E$21,0,$F$36))</f>
        <v>#VALUE!</v>
      </c>
      <c r="M214" s="506"/>
      <c r="N214" s="505" t="e">
        <f t="shared" si="29"/>
        <v>#VALUE!</v>
      </c>
      <c r="O214" s="506"/>
      <c r="P214" s="305" t="e">
        <f t="shared" si="30"/>
        <v>#VALUE!</v>
      </c>
    </row>
    <row r="215" spans="2:16" s="299" customFormat="1" ht="12.6" customHeight="1">
      <c r="B215" s="315" t="e">
        <f t="shared" si="24"/>
        <v>#VALUE!</v>
      </c>
      <c r="C215" s="316" t="e">
        <f t="shared" si="31"/>
        <v>#VALUE!</v>
      </c>
      <c r="D215" s="317" t="e">
        <f t="shared" si="25"/>
        <v>#VALUE!</v>
      </c>
      <c r="E215" s="318" t="e">
        <f t="shared" si="26"/>
        <v>#VALUE!</v>
      </c>
      <c r="F215" s="319" t="e">
        <f t="shared" si="32"/>
        <v>#VALUE!</v>
      </c>
      <c r="G215" s="319" t="e">
        <f t="shared" si="27"/>
        <v>#VALUE!</v>
      </c>
      <c r="H215" s="318" t="e">
        <f t="shared" si="33"/>
        <v>#VALUE!</v>
      </c>
      <c r="I215" s="505" t="e">
        <f t="shared" si="28"/>
        <v>#VALUE!</v>
      </c>
      <c r="J215" s="506"/>
      <c r="K215" s="319" t="e">
        <f>IF($E$37&gt;B215,0,$E$36 IF(B215&gt;$E$21,0,$E$36))</f>
        <v>#VALUE!</v>
      </c>
      <c r="L215" s="507" t="e">
        <f>IF($F$37&gt;B215,0,$F$36 IF(B215&gt;$E$21,0,$F$36))</f>
        <v>#VALUE!</v>
      </c>
      <c r="M215" s="506"/>
      <c r="N215" s="505" t="e">
        <f t="shared" si="29"/>
        <v>#VALUE!</v>
      </c>
      <c r="O215" s="506"/>
      <c r="P215" s="305" t="e">
        <f t="shared" si="30"/>
        <v>#VALUE!</v>
      </c>
    </row>
    <row r="216" spans="2:16" s="299" customFormat="1" ht="12.6" customHeight="1">
      <c r="B216" s="315" t="e">
        <f t="shared" si="24"/>
        <v>#VALUE!</v>
      </c>
      <c r="C216" s="316" t="e">
        <f t="shared" si="31"/>
        <v>#VALUE!</v>
      </c>
      <c r="D216" s="317" t="e">
        <f t="shared" si="25"/>
        <v>#VALUE!</v>
      </c>
      <c r="E216" s="318" t="e">
        <f t="shared" si="26"/>
        <v>#VALUE!</v>
      </c>
      <c r="F216" s="319" t="e">
        <f t="shared" si="32"/>
        <v>#VALUE!</v>
      </c>
      <c r="G216" s="319" t="e">
        <f t="shared" si="27"/>
        <v>#VALUE!</v>
      </c>
      <c r="H216" s="318" t="e">
        <f t="shared" si="33"/>
        <v>#VALUE!</v>
      </c>
      <c r="I216" s="505" t="e">
        <f t="shared" si="28"/>
        <v>#VALUE!</v>
      </c>
      <c r="J216" s="506"/>
      <c r="K216" s="319" t="e">
        <f>IF($E$37&gt;B216,0,$E$36 IF(B216&gt;$E$21,0,$E$36))</f>
        <v>#VALUE!</v>
      </c>
      <c r="L216" s="507" t="e">
        <f>IF($F$37&gt;B216,0,$F$36 IF(B216&gt;$E$21,0,$F$36))</f>
        <v>#VALUE!</v>
      </c>
      <c r="M216" s="506"/>
      <c r="N216" s="505" t="e">
        <f t="shared" si="29"/>
        <v>#VALUE!</v>
      </c>
      <c r="O216" s="506"/>
      <c r="P216" s="305" t="e">
        <f t="shared" si="30"/>
        <v>#VALUE!</v>
      </c>
    </row>
    <row r="217" spans="2:16" s="299" customFormat="1" ht="12.6" customHeight="1">
      <c r="B217" s="315" t="e">
        <f t="shared" si="24"/>
        <v>#VALUE!</v>
      </c>
      <c r="C217" s="316" t="e">
        <f t="shared" si="31"/>
        <v>#VALUE!</v>
      </c>
      <c r="D217" s="317" t="e">
        <f t="shared" si="25"/>
        <v>#VALUE!</v>
      </c>
      <c r="E217" s="318" t="e">
        <f t="shared" si="26"/>
        <v>#VALUE!</v>
      </c>
      <c r="F217" s="319" t="e">
        <f t="shared" si="32"/>
        <v>#VALUE!</v>
      </c>
      <c r="G217" s="319" t="e">
        <f t="shared" si="27"/>
        <v>#VALUE!</v>
      </c>
      <c r="H217" s="318" t="e">
        <f t="shared" si="33"/>
        <v>#VALUE!</v>
      </c>
      <c r="I217" s="505" t="e">
        <f t="shared" si="28"/>
        <v>#VALUE!</v>
      </c>
      <c r="J217" s="506"/>
      <c r="K217" s="319" t="e">
        <f>IF($E$37&gt;B217,0,$E$36 IF(B217&gt;$E$21,0,$E$36))</f>
        <v>#VALUE!</v>
      </c>
      <c r="L217" s="507" t="e">
        <f>IF($F$37&gt;B217,0,$F$36 IF(B217&gt;$E$21,0,$F$36))</f>
        <v>#VALUE!</v>
      </c>
      <c r="M217" s="506"/>
      <c r="N217" s="505" t="e">
        <f t="shared" si="29"/>
        <v>#VALUE!</v>
      </c>
      <c r="O217" s="506"/>
      <c r="P217" s="305" t="e">
        <f t="shared" si="30"/>
        <v>#VALUE!</v>
      </c>
    </row>
    <row r="218" spans="2:16" s="299" customFormat="1" ht="12.6" customHeight="1">
      <c r="B218" s="315" t="e">
        <f t="shared" si="24"/>
        <v>#VALUE!</v>
      </c>
      <c r="C218" s="316" t="e">
        <f t="shared" si="31"/>
        <v>#VALUE!</v>
      </c>
      <c r="D218" s="317" t="e">
        <f t="shared" si="25"/>
        <v>#VALUE!</v>
      </c>
      <c r="E218" s="318" t="e">
        <f t="shared" si="26"/>
        <v>#VALUE!</v>
      </c>
      <c r="F218" s="319" t="e">
        <f t="shared" si="32"/>
        <v>#VALUE!</v>
      </c>
      <c r="G218" s="319" t="e">
        <f t="shared" si="27"/>
        <v>#VALUE!</v>
      </c>
      <c r="H218" s="318" t="e">
        <f t="shared" si="33"/>
        <v>#VALUE!</v>
      </c>
      <c r="I218" s="505" t="e">
        <f t="shared" si="28"/>
        <v>#VALUE!</v>
      </c>
      <c r="J218" s="506"/>
      <c r="K218" s="319" t="e">
        <f>IF($E$37&gt;B218,0,$E$36 IF(B218&gt;$E$21,0,$E$36))</f>
        <v>#VALUE!</v>
      </c>
      <c r="L218" s="507" t="e">
        <f>IF($F$37&gt;B218,0,$F$36 IF(B218&gt;$E$21,0,$F$36))</f>
        <v>#VALUE!</v>
      </c>
      <c r="M218" s="506"/>
      <c r="N218" s="505" t="e">
        <f t="shared" si="29"/>
        <v>#VALUE!</v>
      </c>
      <c r="O218" s="506"/>
      <c r="P218" s="305" t="e">
        <f t="shared" si="30"/>
        <v>#VALUE!</v>
      </c>
    </row>
    <row r="219" spans="2:16" s="299" customFormat="1" ht="12.6" customHeight="1">
      <c r="B219" s="315" t="e">
        <f t="shared" si="24"/>
        <v>#VALUE!</v>
      </c>
      <c r="C219" s="316" t="e">
        <f t="shared" si="31"/>
        <v>#VALUE!</v>
      </c>
      <c r="D219" s="317" t="e">
        <f t="shared" si="25"/>
        <v>#VALUE!</v>
      </c>
      <c r="E219" s="318" t="e">
        <f t="shared" si="26"/>
        <v>#VALUE!</v>
      </c>
      <c r="F219" s="319" t="e">
        <f t="shared" si="32"/>
        <v>#VALUE!</v>
      </c>
      <c r="G219" s="319" t="e">
        <f t="shared" si="27"/>
        <v>#VALUE!</v>
      </c>
      <c r="H219" s="318" t="e">
        <f t="shared" si="33"/>
        <v>#VALUE!</v>
      </c>
      <c r="I219" s="505" t="e">
        <f t="shared" si="28"/>
        <v>#VALUE!</v>
      </c>
      <c r="J219" s="506"/>
      <c r="K219" s="319" t="e">
        <f>IF($E$37&gt;B219,0,$E$36 IF(B219&gt;$E$21,0,$E$36))</f>
        <v>#VALUE!</v>
      </c>
      <c r="L219" s="507" t="e">
        <f>IF($F$37&gt;B219,0,$F$36 IF(B219&gt;$E$21,0,$F$36))</f>
        <v>#VALUE!</v>
      </c>
      <c r="M219" s="506"/>
      <c r="N219" s="505" t="e">
        <f t="shared" si="29"/>
        <v>#VALUE!</v>
      </c>
      <c r="O219" s="506"/>
      <c r="P219" s="305" t="e">
        <f t="shared" si="30"/>
        <v>#VALUE!</v>
      </c>
    </row>
    <row r="220" spans="2:16" s="299" customFormat="1" ht="12.6" customHeight="1">
      <c r="B220" s="315" t="e">
        <f t="shared" si="24"/>
        <v>#VALUE!</v>
      </c>
      <c r="C220" s="316" t="e">
        <f t="shared" si="31"/>
        <v>#VALUE!</v>
      </c>
      <c r="D220" s="317" t="e">
        <f t="shared" si="25"/>
        <v>#VALUE!</v>
      </c>
      <c r="E220" s="318" t="e">
        <f t="shared" si="26"/>
        <v>#VALUE!</v>
      </c>
      <c r="F220" s="319" t="e">
        <f t="shared" si="32"/>
        <v>#VALUE!</v>
      </c>
      <c r="G220" s="319" t="e">
        <f t="shared" si="27"/>
        <v>#VALUE!</v>
      </c>
      <c r="H220" s="318" t="e">
        <f t="shared" si="33"/>
        <v>#VALUE!</v>
      </c>
      <c r="I220" s="505" t="e">
        <f t="shared" si="28"/>
        <v>#VALUE!</v>
      </c>
      <c r="J220" s="506"/>
      <c r="K220" s="319" t="e">
        <f>IF($E$37&gt;B220,0,$E$36 IF(B220&gt;$E$21,0,$E$36))</f>
        <v>#VALUE!</v>
      </c>
      <c r="L220" s="507" t="e">
        <f>IF($F$37&gt;B220,0,$F$36 IF(B220&gt;$E$21,0,$F$36))</f>
        <v>#VALUE!</v>
      </c>
      <c r="M220" s="506"/>
      <c r="N220" s="505" t="e">
        <f t="shared" si="29"/>
        <v>#VALUE!</v>
      </c>
      <c r="O220" s="506"/>
      <c r="P220" s="305" t="e">
        <f t="shared" si="30"/>
        <v>#VALUE!</v>
      </c>
    </row>
    <row r="221" spans="2:16" s="299" customFormat="1" ht="12.6" customHeight="1">
      <c r="B221" s="315" t="e">
        <f t="shared" si="24"/>
        <v>#VALUE!</v>
      </c>
      <c r="C221" s="316" t="e">
        <f t="shared" si="31"/>
        <v>#VALUE!</v>
      </c>
      <c r="D221" s="317" t="e">
        <f t="shared" si="25"/>
        <v>#VALUE!</v>
      </c>
      <c r="E221" s="318" t="e">
        <f t="shared" si="26"/>
        <v>#VALUE!</v>
      </c>
      <c r="F221" s="319" t="e">
        <f t="shared" si="32"/>
        <v>#VALUE!</v>
      </c>
      <c r="G221" s="319" t="e">
        <f t="shared" si="27"/>
        <v>#VALUE!</v>
      </c>
      <c r="H221" s="318" t="e">
        <f t="shared" si="33"/>
        <v>#VALUE!</v>
      </c>
      <c r="I221" s="505" t="e">
        <f t="shared" si="28"/>
        <v>#VALUE!</v>
      </c>
      <c r="J221" s="506"/>
      <c r="K221" s="319" t="e">
        <f>IF($E$37&gt;B221,0,$E$36 IF(B221&gt;$E$21,0,$E$36))</f>
        <v>#VALUE!</v>
      </c>
      <c r="L221" s="507" t="e">
        <f>IF($F$37&gt;B221,0,$F$36 IF(B221&gt;$E$21,0,$F$36))</f>
        <v>#VALUE!</v>
      </c>
      <c r="M221" s="506"/>
      <c r="N221" s="505" t="e">
        <f t="shared" si="29"/>
        <v>#VALUE!</v>
      </c>
      <c r="O221" s="506"/>
      <c r="P221" s="305" t="e">
        <f t="shared" si="30"/>
        <v>#VALUE!</v>
      </c>
    </row>
    <row r="222" spans="2:16" s="299" customFormat="1" ht="12.6" customHeight="1">
      <c r="B222" s="315" t="e">
        <f t="shared" si="24"/>
        <v>#VALUE!</v>
      </c>
      <c r="C222" s="316" t="e">
        <f t="shared" si="31"/>
        <v>#VALUE!</v>
      </c>
      <c r="D222" s="317" t="e">
        <f t="shared" si="25"/>
        <v>#VALUE!</v>
      </c>
      <c r="E222" s="318" t="e">
        <f t="shared" si="26"/>
        <v>#VALUE!</v>
      </c>
      <c r="F222" s="319" t="e">
        <f t="shared" si="32"/>
        <v>#VALUE!</v>
      </c>
      <c r="G222" s="319" t="e">
        <f t="shared" si="27"/>
        <v>#VALUE!</v>
      </c>
      <c r="H222" s="318" t="e">
        <f t="shared" si="33"/>
        <v>#VALUE!</v>
      </c>
      <c r="I222" s="505" t="e">
        <f t="shared" si="28"/>
        <v>#VALUE!</v>
      </c>
      <c r="J222" s="506"/>
      <c r="K222" s="319" t="e">
        <f>IF($E$37&gt;B222,0,$E$36 IF(B222&gt;$E$21,0,$E$36))</f>
        <v>#VALUE!</v>
      </c>
      <c r="L222" s="507" t="e">
        <f>IF($F$37&gt;B222,0,$F$36 IF(B222&gt;$E$21,0,$F$36))</f>
        <v>#VALUE!</v>
      </c>
      <c r="M222" s="506"/>
      <c r="N222" s="505" t="e">
        <f t="shared" si="29"/>
        <v>#VALUE!</v>
      </c>
      <c r="O222" s="506"/>
      <c r="P222" s="305" t="e">
        <f t="shared" si="30"/>
        <v>#VALUE!</v>
      </c>
    </row>
    <row r="223" spans="2:16" s="299" customFormat="1" ht="12.6" customHeight="1">
      <c r="B223" s="315" t="e">
        <f t="shared" si="24"/>
        <v>#VALUE!</v>
      </c>
      <c r="C223" s="316" t="e">
        <f t="shared" si="31"/>
        <v>#VALUE!</v>
      </c>
      <c r="D223" s="317" t="e">
        <f t="shared" si="25"/>
        <v>#VALUE!</v>
      </c>
      <c r="E223" s="318" t="e">
        <f t="shared" si="26"/>
        <v>#VALUE!</v>
      </c>
      <c r="F223" s="319" t="e">
        <f t="shared" si="32"/>
        <v>#VALUE!</v>
      </c>
      <c r="G223" s="319" t="e">
        <f t="shared" si="27"/>
        <v>#VALUE!</v>
      </c>
      <c r="H223" s="318" t="e">
        <f t="shared" si="33"/>
        <v>#VALUE!</v>
      </c>
      <c r="I223" s="505" t="e">
        <f t="shared" si="28"/>
        <v>#VALUE!</v>
      </c>
      <c r="J223" s="506"/>
      <c r="K223" s="319" t="e">
        <f>IF($E$37&gt;B223,0,$E$36 IF(B223&gt;$E$21,0,$E$36))</f>
        <v>#VALUE!</v>
      </c>
      <c r="L223" s="507" t="e">
        <f>IF($F$37&gt;B223,0,$F$36 IF(B223&gt;$E$21,0,$F$36))</f>
        <v>#VALUE!</v>
      </c>
      <c r="M223" s="506"/>
      <c r="N223" s="505" t="e">
        <f t="shared" si="29"/>
        <v>#VALUE!</v>
      </c>
      <c r="O223" s="506"/>
      <c r="P223" s="305" t="e">
        <f t="shared" si="30"/>
        <v>#VALUE!</v>
      </c>
    </row>
    <row r="224" spans="2:16" s="299" customFormat="1" ht="12.6" customHeight="1">
      <c r="B224" s="315" t="e">
        <f t="shared" si="24"/>
        <v>#VALUE!</v>
      </c>
      <c r="C224" s="316" t="e">
        <f t="shared" si="31"/>
        <v>#VALUE!</v>
      </c>
      <c r="D224" s="317" t="e">
        <f t="shared" si="25"/>
        <v>#VALUE!</v>
      </c>
      <c r="E224" s="318" t="e">
        <f t="shared" si="26"/>
        <v>#VALUE!</v>
      </c>
      <c r="F224" s="319" t="e">
        <f t="shared" si="32"/>
        <v>#VALUE!</v>
      </c>
      <c r="G224" s="319" t="e">
        <f t="shared" si="27"/>
        <v>#VALUE!</v>
      </c>
      <c r="H224" s="318" t="e">
        <f t="shared" si="33"/>
        <v>#VALUE!</v>
      </c>
      <c r="I224" s="505" t="e">
        <f t="shared" si="28"/>
        <v>#VALUE!</v>
      </c>
      <c r="J224" s="506"/>
      <c r="K224" s="319" t="e">
        <f>IF($E$37&gt;B224,0,$E$36 IF(B224&gt;$E$21,0,$E$36))</f>
        <v>#VALUE!</v>
      </c>
      <c r="L224" s="507" t="e">
        <f>IF($F$37&gt;B224,0,$F$36 IF(B224&gt;$E$21,0,$F$36))</f>
        <v>#VALUE!</v>
      </c>
      <c r="M224" s="506"/>
      <c r="N224" s="505" t="e">
        <f t="shared" si="29"/>
        <v>#VALUE!</v>
      </c>
      <c r="O224" s="506"/>
      <c r="P224" s="305" t="e">
        <f t="shared" si="30"/>
        <v>#VALUE!</v>
      </c>
    </row>
    <row r="225" spans="2:16" s="299" customFormat="1" ht="12.6" customHeight="1">
      <c r="B225" s="315" t="e">
        <f t="shared" si="24"/>
        <v>#VALUE!</v>
      </c>
      <c r="C225" s="316" t="e">
        <f t="shared" si="31"/>
        <v>#VALUE!</v>
      </c>
      <c r="D225" s="317" t="e">
        <f t="shared" si="25"/>
        <v>#VALUE!</v>
      </c>
      <c r="E225" s="318" t="e">
        <f t="shared" si="26"/>
        <v>#VALUE!</v>
      </c>
      <c r="F225" s="319" t="e">
        <f t="shared" si="32"/>
        <v>#VALUE!</v>
      </c>
      <c r="G225" s="319" t="e">
        <f t="shared" si="27"/>
        <v>#VALUE!</v>
      </c>
      <c r="H225" s="318" t="e">
        <f t="shared" si="33"/>
        <v>#VALUE!</v>
      </c>
      <c r="I225" s="505" t="e">
        <f t="shared" si="28"/>
        <v>#VALUE!</v>
      </c>
      <c r="J225" s="506"/>
      <c r="K225" s="319" t="e">
        <f>IF($E$37&gt;B225,0,$E$36 IF(B225&gt;$E$21,0,$E$36))</f>
        <v>#VALUE!</v>
      </c>
      <c r="L225" s="507" t="e">
        <f>IF($F$37&gt;B225,0,$F$36 IF(B225&gt;$E$21,0,$F$36))</f>
        <v>#VALUE!</v>
      </c>
      <c r="M225" s="506"/>
      <c r="N225" s="505" t="e">
        <f t="shared" si="29"/>
        <v>#VALUE!</v>
      </c>
      <c r="O225" s="506"/>
      <c r="P225" s="305" t="e">
        <f t="shared" si="30"/>
        <v>#VALUE!</v>
      </c>
    </row>
    <row r="226" spans="2:16" s="299" customFormat="1" ht="12.6" customHeight="1">
      <c r="B226" s="315" t="e">
        <f t="shared" si="24"/>
        <v>#VALUE!</v>
      </c>
      <c r="C226" s="316" t="e">
        <f t="shared" si="31"/>
        <v>#VALUE!</v>
      </c>
      <c r="D226" s="317" t="e">
        <f t="shared" si="25"/>
        <v>#VALUE!</v>
      </c>
      <c r="E226" s="318" t="e">
        <f t="shared" si="26"/>
        <v>#VALUE!</v>
      </c>
      <c r="F226" s="319" t="e">
        <f t="shared" si="32"/>
        <v>#VALUE!</v>
      </c>
      <c r="G226" s="319" t="e">
        <f t="shared" si="27"/>
        <v>#VALUE!</v>
      </c>
      <c r="H226" s="318" t="e">
        <f t="shared" si="33"/>
        <v>#VALUE!</v>
      </c>
      <c r="I226" s="505" t="e">
        <f t="shared" si="28"/>
        <v>#VALUE!</v>
      </c>
      <c r="J226" s="506"/>
      <c r="K226" s="319" t="e">
        <f>IF($E$37&gt;B226,0,$E$36 IF(B226&gt;$E$21,0,$E$36))</f>
        <v>#VALUE!</v>
      </c>
      <c r="L226" s="507" t="e">
        <f>IF($F$37&gt;B226,0,$F$36 IF(B226&gt;$E$21,0,$F$36))</f>
        <v>#VALUE!</v>
      </c>
      <c r="M226" s="506"/>
      <c r="N226" s="505" t="e">
        <f t="shared" si="29"/>
        <v>#VALUE!</v>
      </c>
      <c r="O226" s="506"/>
      <c r="P226" s="305" t="e">
        <f t="shared" si="30"/>
        <v>#VALUE!</v>
      </c>
    </row>
    <row r="227" spans="2:16" s="299" customFormat="1" ht="12.6" customHeight="1">
      <c r="B227" s="315" t="e">
        <f t="shared" si="24"/>
        <v>#VALUE!</v>
      </c>
      <c r="C227" s="316" t="e">
        <f t="shared" si="31"/>
        <v>#VALUE!</v>
      </c>
      <c r="D227" s="317" t="e">
        <f t="shared" si="25"/>
        <v>#VALUE!</v>
      </c>
      <c r="E227" s="318" t="e">
        <f t="shared" si="26"/>
        <v>#VALUE!</v>
      </c>
      <c r="F227" s="319" t="e">
        <f t="shared" si="32"/>
        <v>#VALUE!</v>
      </c>
      <c r="G227" s="319" t="e">
        <f t="shared" si="27"/>
        <v>#VALUE!</v>
      </c>
      <c r="H227" s="318" t="e">
        <f t="shared" si="33"/>
        <v>#VALUE!</v>
      </c>
      <c r="I227" s="505" t="e">
        <f t="shared" si="28"/>
        <v>#VALUE!</v>
      </c>
      <c r="J227" s="506"/>
      <c r="K227" s="319" t="e">
        <f>IF($E$37&gt;B227,0,$E$36 IF(B227&gt;$E$21,0,$E$36))</f>
        <v>#VALUE!</v>
      </c>
      <c r="L227" s="507" t="e">
        <f>IF($F$37&gt;B227,0,$F$36 IF(B227&gt;$E$21,0,$F$36))</f>
        <v>#VALUE!</v>
      </c>
      <c r="M227" s="506"/>
      <c r="N227" s="505" t="e">
        <f t="shared" si="29"/>
        <v>#VALUE!</v>
      </c>
      <c r="O227" s="506"/>
      <c r="P227" s="305" t="e">
        <f t="shared" si="30"/>
        <v>#VALUE!</v>
      </c>
    </row>
    <row r="228" spans="2:16" s="299" customFormat="1" ht="12.6" customHeight="1">
      <c r="B228" s="315" t="e">
        <f t="shared" si="24"/>
        <v>#VALUE!</v>
      </c>
      <c r="C228" s="316" t="e">
        <f t="shared" si="31"/>
        <v>#VALUE!</v>
      </c>
      <c r="D228" s="317" t="e">
        <f t="shared" si="25"/>
        <v>#VALUE!</v>
      </c>
      <c r="E228" s="318" t="e">
        <f t="shared" si="26"/>
        <v>#VALUE!</v>
      </c>
      <c r="F228" s="319" t="e">
        <f t="shared" si="32"/>
        <v>#VALUE!</v>
      </c>
      <c r="G228" s="319" t="e">
        <f t="shared" si="27"/>
        <v>#VALUE!</v>
      </c>
      <c r="H228" s="318" t="e">
        <f t="shared" si="33"/>
        <v>#VALUE!</v>
      </c>
      <c r="I228" s="505" t="e">
        <f t="shared" si="28"/>
        <v>#VALUE!</v>
      </c>
      <c r="J228" s="506"/>
      <c r="K228" s="319" t="e">
        <f>IF($E$37&gt;B228,0,$E$36 IF(B228&gt;$E$21,0,$E$36))</f>
        <v>#VALUE!</v>
      </c>
      <c r="L228" s="507" t="e">
        <f>IF($F$37&gt;B228,0,$F$36 IF(B228&gt;$E$21,0,$F$36))</f>
        <v>#VALUE!</v>
      </c>
      <c r="M228" s="506"/>
      <c r="N228" s="505" t="e">
        <f t="shared" si="29"/>
        <v>#VALUE!</v>
      </c>
      <c r="O228" s="506"/>
      <c r="P228" s="305" t="e">
        <f t="shared" si="30"/>
        <v>#VALUE!</v>
      </c>
    </row>
    <row r="229" spans="2:16" s="299" customFormat="1" ht="12.6" customHeight="1">
      <c r="B229" s="315" t="e">
        <f t="shared" si="24"/>
        <v>#VALUE!</v>
      </c>
      <c r="C229" s="316" t="e">
        <f t="shared" si="31"/>
        <v>#VALUE!</v>
      </c>
      <c r="D229" s="317" t="e">
        <f t="shared" si="25"/>
        <v>#VALUE!</v>
      </c>
      <c r="E229" s="318" t="e">
        <f t="shared" si="26"/>
        <v>#VALUE!</v>
      </c>
      <c r="F229" s="319" t="e">
        <f t="shared" si="32"/>
        <v>#VALUE!</v>
      </c>
      <c r="G229" s="319" t="e">
        <f t="shared" si="27"/>
        <v>#VALUE!</v>
      </c>
      <c r="H229" s="318" t="e">
        <f t="shared" si="33"/>
        <v>#VALUE!</v>
      </c>
      <c r="I229" s="505" t="e">
        <f t="shared" si="28"/>
        <v>#VALUE!</v>
      </c>
      <c r="J229" s="506"/>
      <c r="K229" s="319" t="e">
        <f>IF($E$37&gt;B229,0,$E$36 IF(B229&gt;$E$21,0,$E$36))</f>
        <v>#VALUE!</v>
      </c>
      <c r="L229" s="507" t="e">
        <f>IF($F$37&gt;B229,0,$F$36 IF(B229&gt;$E$21,0,$F$36))</f>
        <v>#VALUE!</v>
      </c>
      <c r="M229" s="506"/>
      <c r="N229" s="505" t="e">
        <f t="shared" si="29"/>
        <v>#VALUE!</v>
      </c>
      <c r="O229" s="506"/>
      <c r="P229" s="305" t="e">
        <f t="shared" si="30"/>
        <v>#VALUE!</v>
      </c>
    </row>
    <row r="230" spans="2:16" s="299" customFormat="1" ht="12.6" customHeight="1">
      <c r="B230" s="315" t="e">
        <f t="shared" si="24"/>
        <v>#VALUE!</v>
      </c>
      <c r="C230" s="316" t="e">
        <f t="shared" si="31"/>
        <v>#VALUE!</v>
      </c>
      <c r="D230" s="317" t="e">
        <f t="shared" si="25"/>
        <v>#VALUE!</v>
      </c>
      <c r="E230" s="318" t="e">
        <f t="shared" si="26"/>
        <v>#VALUE!</v>
      </c>
      <c r="F230" s="319" t="e">
        <f t="shared" si="32"/>
        <v>#VALUE!</v>
      </c>
      <c r="G230" s="319" t="e">
        <f t="shared" si="27"/>
        <v>#VALUE!</v>
      </c>
      <c r="H230" s="318" t="e">
        <f t="shared" si="33"/>
        <v>#VALUE!</v>
      </c>
      <c r="I230" s="505" t="e">
        <f t="shared" si="28"/>
        <v>#VALUE!</v>
      </c>
      <c r="J230" s="506"/>
      <c r="K230" s="319" t="e">
        <f>IF($E$37&gt;B230,0,$E$36 IF(B230&gt;$E$21,0,$E$36))</f>
        <v>#VALUE!</v>
      </c>
      <c r="L230" s="507" t="e">
        <f>IF($F$37&gt;B230,0,$F$36 IF(B230&gt;$E$21,0,$F$36))</f>
        <v>#VALUE!</v>
      </c>
      <c r="M230" s="506"/>
      <c r="N230" s="505" t="e">
        <f t="shared" si="29"/>
        <v>#VALUE!</v>
      </c>
      <c r="O230" s="506"/>
      <c r="P230" s="305" t="e">
        <f t="shared" si="30"/>
        <v>#VALUE!</v>
      </c>
    </row>
    <row r="231" spans="2:16" s="299" customFormat="1" ht="12.6" customHeight="1">
      <c r="B231" s="315" t="e">
        <f t="shared" si="24"/>
        <v>#VALUE!</v>
      </c>
      <c r="C231" s="316" t="e">
        <f t="shared" si="31"/>
        <v>#VALUE!</v>
      </c>
      <c r="D231" s="317" t="e">
        <f t="shared" si="25"/>
        <v>#VALUE!</v>
      </c>
      <c r="E231" s="318" t="e">
        <f t="shared" si="26"/>
        <v>#VALUE!</v>
      </c>
      <c r="F231" s="319" t="e">
        <f t="shared" si="32"/>
        <v>#VALUE!</v>
      </c>
      <c r="G231" s="319" t="e">
        <f t="shared" si="27"/>
        <v>#VALUE!</v>
      </c>
      <c r="H231" s="318" t="e">
        <f t="shared" si="33"/>
        <v>#VALUE!</v>
      </c>
      <c r="I231" s="505" t="e">
        <f t="shared" si="28"/>
        <v>#VALUE!</v>
      </c>
      <c r="J231" s="506"/>
      <c r="K231" s="319" t="e">
        <f>IF($E$37&gt;B231,0,$E$36 IF(B231&gt;$E$21,0,$E$36))</f>
        <v>#VALUE!</v>
      </c>
      <c r="L231" s="507" t="e">
        <f>IF($F$37&gt;B231,0,$F$36 IF(B231&gt;$E$21,0,$F$36))</f>
        <v>#VALUE!</v>
      </c>
      <c r="M231" s="506"/>
      <c r="N231" s="505" t="e">
        <f t="shared" si="29"/>
        <v>#VALUE!</v>
      </c>
      <c r="O231" s="506"/>
      <c r="P231" s="305" t="e">
        <f t="shared" si="30"/>
        <v>#VALUE!</v>
      </c>
    </row>
    <row r="232" spans="2:16" s="299" customFormat="1" ht="12.6" customHeight="1">
      <c r="B232" s="315" t="e">
        <f t="shared" si="24"/>
        <v>#VALUE!</v>
      </c>
      <c r="C232" s="316" t="e">
        <f t="shared" si="31"/>
        <v>#VALUE!</v>
      </c>
      <c r="D232" s="317" t="e">
        <f t="shared" si="25"/>
        <v>#VALUE!</v>
      </c>
      <c r="E232" s="318" t="e">
        <f t="shared" si="26"/>
        <v>#VALUE!</v>
      </c>
      <c r="F232" s="319" t="e">
        <f t="shared" si="32"/>
        <v>#VALUE!</v>
      </c>
      <c r="G232" s="319" t="e">
        <f t="shared" si="27"/>
        <v>#VALUE!</v>
      </c>
      <c r="H232" s="318" t="e">
        <f t="shared" si="33"/>
        <v>#VALUE!</v>
      </c>
      <c r="I232" s="505" t="e">
        <f t="shared" si="28"/>
        <v>#VALUE!</v>
      </c>
      <c r="J232" s="506"/>
      <c r="K232" s="319" t="e">
        <f>IF($E$37&gt;B232,0,$E$36 IF(B232&gt;$E$21,0,$E$36))</f>
        <v>#VALUE!</v>
      </c>
      <c r="L232" s="507" t="e">
        <f>IF($F$37&gt;B232,0,$F$36 IF(B232&gt;$E$21,0,$F$36))</f>
        <v>#VALUE!</v>
      </c>
      <c r="M232" s="506"/>
      <c r="N232" s="505" t="e">
        <f t="shared" si="29"/>
        <v>#VALUE!</v>
      </c>
      <c r="O232" s="506"/>
      <c r="P232" s="305" t="e">
        <f t="shared" si="30"/>
        <v>#VALUE!</v>
      </c>
    </row>
    <row r="233" spans="2:16" s="299" customFormat="1" ht="12.6" customHeight="1">
      <c r="B233" s="315" t="e">
        <f t="shared" si="24"/>
        <v>#VALUE!</v>
      </c>
      <c r="C233" s="316" t="e">
        <f t="shared" si="31"/>
        <v>#VALUE!</v>
      </c>
      <c r="D233" s="317" t="e">
        <f t="shared" si="25"/>
        <v>#VALUE!</v>
      </c>
      <c r="E233" s="318" t="e">
        <f t="shared" si="26"/>
        <v>#VALUE!</v>
      </c>
      <c r="F233" s="319" t="e">
        <f t="shared" si="32"/>
        <v>#VALUE!</v>
      </c>
      <c r="G233" s="319" t="e">
        <f t="shared" si="27"/>
        <v>#VALUE!</v>
      </c>
      <c r="H233" s="318" t="e">
        <f t="shared" si="33"/>
        <v>#VALUE!</v>
      </c>
      <c r="I233" s="505" t="e">
        <f t="shared" si="28"/>
        <v>#VALUE!</v>
      </c>
      <c r="J233" s="506"/>
      <c r="K233" s="319" t="e">
        <f>IF($E$37&gt;B233,0,$E$36 IF(B233&gt;$E$21,0,$E$36))</f>
        <v>#VALUE!</v>
      </c>
      <c r="L233" s="507" t="e">
        <f>IF($F$37&gt;B233,0,$F$36 IF(B233&gt;$E$21,0,$F$36))</f>
        <v>#VALUE!</v>
      </c>
      <c r="M233" s="506"/>
      <c r="N233" s="505" t="e">
        <f t="shared" si="29"/>
        <v>#VALUE!</v>
      </c>
      <c r="O233" s="506"/>
      <c r="P233" s="305" t="e">
        <f t="shared" si="30"/>
        <v>#VALUE!</v>
      </c>
    </row>
    <row r="234" spans="2:16" s="299" customFormat="1" ht="12.6" customHeight="1">
      <c r="B234" s="315" t="e">
        <f t="shared" si="24"/>
        <v>#VALUE!</v>
      </c>
      <c r="C234" s="316" t="e">
        <f t="shared" si="31"/>
        <v>#VALUE!</v>
      </c>
      <c r="D234" s="317" t="e">
        <f t="shared" si="25"/>
        <v>#VALUE!</v>
      </c>
      <c r="E234" s="318" t="e">
        <f t="shared" si="26"/>
        <v>#VALUE!</v>
      </c>
      <c r="F234" s="319" t="e">
        <f t="shared" si="32"/>
        <v>#VALUE!</v>
      </c>
      <c r="G234" s="319" t="e">
        <f t="shared" si="27"/>
        <v>#VALUE!</v>
      </c>
      <c r="H234" s="318" t="e">
        <f t="shared" si="33"/>
        <v>#VALUE!</v>
      </c>
      <c r="I234" s="505" t="e">
        <f t="shared" si="28"/>
        <v>#VALUE!</v>
      </c>
      <c r="J234" s="506"/>
      <c r="K234" s="319" t="e">
        <f>IF($E$37&gt;B234,0,$E$36 IF(B234&gt;$E$21,0,$E$36))</f>
        <v>#VALUE!</v>
      </c>
      <c r="L234" s="507" t="e">
        <f>IF($F$37&gt;B234,0,$F$36 IF(B234&gt;$E$21,0,$F$36))</f>
        <v>#VALUE!</v>
      </c>
      <c r="M234" s="506"/>
      <c r="N234" s="505" t="e">
        <f t="shared" si="29"/>
        <v>#VALUE!</v>
      </c>
      <c r="O234" s="506"/>
      <c r="P234" s="305" t="e">
        <f t="shared" si="30"/>
        <v>#VALUE!</v>
      </c>
    </row>
    <row r="235" spans="2:16" s="299" customFormat="1" ht="12.6" customHeight="1">
      <c r="B235" s="315" t="e">
        <f t="shared" si="24"/>
        <v>#VALUE!</v>
      </c>
      <c r="C235" s="316" t="e">
        <f t="shared" si="31"/>
        <v>#VALUE!</v>
      </c>
      <c r="D235" s="317" t="e">
        <f t="shared" si="25"/>
        <v>#VALUE!</v>
      </c>
      <c r="E235" s="318" t="e">
        <f t="shared" si="26"/>
        <v>#VALUE!</v>
      </c>
      <c r="F235" s="319" t="e">
        <f t="shared" si="32"/>
        <v>#VALUE!</v>
      </c>
      <c r="G235" s="319" t="e">
        <f t="shared" si="27"/>
        <v>#VALUE!</v>
      </c>
      <c r="H235" s="318" t="e">
        <f t="shared" si="33"/>
        <v>#VALUE!</v>
      </c>
      <c r="I235" s="505" t="e">
        <f t="shared" si="28"/>
        <v>#VALUE!</v>
      </c>
      <c r="J235" s="506"/>
      <c r="K235" s="319" t="e">
        <f>IF($E$37&gt;B235,0,$E$36 IF(B235&gt;$E$21,0,$E$36))</f>
        <v>#VALUE!</v>
      </c>
      <c r="L235" s="507" t="e">
        <f>IF($F$37&gt;B235,0,$F$36 IF(B235&gt;$E$21,0,$F$36))</f>
        <v>#VALUE!</v>
      </c>
      <c r="M235" s="506"/>
      <c r="N235" s="505" t="e">
        <f t="shared" si="29"/>
        <v>#VALUE!</v>
      </c>
      <c r="O235" s="506"/>
      <c r="P235" s="305" t="e">
        <f t="shared" si="30"/>
        <v>#VALUE!</v>
      </c>
    </row>
    <row r="236" spans="2:16" s="299" customFormat="1" ht="12.6" customHeight="1">
      <c r="B236" s="315" t="e">
        <f t="shared" si="24"/>
        <v>#VALUE!</v>
      </c>
      <c r="C236" s="316" t="e">
        <f t="shared" si="31"/>
        <v>#VALUE!</v>
      </c>
      <c r="D236" s="317" t="e">
        <f t="shared" si="25"/>
        <v>#VALUE!</v>
      </c>
      <c r="E236" s="318" t="e">
        <f t="shared" si="26"/>
        <v>#VALUE!</v>
      </c>
      <c r="F236" s="319" t="e">
        <f t="shared" si="32"/>
        <v>#VALUE!</v>
      </c>
      <c r="G236" s="319" t="e">
        <f t="shared" si="27"/>
        <v>#VALUE!</v>
      </c>
      <c r="H236" s="318" t="e">
        <f t="shared" si="33"/>
        <v>#VALUE!</v>
      </c>
      <c r="I236" s="505" t="e">
        <f t="shared" si="28"/>
        <v>#VALUE!</v>
      </c>
      <c r="J236" s="506"/>
      <c r="K236" s="319" t="e">
        <f>IF($E$37&gt;B236,0,$E$36 IF(B236&gt;$E$21,0,$E$36))</f>
        <v>#VALUE!</v>
      </c>
      <c r="L236" s="507" t="e">
        <f>IF($F$37&gt;B236,0,$F$36 IF(B236&gt;$E$21,0,$F$36))</f>
        <v>#VALUE!</v>
      </c>
      <c r="M236" s="506"/>
      <c r="N236" s="505" t="e">
        <f t="shared" si="29"/>
        <v>#VALUE!</v>
      </c>
      <c r="O236" s="506"/>
      <c r="P236" s="305" t="e">
        <f t="shared" si="30"/>
        <v>#VALUE!</v>
      </c>
    </row>
    <row r="237" spans="2:16" s="299" customFormat="1" ht="12.6" customHeight="1">
      <c r="B237" s="315" t="e">
        <f t="shared" si="24"/>
        <v>#VALUE!</v>
      </c>
      <c r="C237" s="316" t="e">
        <f t="shared" si="31"/>
        <v>#VALUE!</v>
      </c>
      <c r="D237" s="317" t="e">
        <f t="shared" si="25"/>
        <v>#VALUE!</v>
      </c>
      <c r="E237" s="318" t="e">
        <f t="shared" si="26"/>
        <v>#VALUE!</v>
      </c>
      <c r="F237" s="319" t="e">
        <f t="shared" si="32"/>
        <v>#VALUE!</v>
      </c>
      <c r="G237" s="319" t="e">
        <f t="shared" si="27"/>
        <v>#VALUE!</v>
      </c>
      <c r="H237" s="318" t="e">
        <f t="shared" si="33"/>
        <v>#VALUE!</v>
      </c>
      <c r="I237" s="505" t="e">
        <f t="shared" si="28"/>
        <v>#VALUE!</v>
      </c>
      <c r="J237" s="506"/>
      <c r="K237" s="319" t="e">
        <f>IF($E$37&gt;B237,0,$E$36 IF(B237&gt;$E$21,0,$E$36))</f>
        <v>#VALUE!</v>
      </c>
      <c r="L237" s="507" t="e">
        <f>IF($F$37&gt;B237,0,$F$36 IF(B237&gt;$E$21,0,$F$36))</f>
        <v>#VALUE!</v>
      </c>
      <c r="M237" s="506"/>
      <c r="N237" s="505" t="e">
        <f t="shared" si="29"/>
        <v>#VALUE!</v>
      </c>
      <c r="O237" s="506"/>
      <c r="P237" s="305" t="e">
        <f t="shared" si="30"/>
        <v>#VALUE!</v>
      </c>
    </row>
    <row r="238" spans="2:16" s="299" customFormat="1" ht="12.6" customHeight="1">
      <c r="B238" s="315" t="e">
        <f t="shared" si="24"/>
        <v>#VALUE!</v>
      </c>
      <c r="C238" s="316" t="e">
        <f t="shared" si="31"/>
        <v>#VALUE!</v>
      </c>
      <c r="D238" s="317" t="e">
        <f t="shared" si="25"/>
        <v>#VALUE!</v>
      </c>
      <c r="E238" s="318" t="e">
        <f t="shared" si="26"/>
        <v>#VALUE!</v>
      </c>
      <c r="F238" s="319" t="e">
        <f t="shared" si="32"/>
        <v>#VALUE!</v>
      </c>
      <c r="G238" s="319" t="e">
        <f t="shared" si="27"/>
        <v>#VALUE!</v>
      </c>
      <c r="H238" s="318" t="e">
        <f t="shared" si="33"/>
        <v>#VALUE!</v>
      </c>
      <c r="I238" s="505" t="e">
        <f t="shared" si="28"/>
        <v>#VALUE!</v>
      </c>
      <c r="J238" s="506"/>
      <c r="K238" s="319" t="e">
        <f>IF($E$37&gt;B238,0,$E$36 IF(B238&gt;$E$21,0,$E$36))</f>
        <v>#VALUE!</v>
      </c>
      <c r="L238" s="507" t="e">
        <f>IF($F$37&gt;B238,0,$F$36 IF(B238&gt;$E$21,0,$F$36))</f>
        <v>#VALUE!</v>
      </c>
      <c r="M238" s="506"/>
      <c r="N238" s="505" t="e">
        <f t="shared" si="29"/>
        <v>#VALUE!</v>
      </c>
      <c r="O238" s="506"/>
      <c r="P238" s="305" t="e">
        <f t="shared" si="30"/>
        <v>#VALUE!</v>
      </c>
    </row>
    <row r="239" spans="2:16" s="299" customFormat="1" ht="12.6" customHeight="1">
      <c r="B239" s="315" t="e">
        <f t="shared" si="24"/>
        <v>#VALUE!</v>
      </c>
      <c r="C239" s="316" t="e">
        <f t="shared" si="31"/>
        <v>#VALUE!</v>
      </c>
      <c r="D239" s="317" t="e">
        <f t="shared" si="25"/>
        <v>#VALUE!</v>
      </c>
      <c r="E239" s="318" t="e">
        <f t="shared" si="26"/>
        <v>#VALUE!</v>
      </c>
      <c r="F239" s="319" t="e">
        <f t="shared" si="32"/>
        <v>#VALUE!</v>
      </c>
      <c r="G239" s="319" t="e">
        <f t="shared" si="27"/>
        <v>#VALUE!</v>
      </c>
      <c r="H239" s="318" t="e">
        <f t="shared" si="33"/>
        <v>#VALUE!</v>
      </c>
      <c r="I239" s="505" t="e">
        <f t="shared" si="28"/>
        <v>#VALUE!</v>
      </c>
      <c r="J239" s="506"/>
      <c r="K239" s="319" t="e">
        <f>IF($E$37&gt;B239,0,$E$36 IF(B239&gt;$E$21,0,$E$36))</f>
        <v>#VALUE!</v>
      </c>
      <c r="L239" s="507" t="e">
        <f>IF($F$37&gt;B239,0,$F$36 IF(B239&gt;$E$21,0,$F$36))</f>
        <v>#VALUE!</v>
      </c>
      <c r="M239" s="506"/>
      <c r="N239" s="505" t="e">
        <f t="shared" si="29"/>
        <v>#VALUE!</v>
      </c>
      <c r="O239" s="506"/>
      <c r="P239" s="305" t="e">
        <f t="shared" si="30"/>
        <v>#VALUE!</v>
      </c>
    </row>
    <row r="240" spans="2:16" s="299" customFormat="1" ht="12.6" customHeight="1">
      <c r="B240" s="315" t="e">
        <f t="shared" si="24"/>
        <v>#VALUE!</v>
      </c>
      <c r="C240" s="316" t="e">
        <f t="shared" si="31"/>
        <v>#VALUE!</v>
      </c>
      <c r="D240" s="317" t="e">
        <f t="shared" si="25"/>
        <v>#VALUE!</v>
      </c>
      <c r="E240" s="318" t="e">
        <f t="shared" si="26"/>
        <v>#VALUE!</v>
      </c>
      <c r="F240" s="319" t="e">
        <f t="shared" si="32"/>
        <v>#VALUE!</v>
      </c>
      <c r="G240" s="319" t="e">
        <f t="shared" si="27"/>
        <v>#VALUE!</v>
      </c>
      <c r="H240" s="318" t="e">
        <f t="shared" si="33"/>
        <v>#VALUE!</v>
      </c>
      <c r="I240" s="505" t="e">
        <f t="shared" si="28"/>
        <v>#VALUE!</v>
      </c>
      <c r="J240" s="506"/>
      <c r="K240" s="319" t="e">
        <f>IF($E$37&gt;B240,0,$E$36 IF(B240&gt;$E$21,0,$E$36))</f>
        <v>#VALUE!</v>
      </c>
      <c r="L240" s="507" t="e">
        <f>IF($F$37&gt;B240,0,$F$36 IF(B240&gt;$E$21,0,$F$36))</f>
        <v>#VALUE!</v>
      </c>
      <c r="M240" s="506"/>
      <c r="N240" s="505" t="e">
        <f t="shared" si="29"/>
        <v>#VALUE!</v>
      </c>
      <c r="O240" s="506"/>
      <c r="P240" s="305" t="e">
        <f t="shared" si="30"/>
        <v>#VALUE!</v>
      </c>
    </row>
    <row r="241" spans="2:16" s="299" customFormat="1" ht="12.6" customHeight="1">
      <c r="B241" s="315" t="e">
        <f t="shared" si="24"/>
        <v>#VALUE!</v>
      </c>
      <c r="C241" s="316" t="e">
        <f t="shared" si="31"/>
        <v>#VALUE!</v>
      </c>
      <c r="D241" s="317" t="e">
        <f t="shared" si="25"/>
        <v>#VALUE!</v>
      </c>
      <c r="E241" s="318" t="e">
        <f t="shared" si="26"/>
        <v>#VALUE!</v>
      </c>
      <c r="F241" s="319" t="e">
        <f t="shared" si="32"/>
        <v>#VALUE!</v>
      </c>
      <c r="G241" s="319" t="e">
        <f t="shared" si="27"/>
        <v>#VALUE!</v>
      </c>
      <c r="H241" s="318" t="e">
        <f t="shared" si="33"/>
        <v>#VALUE!</v>
      </c>
      <c r="I241" s="505" t="e">
        <f t="shared" si="28"/>
        <v>#VALUE!</v>
      </c>
      <c r="J241" s="506"/>
      <c r="K241" s="319" t="e">
        <f>IF($E$37&gt;B241,0,$E$36 IF(B241&gt;$E$21,0,$E$36))</f>
        <v>#VALUE!</v>
      </c>
      <c r="L241" s="507" t="e">
        <f>IF($F$37&gt;B241,0,$F$36 IF(B241&gt;$E$21,0,$F$36))</f>
        <v>#VALUE!</v>
      </c>
      <c r="M241" s="506"/>
      <c r="N241" s="505" t="e">
        <f t="shared" si="29"/>
        <v>#VALUE!</v>
      </c>
      <c r="O241" s="506"/>
      <c r="P241" s="305" t="e">
        <f t="shared" si="30"/>
        <v>#VALUE!</v>
      </c>
    </row>
    <row r="242" spans="2:16" s="299" customFormat="1" ht="12.6" customHeight="1">
      <c r="B242" s="315" t="e">
        <f t="shared" si="24"/>
        <v>#VALUE!</v>
      </c>
      <c r="C242" s="316" t="e">
        <f t="shared" si="31"/>
        <v>#VALUE!</v>
      </c>
      <c r="D242" s="317" t="e">
        <f t="shared" si="25"/>
        <v>#VALUE!</v>
      </c>
      <c r="E242" s="318" t="e">
        <f t="shared" si="26"/>
        <v>#VALUE!</v>
      </c>
      <c r="F242" s="319" t="e">
        <f t="shared" si="32"/>
        <v>#VALUE!</v>
      </c>
      <c r="G242" s="319" t="e">
        <f t="shared" si="27"/>
        <v>#VALUE!</v>
      </c>
      <c r="H242" s="318" t="e">
        <f t="shared" si="33"/>
        <v>#VALUE!</v>
      </c>
      <c r="I242" s="505" t="e">
        <f t="shared" si="28"/>
        <v>#VALUE!</v>
      </c>
      <c r="J242" s="506"/>
      <c r="K242" s="319" t="e">
        <f>IF($E$37&gt;B242,0,$E$36 IF(B242&gt;$E$21,0,$E$36))</f>
        <v>#VALUE!</v>
      </c>
      <c r="L242" s="507" t="e">
        <f>IF($F$37&gt;B242,0,$F$36 IF(B242&gt;$E$21,0,$F$36))</f>
        <v>#VALUE!</v>
      </c>
      <c r="M242" s="506"/>
      <c r="N242" s="505" t="e">
        <f t="shared" si="29"/>
        <v>#VALUE!</v>
      </c>
      <c r="O242" s="506"/>
      <c r="P242" s="305" t="e">
        <f t="shared" si="30"/>
        <v>#VALUE!</v>
      </c>
    </row>
    <row r="243" spans="2:16" s="299" customFormat="1" ht="12.6" customHeight="1">
      <c r="B243" s="315" t="e">
        <f t="shared" si="24"/>
        <v>#VALUE!</v>
      </c>
      <c r="C243" s="316" t="e">
        <f t="shared" si="31"/>
        <v>#VALUE!</v>
      </c>
      <c r="D243" s="317" t="e">
        <f t="shared" si="25"/>
        <v>#VALUE!</v>
      </c>
      <c r="E243" s="318" t="e">
        <f t="shared" si="26"/>
        <v>#VALUE!</v>
      </c>
      <c r="F243" s="319" t="e">
        <f t="shared" si="32"/>
        <v>#VALUE!</v>
      </c>
      <c r="G243" s="319" t="e">
        <f t="shared" si="27"/>
        <v>#VALUE!</v>
      </c>
      <c r="H243" s="318" t="e">
        <f t="shared" si="33"/>
        <v>#VALUE!</v>
      </c>
      <c r="I243" s="505" t="e">
        <f t="shared" si="28"/>
        <v>#VALUE!</v>
      </c>
      <c r="J243" s="506"/>
      <c r="K243" s="319" t="e">
        <f>IF($E$37&gt;B243,0,$E$36 IF(B243&gt;$E$21,0,$E$36))</f>
        <v>#VALUE!</v>
      </c>
      <c r="L243" s="507" t="e">
        <f>IF($F$37&gt;B243,0,$F$36 IF(B243&gt;$E$21,0,$F$36))</f>
        <v>#VALUE!</v>
      </c>
      <c r="M243" s="506"/>
      <c r="N243" s="505" t="e">
        <f t="shared" si="29"/>
        <v>#VALUE!</v>
      </c>
      <c r="O243" s="506"/>
      <c r="P243" s="305" t="e">
        <f t="shared" si="30"/>
        <v>#VALUE!</v>
      </c>
    </row>
    <row r="244" spans="2:16" s="299" customFormat="1" ht="12.6" customHeight="1">
      <c r="B244" s="315" t="e">
        <f t="shared" si="24"/>
        <v>#VALUE!</v>
      </c>
      <c r="C244" s="316" t="e">
        <f t="shared" si="31"/>
        <v>#VALUE!</v>
      </c>
      <c r="D244" s="317" t="e">
        <f t="shared" si="25"/>
        <v>#VALUE!</v>
      </c>
      <c r="E244" s="318" t="e">
        <f t="shared" si="26"/>
        <v>#VALUE!</v>
      </c>
      <c r="F244" s="319" t="e">
        <f t="shared" si="32"/>
        <v>#VALUE!</v>
      </c>
      <c r="G244" s="319" t="e">
        <f t="shared" si="27"/>
        <v>#VALUE!</v>
      </c>
      <c r="H244" s="318" t="e">
        <f t="shared" si="33"/>
        <v>#VALUE!</v>
      </c>
      <c r="I244" s="505" t="e">
        <f t="shared" si="28"/>
        <v>#VALUE!</v>
      </c>
      <c r="J244" s="506"/>
      <c r="K244" s="319" t="e">
        <f>IF($E$37&gt;B244,0,$E$36 IF(B244&gt;$E$21,0,$E$36))</f>
        <v>#VALUE!</v>
      </c>
      <c r="L244" s="507" t="e">
        <f>IF($F$37&gt;B244,0,$F$36 IF(B244&gt;$E$21,0,$F$36))</f>
        <v>#VALUE!</v>
      </c>
      <c r="M244" s="506"/>
      <c r="N244" s="505" t="e">
        <f t="shared" si="29"/>
        <v>#VALUE!</v>
      </c>
      <c r="O244" s="506"/>
      <c r="P244" s="305" t="e">
        <f t="shared" si="30"/>
        <v>#VALUE!</v>
      </c>
    </row>
    <row r="245" spans="2:16" s="299" customFormat="1" ht="12.6" customHeight="1">
      <c r="B245" s="315" t="e">
        <f t="shared" si="24"/>
        <v>#VALUE!</v>
      </c>
      <c r="C245" s="316" t="e">
        <f t="shared" si="31"/>
        <v>#VALUE!</v>
      </c>
      <c r="D245" s="317" t="e">
        <f t="shared" si="25"/>
        <v>#VALUE!</v>
      </c>
      <c r="E245" s="318" t="e">
        <f t="shared" si="26"/>
        <v>#VALUE!</v>
      </c>
      <c r="F245" s="319" t="e">
        <f t="shared" si="32"/>
        <v>#VALUE!</v>
      </c>
      <c r="G245" s="319" t="e">
        <f t="shared" si="27"/>
        <v>#VALUE!</v>
      </c>
      <c r="H245" s="318" t="e">
        <f t="shared" si="33"/>
        <v>#VALUE!</v>
      </c>
      <c r="I245" s="505" t="e">
        <f t="shared" si="28"/>
        <v>#VALUE!</v>
      </c>
      <c r="J245" s="506"/>
      <c r="K245" s="319" t="e">
        <f>IF($E$37&gt;B245,0,$E$36 IF(B245&gt;$E$21,0,$E$36))</f>
        <v>#VALUE!</v>
      </c>
      <c r="L245" s="507" t="e">
        <f>IF($F$37&gt;B245,0,$F$36 IF(B245&gt;$E$21,0,$F$36))</f>
        <v>#VALUE!</v>
      </c>
      <c r="M245" s="506"/>
      <c r="N245" s="505" t="e">
        <f t="shared" si="29"/>
        <v>#VALUE!</v>
      </c>
      <c r="O245" s="506"/>
      <c r="P245" s="305" t="e">
        <f t="shared" si="30"/>
        <v>#VALUE!</v>
      </c>
    </row>
    <row r="246" spans="2:16" s="299" customFormat="1" ht="12.6" customHeight="1">
      <c r="B246" s="315" t="e">
        <f t="shared" si="24"/>
        <v>#VALUE!</v>
      </c>
      <c r="C246" s="316" t="e">
        <f t="shared" si="31"/>
        <v>#VALUE!</v>
      </c>
      <c r="D246" s="317" t="e">
        <f t="shared" si="25"/>
        <v>#VALUE!</v>
      </c>
      <c r="E246" s="318" t="e">
        <f t="shared" si="26"/>
        <v>#VALUE!</v>
      </c>
      <c r="F246" s="319" t="e">
        <f t="shared" si="32"/>
        <v>#VALUE!</v>
      </c>
      <c r="G246" s="319" t="e">
        <f t="shared" si="27"/>
        <v>#VALUE!</v>
      </c>
      <c r="H246" s="318" t="e">
        <f t="shared" si="33"/>
        <v>#VALUE!</v>
      </c>
      <c r="I246" s="505" t="e">
        <f t="shared" si="28"/>
        <v>#VALUE!</v>
      </c>
      <c r="J246" s="506"/>
      <c r="K246" s="319" t="e">
        <f>IF($E$37&gt;B246,0,$E$36 IF(B246&gt;$E$21,0,$E$36))</f>
        <v>#VALUE!</v>
      </c>
      <c r="L246" s="507" t="e">
        <f>IF($F$37&gt;B246,0,$F$36 IF(B246&gt;$E$21,0,$F$36))</f>
        <v>#VALUE!</v>
      </c>
      <c r="M246" s="506"/>
      <c r="N246" s="505" t="e">
        <f t="shared" si="29"/>
        <v>#VALUE!</v>
      </c>
      <c r="O246" s="506"/>
      <c r="P246" s="305" t="e">
        <f t="shared" si="30"/>
        <v>#VALUE!</v>
      </c>
    </row>
    <row r="247" spans="2:16" s="299" customFormat="1" ht="12.6" customHeight="1">
      <c r="B247" s="315" t="e">
        <f t="shared" si="24"/>
        <v>#VALUE!</v>
      </c>
      <c r="C247" s="316" t="e">
        <f t="shared" si="31"/>
        <v>#VALUE!</v>
      </c>
      <c r="D247" s="317" t="e">
        <f t="shared" si="25"/>
        <v>#VALUE!</v>
      </c>
      <c r="E247" s="318" t="e">
        <f t="shared" si="26"/>
        <v>#VALUE!</v>
      </c>
      <c r="F247" s="319" t="e">
        <f t="shared" si="32"/>
        <v>#VALUE!</v>
      </c>
      <c r="G247" s="319" t="e">
        <f t="shared" si="27"/>
        <v>#VALUE!</v>
      </c>
      <c r="H247" s="318" t="e">
        <f t="shared" si="33"/>
        <v>#VALUE!</v>
      </c>
      <c r="I247" s="505" t="e">
        <f t="shared" si="28"/>
        <v>#VALUE!</v>
      </c>
      <c r="J247" s="506"/>
      <c r="K247" s="319" t="e">
        <f>IF($E$37&gt;B247,0,$E$36 IF(B247&gt;$E$21,0,$E$36))</f>
        <v>#VALUE!</v>
      </c>
      <c r="L247" s="507" t="e">
        <f>IF($F$37&gt;B247,0,$F$36 IF(B247&gt;$E$21,0,$F$36))</f>
        <v>#VALUE!</v>
      </c>
      <c r="M247" s="506"/>
      <c r="N247" s="505" t="e">
        <f t="shared" si="29"/>
        <v>#VALUE!</v>
      </c>
      <c r="O247" s="506"/>
      <c r="P247" s="305" t="e">
        <f t="shared" si="30"/>
        <v>#VALUE!</v>
      </c>
    </row>
    <row r="248" spans="2:16" s="299" customFormat="1" ht="12.6" customHeight="1">
      <c r="B248" s="315" t="e">
        <f t="shared" si="24"/>
        <v>#VALUE!</v>
      </c>
      <c r="C248" s="316" t="e">
        <f t="shared" si="31"/>
        <v>#VALUE!</v>
      </c>
      <c r="D248" s="317" t="e">
        <f t="shared" si="25"/>
        <v>#VALUE!</v>
      </c>
      <c r="E248" s="318" t="e">
        <f t="shared" si="26"/>
        <v>#VALUE!</v>
      </c>
      <c r="F248" s="319" t="e">
        <f t="shared" si="32"/>
        <v>#VALUE!</v>
      </c>
      <c r="G248" s="319" t="e">
        <f t="shared" si="27"/>
        <v>#VALUE!</v>
      </c>
      <c r="H248" s="318" t="e">
        <f t="shared" si="33"/>
        <v>#VALUE!</v>
      </c>
      <c r="I248" s="505" t="e">
        <f t="shared" si="28"/>
        <v>#VALUE!</v>
      </c>
      <c r="J248" s="506"/>
      <c r="K248" s="319" t="e">
        <f>IF($E$37&gt;B248,0,$E$36 IF(B248&gt;$E$21,0,$E$36))</f>
        <v>#VALUE!</v>
      </c>
      <c r="L248" s="507" t="e">
        <f>IF($F$37&gt;B248,0,$F$36 IF(B248&gt;$E$21,0,$F$36))</f>
        <v>#VALUE!</v>
      </c>
      <c r="M248" s="506"/>
      <c r="N248" s="505" t="e">
        <f t="shared" si="29"/>
        <v>#VALUE!</v>
      </c>
      <c r="O248" s="506"/>
      <c r="P248" s="305" t="e">
        <f t="shared" si="30"/>
        <v>#VALUE!</v>
      </c>
    </row>
    <row r="249" spans="2:16" s="299" customFormat="1" ht="12.6" customHeight="1">
      <c r="B249" s="315" t="e">
        <f t="shared" si="24"/>
        <v>#VALUE!</v>
      </c>
      <c r="C249" s="316" t="e">
        <f t="shared" si="31"/>
        <v>#VALUE!</v>
      </c>
      <c r="D249" s="317" t="e">
        <f t="shared" si="25"/>
        <v>#VALUE!</v>
      </c>
      <c r="E249" s="318" t="e">
        <f t="shared" si="26"/>
        <v>#VALUE!</v>
      </c>
      <c r="F249" s="319" t="e">
        <f t="shared" si="32"/>
        <v>#VALUE!</v>
      </c>
      <c r="G249" s="319" t="e">
        <f t="shared" si="27"/>
        <v>#VALUE!</v>
      </c>
      <c r="H249" s="318" t="e">
        <f t="shared" si="33"/>
        <v>#VALUE!</v>
      </c>
      <c r="I249" s="505" t="e">
        <f t="shared" si="28"/>
        <v>#VALUE!</v>
      </c>
      <c r="J249" s="506"/>
      <c r="K249" s="319" t="e">
        <f>IF($E$37&gt;B249,0,$E$36 IF(B249&gt;$E$21,0,$E$36))</f>
        <v>#VALUE!</v>
      </c>
      <c r="L249" s="507" t="e">
        <f>IF($F$37&gt;B249,0,$F$36 IF(B249&gt;$E$21,0,$F$36))</f>
        <v>#VALUE!</v>
      </c>
      <c r="M249" s="506"/>
      <c r="N249" s="505" t="e">
        <f t="shared" si="29"/>
        <v>#VALUE!</v>
      </c>
      <c r="O249" s="506"/>
      <c r="P249" s="305" t="e">
        <f t="shared" si="30"/>
        <v>#VALUE!</v>
      </c>
    </row>
    <row r="250" spans="2:16" s="299" customFormat="1" ht="12.6" customHeight="1">
      <c r="B250" s="315" t="e">
        <f t="shared" si="24"/>
        <v>#VALUE!</v>
      </c>
      <c r="C250" s="316" t="e">
        <f t="shared" si="31"/>
        <v>#VALUE!</v>
      </c>
      <c r="D250" s="317" t="e">
        <f t="shared" si="25"/>
        <v>#VALUE!</v>
      </c>
      <c r="E250" s="318" t="e">
        <f t="shared" si="26"/>
        <v>#VALUE!</v>
      </c>
      <c r="F250" s="319" t="e">
        <f t="shared" si="32"/>
        <v>#VALUE!</v>
      </c>
      <c r="G250" s="319" t="e">
        <f t="shared" si="27"/>
        <v>#VALUE!</v>
      </c>
      <c r="H250" s="318" t="e">
        <f t="shared" si="33"/>
        <v>#VALUE!</v>
      </c>
      <c r="I250" s="505" t="e">
        <f t="shared" si="28"/>
        <v>#VALUE!</v>
      </c>
      <c r="J250" s="506"/>
      <c r="K250" s="319" t="e">
        <f>IF($E$37&gt;B250,0,$E$36 IF(B250&gt;$E$21,0,$E$36))</f>
        <v>#VALUE!</v>
      </c>
      <c r="L250" s="507" t="e">
        <f>IF($F$37&gt;B250,0,$F$36 IF(B250&gt;$E$21,0,$F$36))</f>
        <v>#VALUE!</v>
      </c>
      <c r="M250" s="506"/>
      <c r="N250" s="505" t="e">
        <f t="shared" si="29"/>
        <v>#VALUE!</v>
      </c>
      <c r="O250" s="506"/>
      <c r="P250" s="305" t="e">
        <f t="shared" si="30"/>
        <v>#VALUE!</v>
      </c>
    </row>
    <row r="251" spans="2:16" s="299" customFormat="1" ht="12.6" customHeight="1">
      <c r="B251" s="315" t="e">
        <f t="shared" si="24"/>
        <v>#VALUE!</v>
      </c>
      <c r="C251" s="316" t="e">
        <f t="shared" si="31"/>
        <v>#VALUE!</v>
      </c>
      <c r="D251" s="317" t="e">
        <f t="shared" si="25"/>
        <v>#VALUE!</v>
      </c>
      <c r="E251" s="318" t="e">
        <f t="shared" si="26"/>
        <v>#VALUE!</v>
      </c>
      <c r="F251" s="319" t="e">
        <f t="shared" si="32"/>
        <v>#VALUE!</v>
      </c>
      <c r="G251" s="319" t="e">
        <f t="shared" si="27"/>
        <v>#VALUE!</v>
      </c>
      <c r="H251" s="318" t="e">
        <f t="shared" si="33"/>
        <v>#VALUE!</v>
      </c>
      <c r="I251" s="505" t="e">
        <f t="shared" si="28"/>
        <v>#VALUE!</v>
      </c>
      <c r="J251" s="506"/>
      <c r="K251" s="319" t="e">
        <f>IF($E$37&gt;B251,0,$E$36 IF(B251&gt;$E$21,0,$E$36))</f>
        <v>#VALUE!</v>
      </c>
      <c r="L251" s="507" t="e">
        <f>IF($F$37&gt;B251,0,$F$36 IF(B251&gt;$E$21,0,$F$36))</f>
        <v>#VALUE!</v>
      </c>
      <c r="M251" s="506"/>
      <c r="N251" s="505" t="e">
        <f t="shared" si="29"/>
        <v>#VALUE!</v>
      </c>
      <c r="O251" s="506"/>
      <c r="P251" s="305" t="e">
        <f t="shared" si="30"/>
        <v>#VALUE!</v>
      </c>
    </row>
    <row r="252" spans="2:16" s="299" customFormat="1" ht="12.6" customHeight="1">
      <c r="B252" s="315" t="e">
        <f t="shared" si="24"/>
        <v>#VALUE!</v>
      </c>
      <c r="C252" s="316" t="e">
        <f t="shared" si="31"/>
        <v>#VALUE!</v>
      </c>
      <c r="D252" s="317" t="e">
        <f t="shared" si="25"/>
        <v>#VALUE!</v>
      </c>
      <c r="E252" s="318" t="e">
        <f t="shared" si="26"/>
        <v>#VALUE!</v>
      </c>
      <c r="F252" s="319" t="e">
        <f t="shared" si="32"/>
        <v>#VALUE!</v>
      </c>
      <c r="G252" s="319" t="e">
        <f t="shared" si="27"/>
        <v>#VALUE!</v>
      </c>
      <c r="H252" s="318" t="e">
        <f t="shared" si="33"/>
        <v>#VALUE!</v>
      </c>
      <c r="I252" s="505" t="e">
        <f t="shared" si="28"/>
        <v>#VALUE!</v>
      </c>
      <c r="J252" s="506"/>
      <c r="K252" s="319" t="e">
        <f>IF($E$37&gt;B252,0,$E$36 IF(B252&gt;$E$21,0,$E$36))</f>
        <v>#VALUE!</v>
      </c>
      <c r="L252" s="507" t="e">
        <f>IF($F$37&gt;B252,0,$F$36 IF(B252&gt;$E$21,0,$F$36))</f>
        <v>#VALUE!</v>
      </c>
      <c r="M252" s="506"/>
      <c r="N252" s="505" t="e">
        <f t="shared" si="29"/>
        <v>#VALUE!</v>
      </c>
      <c r="O252" s="506"/>
      <c r="P252" s="305" t="e">
        <f t="shared" si="30"/>
        <v>#VALUE!</v>
      </c>
    </row>
    <row r="253" spans="2:16" s="299" customFormat="1" ht="12.6" customHeight="1">
      <c r="B253" s="315" t="e">
        <f t="shared" si="24"/>
        <v>#VALUE!</v>
      </c>
      <c r="C253" s="316" t="e">
        <f t="shared" si="31"/>
        <v>#VALUE!</v>
      </c>
      <c r="D253" s="317" t="e">
        <f t="shared" si="25"/>
        <v>#VALUE!</v>
      </c>
      <c r="E253" s="318" t="e">
        <f t="shared" si="26"/>
        <v>#VALUE!</v>
      </c>
      <c r="F253" s="319" t="e">
        <f t="shared" si="32"/>
        <v>#VALUE!</v>
      </c>
      <c r="G253" s="319" t="e">
        <f t="shared" si="27"/>
        <v>#VALUE!</v>
      </c>
      <c r="H253" s="318" t="e">
        <f t="shared" si="33"/>
        <v>#VALUE!</v>
      </c>
      <c r="I253" s="505" t="e">
        <f t="shared" si="28"/>
        <v>#VALUE!</v>
      </c>
      <c r="J253" s="506"/>
      <c r="K253" s="319" t="e">
        <f>IF($E$37&gt;B253,0,$E$36 IF(B253&gt;$E$21,0,$E$36))</f>
        <v>#VALUE!</v>
      </c>
      <c r="L253" s="507" t="e">
        <f>IF($F$37&gt;B253,0,$F$36 IF(B253&gt;$E$21,0,$F$36))</f>
        <v>#VALUE!</v>
      </c>
      <c r="M253" s="506"/>
      <c r="N253" s="505" t="e">
        <f t="shared" si="29"/>
        <v>#VALUE!</v>
      </c>
      <c r="O253" s="506"/>
      <c r="P253" s="305" t="e">
        <f t="shared" si="30"/>
        <v>#VALUE!</v>
      </c>
    </row>
    <row r="254" spans="2:16" s="299" customFormat="1" ht="12.6" customHeight="1">
      <c r="B254" s="315" t="e">
        <f t="shared" si="24"/>
        <v>#VALUE!</v>
      </c>
      <c r="C254" s="316" t="e">
        <f t="shared" si="31"/>
        <v>#VALUE!</v>
      </c>
      <c r="D254" s="317" t="e">
        <f t="shared" si="25"/>
        <v>#VALUE!</v>
      </c>
      <c r="E254" s="318" t="e">
        <f t="shared" si="26"/>
        <v>#VALUE!</v>
      </c>
      <c r="F254" s="319" t="e">
        <f t="shared" si="32"/>
        <v>#VALUE!</v>
      </c>
      <c r="G254" s="319" t="e">
        <f t="shared" si="27"/>
        <v>#VALUE!</v>
      </c>
      <c r="H254" s="318" t="e">
        <f t="shared" si="33"/>
        <v>#VALUE!</v>
      </c>
      <c r="I254" s="505" t="e">
        <f t="shared" si="28"/>
        <v>#VALUE!</v>
      </c>
      <c r="J254" s="506"/>
      <c r="K254" s="319" t="e">
        <f>IF($E$37&gt;B254,0,$E$36 IF(B254&gt;$E$21,0,$E$36))</f>
        <v>#VALUE!</v>
      </c>
      <c r="L254" s="507" t="e">
        <f>IF($F$37&gt;B254,0,$F$36 IF(B254&gt;$E$21,0,$F$36))</f>
        <v>#VALUE!</v>
      </c>
      <c r="M254" s="506"/>
      <c r="N254" s="505" t="e">
        <f t="shared" si="29"/>
        <v>#VALUE!</v>
      </c>
      <c r="O254" s="506"/>
      <c r="P254" s="305" t="e">
        <f t="shared" si="30"/>
        <v>#VALUE!</v>
      </c>
    </row>
    <row r="255" spans="2:16" s="299" customFormat="1" ht="12.6" customHeight="1">
      <c r="B255" s="315" t="e">
        <f t="shared" si="24"/>
        <v>#VALUE!</v>
      </c>
      <c r="C255" s="316" t="e">
        <f t="shared" si="31"/>
        <v>#VALUE!</v>
      </c>
      <c r="D255" s="317" t="e">
        <f t="shared" si="25"/>
        <v>#VALUE!</v>
      </c>
      <c r="E255" s="318" t="e">
        <f t="shared" si="26"/>
        <v>#VALUE!</v>
      </c>
      <c r="F255" s="319" t="e">
        <f t="shared" si="32"/>
        <v>#VALUE!</v>
      </c>
      <c r="G255" s="319" t="e">
        <f t="shared" si="27"/>
        <v>#VALUE!</v>
      </c>
      <c r="H255" s="318" t="e">
        <f t="shared" si="33"/>
        <v>#VALUE!</v>
      </c>
      <c r="I255" s="505" t="e">
        <f t="shared" si="28"/>
        <v>#VALUE!</v>
      </c>
      <c r="J255" s="506"/>
      <c r="K255" s="319" t="e">
        <f>IF($E$37&gt;B255,0,$E$36 IF(B255&gt;$E$21,0,$E$36))</f>
        <v>#VALUE!</v>
      </c>
      <c r="L255" s="507" t="e">
        <f>IF($F$37&gt;B255,0,$F$36 IF(B255&gt;$E$21,0,$F$36))</f>
        <v>#VALUE!</v>
      </c>
      <c r="M255" s="506"/>
      <c r="N255" s="505" t="e">
        <f t="shared" si="29"/>
        <v>#VALUE!</v>
      </c>
      <c r="O255" s="506"/>
      <c r="P255" s="305" t="e">
        <f t="shared" si="30"/>
        <v>#VALUE!</v>
      </c>
    </row>
    <row r="256" spans="2:16" s="299" customFormat="1" ht="12.6" customHeight="1">
      <c r="B256" s="315" t="e">
        <f t="shared" si="24"/>
        <v>#VALUE!</v>
      </c>
      <c r="C256" s="316" t="e">
        <f t="shared" si="31"/>
        <v>#VALUE!</v>
      </c>
      <c r="D256" s="317" t="e">
        <f t="shared" si="25"/>
        <v>#VALUE!</v>
      </c>
      <c r="E256" s="318" t="e">
        <f t="shared" si="26"/>
        <v>#VALUE!</v>
      </c>
      <c r="F256" s="319" t="e">
        <f t="shared" si="32"/>
        <v>#VALUE!</v>
      </c>
      <c r="G256" s="319" t="e">
        <f t="shared" si="27"/>
        <v>#VALUE!</v>
      </c>
      <c r="H256" s="318" t="e">
        <f t="shared" si="33"/>
        <v>#VALUE!</v>
      </c>
      <c r="I256" s="505" t="e">
        <f t="shared" si="28"/>
        <v>#VALUE!</v>
      </c>
      <c r="J256" s="506"/>
      <c r="K256" s="319" t="e">
        <f>IF($E$37&gt;B256,0,$E$36 IF(B256&gt;$E$21,0,$E$36))</f>
        <v>#VALUE!</v>
      </c>
      <c r="L256" s="507" t="e">
        <f>IF($F$37&gt;B256,0,$F$36 IF(B256&gt;$E$21,0,$F$36))</f>
        <v>#VALUE!</v>
      </c>
      <c r="M256" s="506"/>
      <c r="N256" s="505" t="e">
        <f t="shared" si="29"/>
        <v>#VALUE!</v>
      </c>
      <c r="O256" s="506"/>
      <c r="P256" s="305" t="e">
        <f t="shared" si="30"/>
        <v>#VALUE!</v>
      </c>
    </row>
    <row r="257" spans="2:16" s="299" customFormat="1" ht="12.6" customHeight="1">
      <c r="B257" s="315" t="e">
        <f t="shared" si="24"/>
        <v>#VALUE!</v>
      </c>
      <c r="C257" s="316" t="e">
        <f t="shared" si="31"/>
        <v>#VALUE!</v>
      </c>
      <c r="D257" s="317" t="e">
        <f t="shared" si="25"/>
        <v>#VALUE!</v>
      </c>
      <c r="E257" s="318" t="e">
        <f t="shared" si="26"/>
        <v>#VALUE!</v>
      </c>
      <c r="F257" s="319" t="e">
        <f t="shared" si="32"/>
        <v>#VALUE!</v>
      </c>
      <c r="G257" s="319" t="e">
        <f t="shared" si="27"/>
        <v>#VALUE!</v>
      </c>
      <c r="H257" s="318" t="e">
        <f t="shared" si="33"/>
        <v>#VALUE!</v>
      </c>
      <c r="I257" s="505" t="e">
        <f t="shared" si="28"/>
        <v>#VALUE!</v>
      </c>
      <c r="J257" s="506"/>
      <c r="K257" s="319" t="e">
        <f>IF($E$37&gt;B257,0,$E$36 IF(B257&gt;$E$21,0,$E$36))</f>
        <v>#VALUE!</v>
      </c>
      <c r="L257" s="507" t="e">
        <f>IF($F$37&gt;B257,0,$F$36 IF(B257&gt;$E$21,0,$F$36))</f>
        <v>#VALUE!</v>
      </c>
      <c r="M257" s="506"/>
      <c r="N257" s="505" t="e">
        <f t="shared" si="29"/>
        <v>#VALUE!</v>
      </c>
      <c r="O257" s="506"/>
      <c r="P257" s="305" t="e">
        <f t="shared" si="30"/>
        <v>#VALUE!</v>
      </c>
    </row>
    <row r="258" spans="2:16" s="299" customFormat="1" ht="12.6" customHeight="1">
      <c r="B258" s="315" t="e">
        <f t="shared" si="24"/>
        <v>#VALUE!</v>
      </c>
      <c r="C258" s="316" t="e">
        <f t="shared" si="31"/>
        <v>#VALUE!</v>
      </c>
      <c r="D258" s="317" t="e">
        <f t="shared" si="25"/>
        <v>#VALUE!</v>
      </c>
      <c r="E258" s="318" t="e">
        <f t="shared" si="26"/>
        <v>#VALUE!</v>
      </c>
      <c r="F258" s="319" t="e">
        <f t="shared" si="32"/>
        <v>#VALUE!</v>
      </c>
      <c r="G258" s="319" t="e">
        <f t="shared" si="27"/>
        <v>#VALUE!</v>
      </c>
      <c r="H258" s="318" t="e">
        <f t="shared" si="33"/>
        <v>#VALUE!</v>
      </c>
      <c r="I258" s="505" t="e">
        <f t="shared" si="28"/>
        <v>#VALUE!</v>
      </c>
      <c r="J258" s="506"/>
      <c r="K258" s="319" t="e">
        <f>IF($E$37&gt;B258,0,$E$36 IF(B258&gt;$E$21,0,$E$36))</f>
        <v>#VALUE!</v>
      </c>
      <c r="L258" s="507" t="e">
        <f>IF($F$37&gt;B258,0,$F$36 IF(B258&gt;$E$21,0,$F$36))</f>
        <v>#VALUE!</v>
      </c>
      <c r="M258" s="506"/>
      <c r="N258" s="505" t="e">
        <f t="shared" si="29"/>
        <v>#VALUE!</v>
      </c>
      <c r="O258" s="506"/>
      <c r="P258" s="305" t="e">
        <f t="shared" si="30"/>
        <v>#VALUE!</v>
      </c>
    </row>
    <row r="259" spans="2:16" s="299" customFormat="1" ht="12.6" customHeight="1">
      <c r="B259" s="315" t="e">
        <f t="shared" si="24"/>
        <v>#VALUE!</v>
      </c>
      <c r="C259" s="316" t="e">
        <f t="shared" si="31"/>
        <v>#VALUE!</v>
      </c>
      <c r="D259" s="317" t="e">
        <f t="shared" si="25"/>
        <v>#VALUE!</v>
      </c>
      <c r="E259" s="318" t="e">
        <f t="shared" si="26"/>
        <v>#VALUE!</v>
      </c>
      <c r="F259" s="319" t="e">
        <f t="shared" si="32"/>
        <v>#VALUE!</v>
      </c>
      <c r="G259" s="319" t="e">
        <f t="shared" si="27"/>
        <v>#VALUE!</v>
      </c>
      <c r="H259" s="318" t="e">
        <f t="shared" si="33"/>
        <v>#VALUE!</v>
      </c>
      <c r="I259" s="505" t="e">
        <f t="shared" si="28"/>
        <v>#VALUE!</v>
      </c>
      <c r="J259" s="506"/>
      <c r="K259" s="319" t="e">
        <f>IF($E$37&gt;B259,0,$E$36 IF(B259&gt;$E$21,0,$E$36))</f>
        <v>#VALUE!</v>
      </c>
      <c r="L259" s="507" t="e">
        <f>IF($F$37&gt;B259,0,$F$36 IF(B259&gt;$E$21,0,$F$36))</f>
        <v>#VALUE!</v>
      </c>
      <c r="M259" s="506"/>
      <c r="N259" s="505" t="e">
        <f t="shared" si="29"/>
        <v>#VALUE!</v>
      </c>
      <c r="O259" s="506"/>
      <c r="P259" s="305" t="e">
        <f t="shared" si="30"/>
        <v>#VALUE!</v>
      </c>
    </row>
    <row r="260" spans="2:16" s="299" customFormat="1" ht="12.6" customHeight="1">
      <c r="B260" s="315" t="e">
        <f t="shared" si="24"/>
        <v>#VALUE!</v>
      </c>
      <c r="C260" s="316" t="e">
        <f t="shared" si="31"/>
        <v>#VALUE!</v>
      </c>
      <c r="D260" s="317" t="e">
        <f t="shared" si="25"/>
        <v>#VALUE!</v>
      </c>
      <c r="E260" s="318" t="e">
        <f t="shared" si="26"/>
        <v>#VALUE!</v>
      </c>
      <c r="F260" s="319" t="e">
        <f t="shared" si="32"/>
        <v>#VALUE!</v>
      </c>
      <c r="G260" s="319" t="e">
        <f t="shared" si="27"/>
        <v>#VALUE!</v>
      </c>
      <c r="H260" s="318" t="e">
        <f t="shared" si="33"/>
        <v>#VALUE!</v>
      </c>
      <c r="I260" s="505" t="e">
        <f t="shared" si="28"/>
        <v>#VALUE!</v>
      </c>
      <c r="J260" s="506"/>
      <c r="K260" s="319" t="e">
        <f>IF($E$37&gt;B260,0,$E$36 IF(B260&gt;$E$21,0,$E$36))</f>
        <v>#VALUE!</v>
      </c>
      <c r="L260" s="507" t="e">
        <f>IF($F$37&gt;B260,0,$F$36 IF(B260&gt;$E$21,0,$F$36))</f>
        <v>#VALUE!</v>
      </c>
      <c r="M260" s="506"/>
      <c r="N260" s="505" t="e">
        <f t="shared" si="29"/>
        <v>#VALUE!</v>
      </c>
      <c r="O260" s="506"/>
      <c r="P260" s="305" t="e">
        <f t="shared" si="30"/>
        <v>#VALUE!</v>
      </c>
    </row>
    <row r="261" spans="2:16" s="299" customFormat="1" ht="12.6" customHeight="1">
      <c r="B261" s="315" t="e">
        <f t="shared" si="24"/>
        <v>#VALUE!</v>
      </c>
      <c r="C261" s="316" t="e">
        <f t="shared" si="31"/>
        <v>#VALUE!</v>
      </c>
      <c r="D261" s="317" t="e">
        <f t="shared" si="25"/>
        <v>#VALUE!</v>
      </c>
      <c r="E261" s="318" t="e">
        <f t="shared" si="26"/>
        <v>#VALUE!</v>
      </c>
      <c r="F261" s="319" t="e">
        <f t="shared" si="32"/>
        <v>#VALUE!</v>
      </c>
      <c r="G261" s="319" t="e">
        <f t="shared" si="27"/>
        <v>#VALUE!</v>
      </c>
      <c r="H261" s="318" t="e">
        <f t="shared" si="33"/>
        <v>#VALUE!</v>
      </c>
      <c r="I261" s="505" t="e">
        <f t="shared" si="28"/>
        <v>#VALUE!</v>
      </c>
      <c r="J261" s="506"/>
      <c r="K261" s="319" t="e">
        <f>IF($E$37&gt;B261,0,$E$36 IF(B261&gt;$E$21,0,$E$36))</f>
        <v>#VALUE!</v>
      </c>
      <c r="L261" s="507" t="e">
        <f>IF($F$37&gt;B261,0,$F$36 IF(B261&gt;$E$21,0,$F$36))</f>
        <v>#VALUE!</v>
      </c>
      <c r="M261" s="506"/>
      <c r="N261" s="505" t="e">
        <f t="shared" si="29"/>
        <v>#VALUE!</v>
      </c>
      <c r="O261" s="506"/>
      <c r="P261" s="305" t="e">
        <f t="shared" si="30"/>
        <v>#VALUE!</v>
      </c>
    </row>
    <row r="262" spans="2:16" s="299" customFormat="1" ht="12.6" customHeight="1">
      <c r="B262" s="315" t="e">
        <f t="shared" si="24"/>
        <v>#VALUE!</v>
      </c>
      <c r="C262" s="316" t="e">
        <f t="shared" si="31"/>
        <v>#VALUE!</v>
      </c>
      <c r="D262" s="317" t="e">
        <f t="shared" si="25"/>
        <v>#VALUE!</v>
      </c>
      <c r="E262" s="318" t="e">
        <f t="shared" si="26"/>
        <v>#VALUE!</v>
      </c>
      <c r="F262" s="319" t="e">
        <f t="shared" si="32"/>
        <v>#VALUE!</v>
      </c>
      <c r="G262" s="319" t="e">
        <f t="shared" si="27"/>
        <v>#VALUE!</v>
      </c>
      <c r="H262" s="318" t="e">
        <f t="shared" si="33"/>
        <v>#VALUE!</v>
      </c>
      <c r="I262" s="505" t="e">
        <f t="shared" si="28"/>
        <v>#VALUE!</v>
      </c>
      <c r="J262" s="506"/>
      <c r="K262" s="319" t="e">
        <f>IF($E$37&gt;B262,0,$E$36 IF(B262&gt;$E$21,0,$E$36))</f>
        <v>#VALUE!</v>
      </c>
      <c r="L262" s="507" t="e">
        <f>IF($F$37&gt;B262,0,$F$36 IF(B262&gt;$E$21,0,$F$36))</f>
        <v>#VALUE!</v>
      </c>
      <c r="M262" s="506"/>
      <c r="N262" s="505" t="e">
        <f t="shared" si="29"/>
        <v>#VALUE!</v>
      </c>
      <c r="O262" s="506"/>
      <c r="P262" s="305" t="e">
        <f t="shared" si="30"/>
        <v>#VALUE!</v>
      </c>
    </row>
    <row r="263" spans="2:16" s="299" customFormat="1" ht="12.6" customHeight="1">
      <c r="B263" s="315" t="e">
        <f t="shared" ref="B263:B310" si="34">IF(B262+1&lt;=$E$21,B262+1,IF(B262&gt;=$E$21,"",IF(B262="","")))</f>
        <v>#VALUE!</v>
      </c>
      <c r="C263" s="316" t="e">
        <f t="shared" si="31"/>
        <v>#VALUE!</v>
      </c>
      <c r="D263" s="317" t="e">
        <f t="shared" ref="D263:D310" si="35">VLOOKUP(B263,$G$9:$I$29,3)</f>
        <v>#VALUE!</v>
      </c>
      <c r="E263" s="318" t="e">
        <f t="shared" ref="E263:E326" si="36">D263*$E$8/12</f>
        <v>#VALUE!</v>
      </c>
      <c r="F263" s="319" t="e">
        <f t="shared" si="32"/>
        <v>#VALUE!</v>
      </c>
      <c r="G263" s="319" t="e">
        <f t="shared" ref="G263:G326" si="37">IF($C$16="Base Rent",$B$16*E263,IF($C$16="Gross Rent",$B$16*(H263+E263)))</f>
        <v>#VALUE!</v>
      </c>
      <c r="H263" s="318" t="e">
        <f t="shared" si="33"/>
        <v>#VALUE!</v>
      </c>
      <c r="I263" s="505" t="e">
        <f t="shared" ref="I263:I326" si="38">SUM(F263:H263)</f>
        <v>#VALUE!</v>
      </c>
      <c r="J263" s="506"/>
      <c r="K263" s="319" t="e">
        <f>IF($E$37&gt;B263,0,$E$36 IF(B263&gt;$E$21,0,$E$36))</f>
        <v>#VALUE!</v>
      </c>
      <c r="L263" s="507" t="e">
        <f>IF($F$37&gt;B263,0,$F$36 IF(B263&gt;$E$21,0,$F$36))</f>
        <v>#VALUE!</v>
      </c>
      <c r="M263" s="506"/>
      <c r="N263" s="505" t="e">
        <f t="shared" ref="N263:N310" si="39">SUM(L263,K263,I263,E263)</f>
        <v>#VALUE!</v>
      </c>
      <c r="O263" s="506"/>
      <c r="P263" s="305" t="e">
        <f t="shared" ref="P263:P310" si="40">+N263/$E$8*12</f>
        <v>#VALUE!</v>
      </c>
    </row>
    <row r="264" spans="2:16" s="299" customFormat="1" ht="12.6" customHeight="1">
      <c r="B264" s="315" t="e">
        <f t="shared" si="34"/>
        <v>#VALUE!</v>
      </c>
      <c r="C264" s="316" t="e">
        <f t="shared" ref="C264:C327" si="41">IF(B264&gt;$E$21,"", DATE(YEAR(C263),MONTH(C263)+1,DAY(C263)))</f>
        <v>#VALUE!</v>
      </c>
      <c r="D264" s="317" t="e">
        <f t="shared" si="35"/>
        <v>#VALUE!</v>
      </c>
      <c r="E264" s="318" t="e">
        <f t="shared" si="36"/>
        <v>#VALUE!</v>
      </c>
      <c r="F264" s="319" t="e">
        <f t="shared" ref="F264:F327" si="42">IF($C$17="Gross Rent",$B$17*(H264+E264),IF($C$17="Base Rent",$B$17*E264))</f>
        <v>#VALUE!</v>
      </c>
      <c r="G264" s="319" t="e">
        <f t="shared" si="37"/>
        <v>#VALUE!</v>
      </c>
      <c r="H264" s="318" t="e">
        <f t="shared" ref="H264:H310" si="43">IF(MONTH(C264)=MONTH($E$19),((H263*(1+$E$18))),H263)</f>
        <v>#VALUE!</v>
      </c>
      <c r="I264" s="505" t="e">
        <f t="shared" si="38"/>
        <v>#VALUE!</v>
      </c>
      <c r="J264" s="506"/>
      <c r="K264" s="319" t="e">
        <f>IF($E$37&gt;B264,0,$E$36 IF(B264&gt;$E$21,0,$E$36))</f>
        <v>#VALUE!</v>
      </c>
      <c r="L264" s="507" t="e">
        <f>IF($F$37&gt;B264,0,$F$36 IF(B264&gt;$E$21,0,$F$36))</f>
        <v>#VALUE!</v>
      </c>
      <c r="M264" s="506"/>
      <c r="N264" s="505" t="e">
        <f t="shared" si="39"/>
        <v>#VALUE!</v>
      </c>
      <c r="O264" s="506"/>
      <c r="P264" s="305" t="e">
        <f t="shared" si="40"/>
        <v>#VALUE!</v>
      </c>
    </row>
    <row r="265" spans="2:16" s="299" customFormat="1" ht="12.6" customHeight="1">
      <c r="B265" s="315" t="e">
        <f t="shared" si="34"/>
        <v>#VALUE!</v>
      </c>
      <c r="C265" s="316" t="e">
        <f t="shared" si="41"/>
        <v>#VALUE!</v>
      </c>
      <c r="D265" s="317" t="e">
        <f t="shared" si="35"/>
        <v>#VALUE!</v>
      </c>
      <c r="E265" s="318" t="e">
        <f t="shared" si="36"/>
        <v>#VALUE!</v>
      </c>
      <c r="F265" s="319" t="e">
        <f t="shared" si="42"/>
        <v>#VALUE!</v>
      </c>
      <c r="G265" s="319" t="e">
        <f t="shared" si="37"/>
        <v>#VALUE!</v>
      </c>
      <c r="H265" s="318" t="e">
        <f t="shared" si="43"/>
        <v>#VALUE!</v>
      </c>
      <c r="I265" s="505" t="e">
        <f t="shared" si="38"/>
        <v>#VALUE!</v>
      </c>
      <c r="J265" s="506"/>
      <c r="K265" s="319" t="e">
        <f>IF($E$37&gt;B265,0,$E$36 IF(B265&gt;$E$21,0,$E$36))</f>
        <v>#VALUE!</v>
      </c>
      <c r="L265" s="507" t="e">
        <f>IF($F$37&gt;B265,0,$F$36 IF(B265&gt;$E$21,0,$F$36))</f>
        <v>#VALUE!</v>
      </c>
      <c r="M265" s="506"/>
      <c r="N265" s="505" t="e">
        <f t="shared" si="39"/>
        <v>#VALUE!</v>
      </c>
      <c r="O265" s="506"/>
      <c r="P265" s="305" t="e">
        <f t="shared" si="40"/>
        <v>#VALUE!</v>
      </c>
    </row>
    <row r="266" spans="2:16" s="299" customFormat="1" ht="12.6" customHeight="1">
      <c r="B266" s="315" t="e">
        <f t="shared" si="34"/>
        <v>#VALUE!</v>
      </c>
      <c r="C266" s="316" t="e">
        <f t="shared" si="41"/>
        <v>#VALUE!</v>
      </c>
      <c r="D266" s="317" t="e">
        <f t="shared" si="35"/>
        <v>#VALUE!</v>
      </c>
      <c r="E266" s="318" t="e">
        <f t="shared" si="36"/>
        <v>#VALUE!</v>
      </c>
      <c r="F266" s="319" t="e">
        <f t="shared" si="42"/>
        <v>#VALUE!</v>
      </c>
      <c r="G266" s="319" t="e">
        <f t="shared" si="37"/>
        <v>#VALUE!</v>
      </c>
      <c r="H266" s="318" t="e">
        <f t="shared" si="43"/>
        <v>#VALUE!</v>
      </c>
      <c r="I266" s="505" t="e">
        <f t="shared" si="38"/>
        <v>#VALUE!</v>
      </c>
      <c r="J266" s="506"/>
      <c r="K266" s="319" t="e">
        <f>IF($E$37&gt;B266,0,$E$36 IF(B266&gt;$E$21,0,$E$36))</f>
        <v>#VALUE!</v>
      </c>
      <c r="L266" s="507" t="e">
        <f>IF($F$37&gt;B266,0,$F$36 IF(B266&gt;$E$21,0,$F$36))</f>
        <v>#VALUE!</v>
      </c>
      <c r="M266" s="506"/>
      <c r="N266" s="505" t="e">
        <f t="shared" si="39"/>
        <v>#VALUE!</v>
      </c>
      <c r="O266" s="506"/>
      <c r="P266" s="305" t="e">
        <f t="shared" si="40"/>
        <v>#VALUE!</v>
      </c>
    </row>
    <row r="267" spans="2:16" s="299" customFormat="1" ht="12.6" customHeight="1">
      <c r="B267" s="315" t="e">
        <f t="shared" si="34"/>
        <v>#VALUE!</v>
      </c>
      <c r="C267" s="316" t="e">
        <f t="shared" si="41"/>
        <v>#VALUE!</v>
      </c>
      <c r="D267" s="317" t="e">
        <f t="shared" si="35"/>
        <v>#VALUE!</v>
      </c>
      <c r="E267" s="318" t="e">
        <f t="shared" si="36"/>
        <v>#VALUE!</v>
      </c>
      <c r="F267" s="319" t="e">
        <f t="shared" si="42"/>
        <v>#VALUE!</v>
      </c>
      <c r="G267" s="319" t="e">
        <f t="shared" si="37"/>
        <v>#VALUE!</v>
      </c>
      <c r="H267" s="318" t="e">
        <f t="shared" si="43"/>
        <v>#VALUE!</v>
      </c>
      <c r="I267" s="505" t="e">
        <f t="shared" si="38"/>
        <v>#VALUE!</v>
      </c>
      <c r="J267" s="506"/>
      <c r="K267" s="319" t="e">
        <f>IF($E$37&gt;B267,0,$E$36 IF(B267&gt;$E$21,0,$E$36))</f>
        <v>#VALUE!</v>
      </c>
      <c r="L267" s="507" t="e">
        <f>IF($F$37&gt;B267,0,$F$36 IF(B267&gt;$E$21,0,$F$36))</f>
        <v>#VALUE!</v>
      </c>
      <c r="M267" s="506"/>
      <c r="N267" s="505" t="e">
        <f t="shared" si="39"/>
        <v>#VALUE!</v>
      </c>
      <c r="O267" s="506"/>
      <c r="P267" s="305" t="e">
        <f t="shared" si="40"/>
        <v>#VALUE!</v>
      </c>
    </row>
    <row r="268" spans="2:16" s="299" customFormat="1" ht="12.6" customHeight="1">
      <c r="B268" s="315" t="e">
        <f t="shared" si="34"/>
        <v>#VALUE!</v>
      </c>
      <c r="C268" s="316" t="e">
        <f t="shared" si="41"/>
        <v>#VALUE!</v>
      </c>
      <c r="D268" s="317" t="e">
        <f t="shared" si="35"/>
        <v>#VALUE!</v>
      </c>
      <c r="E268" s="318" t="e">
        <f t="shared" si="36"/>
        <v>#VALUE!</v>
      </c>
      <c r="F268" s="319" t="e">
        <f t="shared" si="42"/>
        <v>#VALUE!</v>
      </c>
      <c r="G268" s="319" t="e">
        <f t="shared" si="37"/>
        <v>#VALUE!</v>
      </c>
      <c r="H268" s="318" t="e">
        <f t="shared" si="43"/>
        <v>#VALUE!</v>
      </c>
      <c r="I268" s="505" t="e">
        <f t="shared" si="38"/>
        <v>#VALUE!</v>
      </c>
      <c r="J268" s="506"/>
      <c r="K268" s="319" t="e">
        <f>IF($E$37&gt;B268,0,$E$36 IF(B268&gt;$E$21,0,$E$36))</f>
        <v>#VALUE!</v>
      </c>
      <c r="L268" s="507" t="e">
        <f>IF($F$37&gt;B268,0,$F$36 IF(B268&gt;$E$21,0,$F$36))</f>
        <v>#VALUE!</v>
      </c>
      <c r="M268" s="506"/>
      <c r="N268" s="505" t="e">
        <f t="shared" si="39"/>
        <v>#VALUE!</v>
      </c>
      <c r="O268" s="506"/>
      <c r="P268" s="305" t="e">
        <f t="shared" si="40"/>
        <v>#VALUE!</v>
      </c>
    </row>
    <row r="269" spans="2:16" s="299" customFormat="1" ht="12.6" customHeight="1">
      <c r="B269" s="315" t="e">
        <f t="shared" si="34"/>
        <v>#VALUE!</v>
      </c>
      <c r="C269" s="316" t="e">
        <f t="shared" si="41"/>
        <v>#VALUE!</v>
      </c>
      <c r="D269" s="317" t="e">
        <f t="shared" si="35"/>
        <v>#VALUE!</v>
      </c>
      <c r="E269" s="318" t="e">
        <f t="shared" si="36"/>
        <v>#VALUE!</v>
      </c>
      <c r="F269" s="319" t="e">
        <f t="shared" si="42"/>
        <v>#VALUE!</v>
      </c>
      <c r="G269" s="319" t="e">
        <f t="shared" si="37"/>
        <v>#VALUE!</v>
      </c>
      <c r="H269" s="318" t="e">
        <f t="shared" si="43"/>
        <v>#VALUE!</v>
      </c>
      <c r="I269" s="505" t="e">
        <f t="shared" si="38"/>
        <v>#VALUE!</v>
      </c>
      <c r="J269" s="506"/>
      <c r="K269" s="319" t="e">
        <f>IF($E$37&gt;B269,0,$E$36 IF(B269&gt;$E$21,0,$E$36))</f>
        <v>#VALUE!</v>
      </c>
      <c r="L269" s="507" t="e">
        <f>IF($F$37&gt;B269,0,$F$36 IF(B269&gt;$E$21,0,$F$36))</f>
        <v>#VALUE!</v>
      </c>
      <c r="M269" s="506"/>
      <c r="N269" s="505" t="e">
        <f t="shared" si="39"/>
        <v>#VALUE!</v>
      </c>
      <c r="O269" s="506"/>
      <c r="P269" s="305" t="e">
        <f t="shared" si="40"/>
        <v>#VALUE!</v>
      </c>
    </row>
    <row r="270" spans="2:16" s="299" customFormat="1" ht="12.6" customHeight="1">
      <c r="B270" s="315" t="e">
        <f t="shared" si="34"/>
        <v>#VALUE!</v>
      </c>
      <c r="C270" s="316" t="e">
        <f t="shared" si="41"/>
        <v>#VALUE!</v>
      </c>
      <c r="D270" s="317" t="e">
        <f t="shared" si="35"/>
        <v>#VALUE!</v>
      </c>
      <c r="E270" s="318" t="e">
        <f t="shared" si="36"/>
        <v>#VALUE!</v>
      </c>
      <c r="F270" s="319" t="e">
        <f t="shared" si="42"/>
        <v>#VALUE!</v>
      </c>
      <c r="G270" s="319" t="e">
        <f t="shared" si="37"/>
        <v>#VALUE!</v>
      </c>
      <c r="H270" s="318" t="e">
        <f t="shared" si="43"/>
        <v>#VALUE!</v>
      </c>
      <c r="I270" s="505" t="e">
        <f t="shared" si="38"/>
        <v>#VALUE!</v>
      </c>
      <c r="J270" s="506"/>
      <c r="K270" s="319" t="e">
        <f>IF($E$37&gt;B270,0,$E$36 IF(B270&gt;$E$21,0,$E$36))</f>
        <v>#VALUE!</v>
      </c>
      <c r="L270" s="507" t="e">
        <f>IF($F$37&gt;B270,0,$F$36 IF(B270&gt;$E$21,0,$F$36))</f>
        <v>#VALUE!</v>
      </c>
      <c r="M270" s="506"/>
      <c r="N270" s="505" t="e">
        <f t="shared" si="39"/>
        <v>#VALUE!</v>
      </c>
      <c r="O270" s="506"/>
      <c r="P270" s="305" t="e">
        <f t="shared" si="40"/>
        <v>#VALUE!</v>
      </c>
    </row>
    <row r="271" spans="2:16" s="299" customFormat="1" ht="12.6" customHeight="1">
      <c r="B271" s="315" t="e">
        <f t="shared" si="34"/>
        <v>#VALUE!</v>
      </c>
      <c r="C271" s="316" t="e">
        <f t="shared" si="41"/>
        <v>#VALUE!</v>
      </c>
      <c r="D271" s="317" t="e">
        <f t="shared" si="35"/>
        <v>#VALUE!</v>
      </c>
      <c r="E271" s="318" t="e">
        <f t="shared" si="36"/>
        <v>#VALUE!</v>
      </c>
      <c r="F271" s="319" t="e">
        <f t="shared" si="42"/>
        <v>#VALUE!</v>
      </c>
      <c r="G271" s="319" t="e">
        <f t="shared" si="37"/>
        <v>#VALUE!</v>
      </c>
      <c r="H271" s="318" t="e">
        <f t="shared" si="43"/>
        <v>#VALUE!</v>
      </c>
      <c r="I271" s="505" t="e">
        <f t="shared" si="38"/>
        <v>#VALUE!</v>
      </c>
      <c r="J271" s="506"/>
      <c r="K271" s="319" t="e">
        <f>IF($E$37&gt;B271,0,$E$36 IF(B271&gt;$E$21,0,$E$36))</f>
        <v>#VALUE!</v>
      </c>
      <c r="L271" s="507" t="e">
        <f>IF($F$37&gt;B271,0,$F$36 IF(B271&gt;$E$21,0,$F$36))</f>
        <v>#VALUE!</v>
      </c>
      <c r="M271" s="506"/>
      <c r="N271" s="505" t="e">
        <f t="shared" si="39"/>
        <v>#VALUE!</v>
      </c>
      <c r="O271" s="506"/>
      <c r="P271" s="305" t="e">
        <f t="shared" si="40"/>
        <v>#VALUE!</v>
      </c>
    </row>
    <row r="272" spans="2:16" s="299" customFormat="1" ht="12.6" customHeight="1">
      <c r="B272" s="315" t="e">
        <f t="shared" si="34"/>
        <v>#VALUE!</v>
      </c>
      <c r="C272" s="316" t="e">
        <f t="shared" si="41"/>
        <v>#VALUE!</v>
      </c>
      <c r="D272" s="317" t="e">
        <f t="shared" si="35"/>
        <v>#VALUE!</v>
      </c>
      <c r="E272" s="318" t="e">
        <f t="shared" si="36"/>
        <v>#VALUE!</v>
      </c>
      <c r="F272" s="319" t="e">
        <f t="shared" si="42"/>
        <v>#VALUE!</v>
      </c>
      <c r="G272" s="319" t="e">
        <f t="shared" si="37"/>
        <v>#VALUE!</v>
      </c>
      <c r="H272" s="318" t="e">
        <f t="shared" si="43"/>
        <v>#VALUE!</v>
      </c>
      <c r="I272" s="505" t="e">
        <f t="shared" si="38"/>
        <v>#VALUE!</v>
      </c>
      <c r="J272" s="506"/>
      <c r="K272" s="319" t="e">
        <f>IF($E$37&gt;B272,0,$E$36 IF(B272&gt;$E$21,0,$E$36))</f>
        <v>#VALUE!</v>
      </c>
      <c r="L272" s="507" t="e">
        <f>IF($F$37&gt;B272,0,$F$36 IF(B272&gt;$E$21,0,$F$36))</f>
        <v>#VALUE!</v>
      </c>
      <c r="M272" s="506"/>
      <c r="N272" s="505" t="e">
        <f t="shared" si="39"/>
        <v>#VALUE!</v>
      </c>
      <c r="O272" s="506"/>
      <c r="P272" s="305" t="e">
        <f t="shared" si="40"/>
        <v>#VALUE!</v>
      </c>
    </row>
    <row r="273" spans="2:16" s="299" customFormat="1" ht="12.6" customHeight="1">
      <c r="B273" s="315" t="e">
        <f t="shared" si="34"/>
        <v>#VALUE!</v>
      </c>
      <c r="C273" s="316" t="e">
        <f t="shared" si="41"/>
        <v>#VALUE!</v>
      </c>
      <c r="D273" s="317" t="e">
        <f t="shared" si="35"/>
        <v>#VALUE!</v>
      </c>
      <c r="E273" s="318" t="e">
        <f t="shared" si="36"/>
        <v>#VALUE!</v>
      </c>
      <c r="F273" s="319" t="e">
        <f t="shared" si="42"/>
        <v>#VALUE!</v>
      </c>
      <c r="G273" s="319" t="e">
        <f t="shared" si="37"/>
        <v>#VALUE!</v>
      </c>
      <c r="H273" s="318" t="e">
        <f t="shared" si="43"/>
        <v>#VALUE!</v>
      </c>
      <c r="I273" s="505" t="e">
        <f t="shared" si="38"/>
        <v>#VALUE!</v>
      </c>
      <c r="J273" s="506"/>
      <c r="K273" s="319" t="e">
        <f>IF($E$37&gt;B273,0,$E$36 IF(B273&gt;$E$21,0,$E$36))</f>
        <v>#VALUE!</v>
      </c>
      <c r="L273" s="507" t="e">
        <f>IF($F$37&gt;B273,0,$F$36 IF(B273&gt;$E$21,0,$F$36))</f>
        <v>#VALUE!</v>
      </c>
      <c r="M273" s="506"/>
      <c r="N273" s="505" t="e">
        <f t="shared" si="39"/>
        <v>#VALUE!</v>
      </c>
      <c r="O273" s="506"/>
      <c r="P273" s="305" t="e">
        <f t="shared" si="40"/>
        <v>#VALUE!</v>
      </c>
    </row>
    <row r="274" spans="2:16" s="299" customFormat="1" ht="12.6" customHeight="1">
      <c r="B274" s="315" t="e">
        <f t="shared" si="34"/>
        <v>#VALUE!</v>
      </c>
      <c r="C274" s="316" t="e">
        <f t="shared" si="41"/>
        <v>#VALUE!</v>
      </c>
      <c r="D274" s="317" t="e">
        <f t="shared" si="35"/>
        <v>#VALUE!</v>
      </c>
      <c r="E274" s="318" t="e">
        <f t="shared" si="36"/>
        <v>#VALUE!</v>
      </c>
      <c r="F274" s="319" t="e">
        <f t="shared" si="42"/>
        <v>#VALUE!</v>
      </c>
      <c r="G274" s="319" t="e">
        <f t="shared" si="37"/>
        <v>#VALUE!</v>
      </c>
      <c r="H274" s="318" t="e">
        <f t="shared" si="43"/>
        <v>#VALUE!</v>
      </c>
      <c r="I274" s="505" t="e">
        <f t="shared" si="38"/>
        <v>#VALUE!</v>
      </c>
      <c r="J274" s="506"/>
      <c r="K274" s="319" t="e">
        <f>IF($E$37&gt;B274,0,$E$36 IF(B274&gt;$E$21,0,$E$36))</f>
        <v>#VALUE!</v>
      </c>
      <c r="L274" s="507" t="e">
        <f>IF($F$37&gt;B274,0,$F$36 IF(B274&gt;$E$21,0,$F$36))</f>
        <v>#VALUE!</v>
      </c>
      <c r="M274" s="506"/>
      <c r="N274" s="505" t="e">
        <f t="shared" si="39"/>
        <v>#VALUE!</v>
      </c>
      <c r="O274" s="506"/>
      <c r="P274" s="305" t="e">
        <f t="shared" si="40"/>
        <v>#VALUE!</v>
      </c>
    </row>
    <row r="275" spans="2:16" s="299" customFormat="1" ht="12.6" customHeight="1">
      <c r="B275" s="315" t="e">
        <f t="shared" si="34"/>
        <v>#VALUE!</v>
      </c>
      <c r="C275" s="316" t="e">
        <f t="shared" si="41"/>
        <v>#VALUE!</v>
      </c>
      <c r="D275" s="317" t="e">
        <f t="shared" si="35"/>
        <v>#VALUE!</v>
      </c>
      <c r="E275" s="318" t="e">
        <f t="shared" si="36"/>
        <v>#VALUE!</v>
      </c>
      <c r="F275" s="319" t="e">
        <f t="shared" si="42"/>
        <v>#VALUE!</v>
      </c>
      <c r="G275" s="319" t="e">
        <f t="shared" si="37"/>
        <v>#VALUE!</v>
      </c>
      <c r="H275" s="318" t="e">
        <f t="shared" si="43"/>
        <v>#VALUE!</v>
      </c>
      <c r="I275" s="505" t="e">
        <f t="shared" si="38"/>
        <v>#VALUE!</v>
      </c>
      <c r="J275" s="506"/>
      <c r="K275" s="319" t="e">
        <f>IF($E$37&gt;B275,0,$E$36 IF(B275&gt;$E$21,0,$E$36))</f>
        <v>#VALUE!</v>
      </c>
      <c r="L275" s="507" t="e">
        <f>IF($F$37&gt;B275,0,$F$36 IF(B275&gt;$E$21,0,$F$36))</f>
        <v>#VALUE!</v>
      </c>
      <c r="M275" s="506"/>
      <c r="N275" s="505" t="e">
        <f t="shared" si="39"/>
        <v>#VALUE!</v>
      </c>
      <c r="O275" s="506"/>
      <c r="P275" s="305" t="e">
        <f t="shared" si="40"/>
        <v>#VALUE!</v>
      </c>
    </row>
    <row r="276" spans="2:16" s="299" customFormat="1" ht="12.6" customHeight="1">
      <c r="B276" s="315" t="e">
        <f t="shared" si="34"/>
        <v>#VALUE!</v>
      </c>
      <c r="C276" s="316" t="e">
        <f t="shared" si="41"/>
        <v>#VALUE!</v>
      </c>
      <c r="D276" s="317" t="e">
        <f t="shared" si="35"/>
        <v>#VALUE!</v>
      </c>
      <c r="E276" s="318" t="e">
        <f t="shared" si="36"/>
        <v>#VALUE!</v>
      </c>
      <c r="F276" s="319" t="e">
        <f t="shared" si="42"/>
        <v>#VALUE!</v>
      </c>
      <c r="G276" s="319" t="e">
        <f t="shared" si="37"/>
        <v>#VALUE!</v>
      </c>
      <c r="H276" s="318" t="e">
        <f t="shared" si="43"/>
        <v>#VALUE!</v>
      </c>
      <c r="I276" s="505" t="e">
        <f t="shared" si="38"/>
        <v>#VALUE!</v>
      </c>
      <c r="J276" s="506"/>
      <c r="K276" s="319" t="e">
        <f>IF($E$37&gt;B276,0,$E$36 IF(B276&gt;$E$21,0,$E$36))</f>
        <v>#VALUE!</v>
      </c>
      <c r="L276" s="507" t="e">
        <f>IF($F$37&gt;B276,0,$F$36 IF(B276&gt;$E$21,0,$F$36))</f>
        <v>#VALUE!</v>
      </c>
      <c r="M276" s="506"/>
      <c r="N276" s="505" t="e">
        <f t="shared" si="39"/>
        <v>#VALUE!</v>
      </c>
      <c r="O276" s="506"/>
      <c r="P276" s="305" t="e">
        <f t="shared" si="40"/>
        <v>#VALUE!</v>
      </c>
    </row>
    <row r="277" spans="2:16" s="299" customFormat="1" ht="12.6" customHeight="1">
      <c r="B277" s="315" t="e">
        <f t="shared" si="34"/>
        <v>#VALUE!</v>
      </c>
      <c r="C277" s="316" t="e">
        <f t="shared" si="41"/>
        <v>#VALUE!</v>
      </c>
      <c r="D277" s="317" t="e">
        <f t="shared" si="35"/>
        <v>#VALUE!</v>
      </c>
      <c r="E277" s="318" t="e">
        <f t="shared" si="36"/>
        <v>#VALUE!</v>
      </c>
      <c r="F277" s="319" t="e">
        <f t="shared" si="42"/>
        <v>#VALUE!</v>
      </c>
      <c r="G277" s="319" t="e">
        <f t="shared" si="37"/>
        <v>#VALUE!</v>
      </c>
      <c r="H277" s="318" t="e">
        <f t="shared" si="43"/>
        <v>#VALUE!</v>
      </c>
      <c r="I277" s="505" t="e">
        <f t="shared" si="38"/>
        <v>#VALUE!</v>
      </c>
      <c r="J277" s="506"/>
      <c r="K277" s="319" t="e">
        <f>IF($E$37&gt;B277,0,$E$36 IF(B277&gt;$E$21,0,$E$36))</f>
        <v>#VALUE!</v>
      </c>
      <c r="L277" s="507" t="e">
        <f>IF($F$37&gt;B277,0,$F$36 IF(B277&gt;$E$21,0,$F$36))</f>
        <v>#VALUE!</v>
      </c>
      <c r="M277" s="506"/>
      <c r="N277" s="505" t="e">
        <f t="shared" si="39"/>
        <v>#VALUE!</v>
      </c>
      <c r="O277" s="506"/>
      <c r="P277" s="305" t="e">
        <f t="shared" si="40"/>
        <v>#VALUE!</v>
      </c>
    </row>
    <row r="278" spans="2:16" s="299" customFormat="1" ht="12.6" customHeight="1">
      <c r="B278" s="315" t="e">
        <f t="shared" si="34"/>
        <v>#VALUE!</v>
      </c>
      <c r="C278" s="316" t="e">
        <f t="shared" si="41"/>
        <v>#VALUE!</v>
      </c>
      <c r="D278" s="317" t="e">
        <f t="shared" si="35"/>
        <v>#VALUE!</v>
      </c>
      <c r="E278" s="318" t="e">
        <f t="shared" si="36"/>
        <v>#VALUE!</v>
      </c>
      <c r="F278" s="319" t="e">
        <f t="shared" si="42"/>
        <v>#VALUE!</v>
      </c>
      <c r="G278" s="319" t="e">
        <f t="shared" si="37"/>
        <v>#VALUE!</v>
      </c>
      <c r="H278" s="318" t="e">
        <f t="shared" si="43"/>
        <v>#VALUE!</v>
      </c>
      <c r="I278" s="505" t="e">
        <f t="shared" si="38"/>
        <v>#VALUE!</v>
      </c>
      <c r="J278" s="506"/>
      <c r="K278" s="319" t="e">
        <f>IF($E$37&gt;B278,0,$E$36 IF(B278&gt;$E$21,0,$E$36))</f>
        <v>#VALUE!</v>
      </c>
      <c r="L278" s="507" t="e">
        <f>IF($F$37&gt;B278,0,$F$36 IF(B278&gt;$E$21,0,$F$36))</f>
        <v>#VALUE!</v>
      </c>
      <c r="M278" s="506"/>
      <c r="N278" s="505" t="e">
        <f t="shared" si="39"/>
        <v>#VALUE!</v>
      </c>
      <c r="O278" s="506"/>
      <c r="P278" s="305" t="e">
        <f t="shared" si="40"/>
        <v>#VALUE!</v>
      </c>
    </row>
    <row r="279" spans="2:16" s="299" customFormat="1" ht="12.6" customHeight="1">
      <c r="B279" s="315" t="e">
        <f t="shared" si="34"/>
        <v>#VALUE!</v>
      </c>
      <c r="C279" s="316" t="e">
        <f t="shared" si="41"/>
        <v>#VALUE!</v>
      </c>
      <c r="D279" s="317" t="e">
        <f t="shared" si="35"/>
        <v>#VALUE!</v>
      </c>
      <c r="E279" s="318" t="e">
        <f t="shared" si="36"/>
        <v>#VALUE!</v>
      </c>
      <c r="F279" s="319" t="e">
        <f t="shared" si="42"/>
        <v>#VALUE!</v>
      </c>
      <c r="G279" s="319" t="e">
        <f t="shared" si="37"/>
        <v>#VALUE!</v>
      </c>
      <c r="H279" s="318" t="e">
        <f t="shared" si="43"/>
        <v>#VALUE!</v>
      </c>
      <c r="I279" s="505" t="e">
        <f t="shared" si="38"/>
        <v>#VALUE!</v>
      </c>
      <c r="J279" s="506"/>
      <c r="K279" s="319" t="e">
        <f>IF($E$37&gt;B279,0,$E$36 IF(B279&gt;$E$21,0,$E$36))</f>
        <v>#VALUE!</v>
      </c>
      <c r="L279" s="507" t="e">
        <f>IF($F$37&gt;B279,0,$F$36 IF(B279&gt;$E$21,0,$F$36))</f>
        <v>#VALUE!</v>
      </c>
      <c r="M279" s="506"/>
      <c r="N279" s="505" t="e">
        <f t="shared" si="39"/>
        <v>#VALUE!</v>
      </c>
      <c r="O279" s="506"/>
      <c r="P279" s="305" t="e">
        <f t="shared" si="40"/>
        <v>#VALUE!</v>
      </c>
    </row>
    <row r="280" spans="2:16" s="299" customFormat="1" ht="12.6" customHeight="1">
      <c r="B280" s="315" t="e">
        <f t="shared" si="34"/>
        <v>#VALUE!</v>
      </c>
      <c r="C280" s="316" t="e">
        <f t="shared" si="41"/>
        <v>#VALUE!</v>
      </c>
      <c r="D280" s="317" t="e">
        <f t="shared" si="35"/>
        <v>#VALUE!</v>
      </c>
      <c r="E280" s="318" t="e">
        <f t="shared" si="36"/>
        <v>#VALUE!</v>
      </c>
      <c r="F280" s="319" t="e">
        <f t="shared" si="42"/>
        <v>#VALUE!</v>
      </c>
      <c r="G280" s="319" t="e">
        <f t="shared" si="37"/>
        <v>#VALUE!</v>
      </c>
      <c r="H280" s="318" t="e">
        <f t="shared" si="43"/>
        <v>#VALUE!</v>
      </c>
      <c r="I280" s="505" t="e">
        <f t="shared" si="38"/>
        <v>#VALUE!</v>
      </c>
      <c r="J280" s="506"/>
      <c r="K280" s="319" t="e">
        <f>IF($E$37&gt;B280,0,$E$36 IF(B280&gt;$E$21,0,$E$36))</f>
        <v>#VALUE!</v>
      </c>
      <c r="L280" s="507" t="e">
        <f>IF($F$37&gt;B280,0,$F$36 IF(B280&gt;$E$21,0,$F$36))</f>
        <v>#VALUE!</v>
      </c>
      <c r="M280" s="506"/>
      <c r="N280" s="505" t="e">
        <f t="shared" si="39"/>
        <v>#VALUE!</v>
      </c>
      <c r="O280" s="506"/>
      <c r="P280" s="305" t="e">
        <f t="shared" si="40"/>
        <v>#VALUE!</v>
      </c>
    </row>
    <row r="281" spans="2:16" s="299" customFormat="1" ht="12.6" customHeight="1">
      <c r="B281" s="315" t="e">
        <f t="shared" si="34"/>
        <v>#VALUE!</v>
      </c>
      <c r="C281" s="316" t="e">
        <f t="shared" si="41"/>
        <v>#VALUE!</v>
      </c>
      <c r="D281" s="317" t="e">
        <f t="shared" si="35"/>
        <v>#VALUE!</v>
      </c>
      <c r="E281" s="318" t="e">
        <f t="shared" si="36"/>
        <v>#VALUE!</v>
      </c>
      <c r="F281" s="319" t="e">
        <f t="shared" si="42"/>
        <v>#VALUE!</v>
      </c>
      <c r="G281" s="319" t="e">
        <f t="shared" si="37"/>
        <v>#VALUE!</v>
      </c>
      <c r="H281" s="318" t="e">
        <f t="shared" si="43"/>
        <v>#VALUE!</v>
      </c>
      <c r="I281" s="505" t="e">
        <f t="shared" si="38"/>
        <v>#VALUE!</v>
      </c>
      <c r="J281" s="506"/>
      <c r="K281" s="319" t="e">
        <f>IF($E$37&gt;B281,0,$E$36 IF(B281&gt;$E$21,0,$E$36))</f>
        <v>#VALUE!</v>
      </c>
      <c r="L281" s="507" t="e">
        <f>IF($F$37&gt;B281,0,$F$36 IF(B281&gt;$E$21,0,$F$36))</f>
        <v>#VALUE!</v>
      </c>
      <c r="M281" s="506"/>
      <c r="N281" s="505" t="e">
        <f t="shared" si="39"/>
        <v>#VALUE!</v>
      </c>
      <c r="O281" s="506"/>
      <c r="P281" s="305" t="e">
        <f t="shared" si="40"/>
        <v>#VALUE!</v>
      </c>
    </row>
    <row r="282" spans="2:16" s="299" customFormat="1" ht="12.6" customHeight="1">
      <c r="B282" s="315" t="e">
        <f t="shared" si="34"/>
        <v>#VALUE!</v>
      </c>
      <c r="C282" s="316" t="e">
        <f t="shared" si="41"/>
        <v>#VALUE!</v>
      </c>
      <c r="D282" s="317" t="e">
        <f t="shared" si="35"/>
        <v>#VALUE!</v>
      </c>
      <c r="E282" s="318" t="e">
        <f t="shared" si="36"/>
        <v>#VALUE!</v>
      </c>
      <c r="F282" s="319" t="e">
        <f t="shared" si="42"/>
        <v>#VALUE!</v>
      </c>
      <c r="G282" s="319" t="e">
        <f t="shared" si="37"/>
        <v>#VALUE!</v>
      </c>
      <c r="H282" s="318" t="e">
        <f t="shared" si="43"/>
        <v>#VALUE!</v>
      </c>
      <c r="I282" s="505" t="e">
        <f t="shared" si="38"/>
        <v>#VALUE!</v>
      </c>
      <c r="J282" s="506"/>
      <c r="K282" s="319" t="e">
        <f>IF($E$37&gt;B282,0,$E$36 IF(B282&gt;$E$21,0,$E$36))</f>
        <v>#VALUE!</v>
      </c>
      <c r="L282" s="507" t="e">
        <f>IF($F$37&gt;B282,0,$F$36 IF(B282&gt;$E$21,0,$F$36))</f>
        <v>#VALUE!</v>
      </c>
      <c r="M282" s="506"/>
      <c r="N282" s="505" t="e">
        <f t="shared" si="39"/>
        <v>#VALUE!</v>
      </c>
      <c r="O282" s="506"/>
      <c r="P282" s="305" t="e">
        <f t="shared" si="40"/>
        <v>#VALUE!</v>
      </c>
    </row>
    <row r="283" spans="2:16" s="299" customFormat="1" ht="12.6" customHeight="1">
      <c r="B283" s="315" t="e">
        <f t="shared" si="34"/>
        <v>#VALUE!</v>
      </c>
      <c r="C283" s="316" t="e">
        <f t="shared" si="41"/>
        <v>#VALUE!</v>
      </c>
      <c r="D283" s="317" t="e">
        <f t="shared" si="35"/>
        <v>#VALUE!</v>
      </c>
      <c r="E283" s="318" t="e">
        <f t="shared" si="36"/>
        <v>#VALUE!</v>
      </c>
      <c r="F283" s="319" t="e">
        <f t="shared" si="42"/>
        <v>#VALUE!</v>
      </c>
      <c r="G283" s="319" t="e">
        <f t="shared" si="37"/>
        <v>#VALUE!</v>
      </c>
      <c r="H283" s="318" t="e">
        <f t="shared" si="43"/>
        <v>#VALUE!</v>
      </c>
      <c r="I283" s="505" t="e">
        <f t="shared" si="38"/>
        <v>#VALUE!</v>
      </c>
      <c r="J283" s="506"/>
      <c r="K283" s="319" t="e">
        <f>IF($E$37&gt;B283,0,$E$36 IF(B283&gt;$E$21,0,$E$36))</f>
        <v>#VALUE!</v>
      </c>
      <c r="L283" s="507" t="e">
        <f>IF($F$37&gt;B283,0,$F$36 IF(B283&gt;$E$21,0,$F$36))</f>
        <v>#VALUE!</v>
      </c>
      <c r="M283" s="506"/>
      <c r="N283" s="505" t="e">
        <f t="shared" si="39"/>
        <v>#VALUE!</v>
      </c>
      <c r="O283" s="506"/>
      <c r="P283" s="305" t="e">
        <f t="shared" si="40"/>
        <v>#VALUE!</v>
      </c>
    </row>
    <row r="284" spans="2:16" s="299" customFormat="1" ht="12.6" customHeight="1">
      <c r="B284" s="315" t="e">
        <f t="shared" si="34"/>
        <v>#VALUE!</v>
      </c>
      <c r="C284" s="316" t="e">
        <f t="shared" si="41"/>
        <v>#VALUE!</v>
      </c>
      <c r="D284" s="317" t="e">
        <f t="shared" si="35"/>
        <v>#VALUE!</v>
      </c>
      <c r="E284" s="318" t="e">
        <f t="shared" si="36"/>
        <v>#VALUE!</v>
      </c>
      <c r="F284" s="319" t="e">
        <f t="shared" si="42"/>
        <v>#VALUE!</v>
      </c>
      <c r="G284" s="319" t="e">
        <f t="shared" si="37"/>
        <v>#VALUE!</v>
      </c>
      <c r="H284" s="318" t="e">
        <f t="shared" si="43"/>
        <v>#VALUE!</v>
      </c>
      <c r="I284" s="505" t="e">
        <f t="shared" si="38"/>
        <v>#VALUE!</v>
      </c>
      <c r="J284" s="506"/>
      <c r="K284" s="319" t="e">
        <f>IF($E$37&gt;B284,0,$E$36 IF(B284&gt;$E$21,0,$E$36))</f>
        <v>#VALUE!</v>
      </c>
      <c r="L284" s="507" t="e">
        <f>IF($F$37&gt;B284,0,$F$36 IF(B284&gt;$E$21,0,$F$36))</f>
        <v>#VALUE!</v>
      </c>
      <c r="M284" s="506"/>
      <c r="N284" s="505" t="e">
        <f t="shared" si="39"/>
        <v>#VALUE!</v>
      </c>
      <c r="O284" s="506"/>
      <c r="P284" s="305" t="e">
        <f t="shared" si="40"/>
        <v>#VALUE!</v>
      </c>
    </row>
    <row r="285" spans="2:16" s="299" customFormat="1" ht="12.6" customHeight="1">
      <c r="B285" s="315" t="e">
        <f t="shared" si="34"/>
        <v>#VALUE!</v>
      </c>
      <c r="C285" s="316" t="e">
        <f t="shared" si="41"/>
        <v>#VALUE!</v>
      </c>
      <c r="D285" s="317" t="e">
        <f t="shared" si="35"/>
        <v>#VALUE!</v>
      </c>
      <c r="E285" s="318" t="e">
        <f t="shared" si="36"/>
        <v>#VALUE!</v>
      </c>
      <c r="F285" s="319" t="e">
        <f t="shared" si="42"/>
        <v>#VALUE!</v>
      </c>
      <c r="G285" s="319" t="e">
        <f t="shared" si="37"/>
        <v>#VALUE!</v>
      </c>
      <c r="H285" s="318" t="e">
        <f t="shared" si="43"/>
        <v>#VALUE!</v>
      </c>
      <c r="I285" s="505" t="e">
        <f t="shared" si="38"/>
        <v>#VALUE!</v>
      </c>
      <c r="J285" s="506"/>
      <c r="K285" s="319" t="e">
        <f>IF($E$37&gt;B285,0,$E$36 IF(B285&gt;$E$21,0,$E$36))</f>
        <v>#VALUE!</v>
      </c>
      <c r="L285" s="507" t="e">
        <f>IF($F$37&gt;B285,0,$F$36 IF(B285&gt;$E$21,0,$F$36))</f>
        <v>#VALUE!</v>
      </c>
      <c r="M285" s="506"/>
      <c r="N285" s="505" t="e">
        <f t="shared" si="39"/>
        <v>#VALUE!</v>
      </c>
      <c r="O285" s="506"/>
      <c r="P285" s="305" t="e">
        <f t="shared" si="40"/>
        <v>#VALUE!</v>
      </c>
    </row>
    <row r="286" spans="2:16" s="299" customFormat="1" ht="12.6" customHeight="1">
      <c r="B286" s="315" t="e">
        <f t="shared" si="34"/>
        <v>#VALUE!</v>
      </c>
      <c r="C286" s="316" t="e">
        <f t="shared" si="41"/>
        <v>#VALUE!</v>
      </c>
      <c r="D286" s="317" t="e">
        <f t="shared" si="35"/>
        <v>#VALUE!</v>
      </c>
      <c r="E286" s="318" t="e">
        <f t="shared" si="36"/>
        <v>#VALUE!</v>
      </c>
      <c r="F286" s="319" t="e">
        <f t="shared" si="42"/>
        <v>#VALUE!</v>
      </c>
      <c r="G286" s="319" t="e">
        <f t="shared" si="37"/>
        <v>#VALUE!</v>
      </c>
      <c r="H286" s="318" t="e">
        <f t="shared" si="43"/>
        <v>#VALUE!</v>
      </c>
      <c r="I286" s="505" t="e">
        <f t="shared" si="38"/>
        <v>#VALUE!</v>
      </c>
      <c r="J286" s="506"/>
      <c r="K286" s="319" t="e">
        <f>IF($E$37&gt;B286,0,$E$36 IF(B286&gt;$E$21,0,$E$36))</f>
        <v>#VALUE!</v>
      </c>
      <c r="L286" s="507" t="e">
        <f>IF($F$37&gt;B286,0,$F$36 IF(B286&gt;$E$21,0,$F$36))</f>
        <v>#VALUE!</v>
      </c>
      <c r="M286" s="506"/>
      <c r="N286" s="505" t="e">
        <f t="shared" si="39"/>
        <v>#VALUE!</v>
      </c>
      <c r="O286" s="506"/>
      <c r="P286" s="305" t="e">
        <f t="shared" si="40"/>
        <v>#VALUE!</v>
      </c>
    </row>
    <row r="287" spans="2:16" s="299" customFormat="1" ht="12.6" customHeight="1">
      <c r="B287" s="315" t="e">
        <f t="shared" si="34"/>
        <v>#VALUE!</v>
      </c>
      <c r="C287" s="316" t="e">
        <f t="shared" si="41"/>
        <v>#VALUE!</v>
      </c>
      <c r="D287" s="317" t="e">
        <f t="shared" si="35"/>
        <v>#VALUE!</v>
      </c>
      <c r="E287" s="318" t="e">
        <f t="shared" si="36"/>
        <v>#VALUE!</v>
      </c>
      <c r="F287" s="319" t="e">
        <f t="shared" si="42"/>
        <v>#VALUE!</v>
      </c>
      <c r="G287" s="319" t="e">
        <f t="shared" si="37"/>
        <v>#VALUE!</v>
      </c>
      <c r="H287" s="318" t="e">
        <f t="shared" si="43"/>
        <v>#VALUE!</v>
      </c>
      <c r="I287" s="505" t="e">
        <f t="shared" si="38"/>
        <v>#VALUE!</v>
      </c>
      <c r="J287" s="506"/>
      <c r="K287" s="319" t="e">
        <f>IF($E$37&gt;B287,0,$E$36 IF(B287&gt;$E$21,0,$E$36))</f>
        <v>#VALUE!</v>
      </c>
      <c r="L287" s="507" t="e">
        <f>IF($F$37&gt;B287,0,$F$36 IF(B287&gt;$E$21,0,$F$36))</f>
        <v>#VALUE!</v>
      </c>
      <c r="M287" s="506"/>
      <c r="N287" s="505" t="e">
        <f t="shared" si="39"/>
        <v>#VALUE!</v>
      </c>
      <c r="O287" s="506"/>
      <c r="P287" s="305" t="e">
        <f t="shared" si="40"/>
        <v>#VALUE!</v>
      </c>
    </row>
    <row r="288" spans="2:16" s="299" customFormat="1" ht="12.6" customHeight="1">
      <c r="B288" s="315" t="e">
        <f t="shared" si="34"/>
        <v>#VALUE!</v>
      </c>
      <c r="C288" s="316" t="e">
        <f t="shared" si="41"/>
        <v>#VALUE!</v>
      </c>
      <c r="D288" s="317" t="e">
        <f t="shared" si="35"/>
        <v>#VALUE!</v>
      </c>
      <c r="E288" s="318" t="e">
        <f t="shared" si="36"/>
        <v>#VALUE!</v>
      </c>
      <c r="F288" s="319" t="e">
        <f t="shared" si="42"/>
        <v>#VALUE!</v>
      </c>
      <c r="G288" s="319" t="e">
        <f t="shared" si="37"/>
        <v>#VALUE!</v>
      </c>
      <c r="H288" s="318" t="e">
        <f t="shared" si="43"/>
        <v>#VALUE!</v>
      </c>
      <c r="I288" s="505" t="e">
        <f t="shared" si="38"/>
        <v>#VALUE!</v>
      </c>
      <c r="J288" s="506"/>
      <c r="K288" s="319" t="e">
        <f>IF($E$37&gt;B288,0,$E$36 IF(B288&gt;$E$21,0,$E$36))</f>
        <v>#VALUE!</v>
      </c>
      <c r="L288" s="507" t="e">
        <f>IF($F$37&gt;B288,0,$F$36 IF(B288&gt;$E$21,0,$F$36))</f>
        <v>#VALUE!</v>
      </c>
      <c r="M288" s="506"/>
      <c r="N288" s="505" t="e">
        <f t="shared" si="39"/>
        <v>#VALUE!</v>
      </c>
      <c r="O288" s="506"/>
      <c r="P288" s="305" t="e">
        <f t="shared" si="40"/>
        <v>#VALUE!</v>
      </c>
    </row>
    <row r="289" spans="2:16" s="299" customFormat="1" ht="12.6" customHeight="1">
      <c r="B289" s="315" t="e">
        <f t="shared" si="34"/>
        <v>#VALUE!</v>
      </c>
      <c r="C289" s="316" t="e">
        <f t="shared" si="41"/>
        <v>#VALUE!</v>
      </c>
      <c r="D289" s="317" t="e">
        <f t="shared" si="35"/>
        <v>#VALUE!</v>
      </c>
      <c r="E289" s="318" t="e">
        <f t="shared" si="36"/>
        <v>#VALUE!</v>
      </c>
      <c r="F289" s="319" t="e">
        <f t="shared" si="42"/>
        <v>#VALUE!</v>
      </c>
      <c r="G289" s="319" t="e">
        <f t="shared" si="37"/>
        <v>#VALUE!</v>
      </c>
      <c r="H289" s="318" t="e">
        <f t="shared" si="43"/>
        <v>#VALUE!</v>
      </c>
      <c r="I289" s="505" t="e">
        <f t="shared" si="38"/>
        <v>#VALUE!</v>
      </c>
      <c r="J289" s="506"/>
      <c r="K289" s="319" t="e">
        <f>IF($E$37&gt;B289,0,$E$36 IF(B289&gt;$E$21,0,$E$36))</f>
        <v>#VALUE!</v>
      </c>
      <c r="L289" s="507" t="e">
        <f>IF($F$37&gt;B289,0,$F$36 IF(B289&gt;$E$21,0,$F$36))</f>
        <v>#VALUE!</v>
      </c>
      <c r="M289" s="506"/>
      <c r="N289" s="505" t="e">
        <f t="shared" si="39"/>
        <v>#VALUE!</v>
      </c>
      <c r="O289" s="506"/>
      <c r="P289" s="305" t="e">
        <f t="shared" si="40"/>
        <v>#VALUE!</v>
      </c>
    </row>
    <row r="290" spans="2:16" s="299" customFormat="1" ht="12.6" customHeight="1">
      <c r="B290" s="315" t="e">
        <f t="shared" si="34"/>
        <v>#VALUE!</v>
      </c>
      <c r="C290" s="316" t="e">
        <f t="shared" si="41"/>
        <v>#VALUE!</v>
      </c>
      <c r="D290" s="317" t="e">
        <f t="shared" si="35"/>
        <v>#VALUE!</v>
      </c>
      <c r="E290" s="318" t="e">
        <f t="shared" si="36"/>
        <v>#VALUE!</v>
      </c>
      <c r="F290" s="319" t="e">
        <f t="shared" si="42"/>
        <v>#VALUE!</v>
      </c>
      <c r="G290" s="319" t="e">
        <f t="shared" si="37"/>
        <v>#VALUE!</v>
      </c>
      <c r="H290" s="318" t="e">
        <f t="shared" si="43"/>
        <v>#VALUE!</v>
      </c>
      <c r="I290" s="505" t="e">
        <f t="shared" si="38"/>
        <v>#VALUE!</v>
      </c>
      <c r="J290" s="506"/>
      <c r="K290" s="319" t="e">
        <f>IF($E$37&gt;B290,0,$E$36 IF(B290&gt;$E$21,0,$E$36))</f>
        <v>#VALUE!</v>
      </c>
      <c r="L290" s="507" t="e">
        <f>IF($F$37&gt;B290,0,$F$36 IF(B290&gt;$E$21,0,$F$36))</f>
        <v>#VALUE!</v>
      </c>
      <c r="M290" s="506"/>
      <c r="N290" s="505" t="e">
        <f t="shared" si="39"/>
        <v>#VALUE!</v>
      </c>
      <c r="O290" s="506"/>
      <c r="P290" s="305" t="e">
        <f t="shared" si="40"/>
        <v>#VALUE!</v>
      </c>
    </row>
    <row r="291" spans="2:16" s="299" customFormat="1" ht="12.6" customHeight="1">
      <c r="B291" s="315" t="e">
        <f t="shared" si="34"/>
        <v>#VALUE!</v>
      </c>
      <c r="C291" s="316" t="e">
        <f t="shared" si="41"/>
        <v>#VALUE!</v>
      </c>
      <c r="D291" s="317" t="e">
        <f t="shared" si="35"/>
        <v>#VALUE!</v>
      </c>
      <c r="E291" s="318" t="e">
        <f t="shared" si="36"/>
        <v>#VALUE!</v>
      </c>
      <c r="F291" s="319" t="e">
        <f t="shared" si="42"/>
        <v>#VALUE!</v>
      </c>
      <c r="G291" s="319" t="e">
        <f t="shared" si="37"/>
        <v>#VALUE!</v>
      </c>
      <c r="H291" s="318" t="e">
        <f t="shared" si="43"/>
        <v>#VALUE!</v>
      </c>
      <c r="I291" s="505" t="e">
        <f t="shared" si="38"/>
        <v>#VALUE!</v>
      </c>
      <c r="J291" s="506"/>
      <c r="K291" s="319" t="e">
        <f>IF($E$37&gt;B291,0,$E$36 IF(B291&gt;$E$21,0,$E$36))</f>
        <v>#VALUE!</v>
      </c>
      <c r="L291" s="507" t="e">
        <f>IF($F$37&gt;B291,0,$F$36 IF(B291&gt;$E$21,0,$F$36))</f>
        <v>#VALUE!</v>
      </c>
      <c r="M291" s="506"/>
      <c r="N291" s="505" t="e">
        <f t="shared" si="39"/>
        <v>#VALUE!</v>
      </c>
      <c r="O291" s="506"/>
      <c r="P291" s="305" t="e">
        <f t="shared" si="40"/>
        <v>#VALUE!</v>
      </c>
    </row>
    <row r="292" spans="2:16" s="299" customFormat="1" ht="12.6" customHeight="1">
      <c r="B292" s="315" t="e">
        <f t="shared" si="34"/>
        <v>#VALUE!</v>
      </c>
      <c r="C292" s="316" t="e">
        <f t="shared" si="41"/>
        <v>#VALUE!</v>
      </c>
      <c r="D292" s="317" t="e">
        <f t="shared" si="35"/>
        <v>#VALUE!</v>
      </c>
      <c r="E292" s="318" t="e">
        <f t="shared" si="36"/>
        <v>#VALUE!</v>
      </c>
      <c r="F292" s="319" t="e">
        <f t="shared" si="42"/>
        <v>#VALUE!</v>
      </c>
      <c r="G292" s="319" t="e">
        <f t="shared" si="37"/>
        <v>#VALUE!</v>
      </c>
      <c r="H292" s="318" t="e">
        <f t="shared" si="43"/>
        <v>#VALUE!</v>
      </c>
      <c r="I292" s="505" t="e">
        <f t="shared" si="38"/>
        <v>#VALUE!</v>
      </c>
      <c r="J292" s="506"/>
      <c r="K292" s="319" t="e">
        <f>IF($E$37&gt;B292,0,$E$36 IF(B292&gt;$E$21,0,$E$36))</f>
        <v>#VALUE!</v>
      </c>
      <c r="L292" s="507" t="e">
        <f>IF($F$37&gt;B292,0,$F$36 IF(B292&gt;$E$21,0,$F$36))</f>
        <v>#VALUE!</v>
      </c>
      <c r="M292" s="506"/>
      <c r="N292" s="505" t="e">
        <f t="shared" si="39"/>
        <v>#VALUE!</v>
      </c>
      <c r="O292" s="506"/>
      <c r="P292" s="305" t="e">
        <f t="shared" si="40"/>
        <v>#VALUE!</v>
      </c>
    </row>
    <row r="293" spans="2:16" s="299" customFormat="1" ht="12.6" customHeight="1">
      <c r="B293" s="315" t="e">
        <f t="shared" si="34"/>
        <v>#VALUE!</v>
      </c>
      <c r="C293" s="316" t="e">
        <f t="shared" si="41"/>
        <v>#VALUE!</v>
      </c>
      <c r="D293" s="317" t="e">
        <f t="shared" si="35"/>
        <v>#VALUE!</v>
      </c>
      <c r="E293" s="318" t="e">
        <f t="shared" si="36"/>
        <v>#VALUE!</v>
      </c>
      <c r="F293" s="319" t="e">
        <f t="shared" si="42"/>
        <v>#VALUE!</v>
      </c>
      <c r="G293" s="319" t="e">
        <f t="shared" si="37"/>
        <v>#VALUE!</v>
      </c>
      <c r="H293" s="318" t="e">
        <f t="shared" si="43"/>
        <v>#VALUE!</v>
      </c>
      <c r="I293" s="505" t="e">
        <f t="shared" si="38"/>
        <v>#VALUE!</v>
      </c>
      <c r="J293" s="506"/>
      <c r="K293" s="319" t="e">
        <f>IF($E$37&gt;B293,0,$E$36 IF(B293&gt;$E$21,0,$E$36))</f>
        <v>#VALUE!</v>
      </c>
      <c r="L293" s="507" t="e">
        <f>IF($F$37&gt;B293,0,$F$36 IF(B293&gt;$E$21,0,$F$36))</f>
        <v>#VALUE!</v>
      </c>
      <c r="M293" s="506"/>
      <c r="N293" s="505" t="e">
        <f t="shared" si="39"/>
        <v>#VALUE!</v>
      </c>
      <c r="O293" s="506"/>
      <c r="P293" s="305" t="e">
        <f t="shared" si="40"/>
        <v>#VALUE!</v>
      </c>
    </row>
    <row r="294" spans="2:16" s="299" customFormat="1" ht="12.6" customHeight="1">
      <c r="B294" s="315" t="e">
        <f t="shared" si="34"/>
        <v>#VALUE!</v>
      </c>
      <c r="C294" s="316" t="e">
        <f t="shared" si="41"/>
        <v>#VALUE!</v>
      </c>
      <c r="D294" s="317" t="e">
        <f t="shared" si="35"/>
        <v>#VALUE!</v>
      </c>
      <c r="E294" s="318" t="e">
        <f t="shared" si="36"/>
        <v>#VALUE!</v>
      </c>
      <c r="F294" s="319" t="e">
        <f t="shared" si="42"/>
        <v>#VALUE!</v>
      </c>
      <c r="G294" s="319" t="e">
        <f t="shared" si="37"/>
        <v>#VALUE!</v>
      </c>
      <c r="H294" s="318" t="e">
        <f t="shared" si="43"/>
        <v>#VALUE!</v>
      </c>
      <c r="I294" s="505" t="e">
        <f t="shared" si="38"/>
        <v>#VALUE!</v>
      </c>
      <c r="J294" s="506"/>
      <c r="K294" s="319" t="e">
        <f>IF($E$37&gt;B294,0,$E$36 IF(B294&gt;$E$21,0,$E$36))</f>
        <v>#VALUE!</v>
      </c>
      <c r="L294" s="507" t="e">
        <f>IF($F$37&gt;B294,0,$F$36 IF(B294&gt;$E$21,0,$F$36))</f>
        <v>#VALUE!</v>
      </c>
      <c r="M294" s="506"/>
      <c r="N294" s="505" t="e">
        <f t="shared" si="39"/>
        <v>#VALUE!</v>
      </c>
      <c r="O294" s="506"/>
      <c r="P294" s="305" t="e">
        <f t="shared" si="40"/>
        <v>#VALUE!</v>
      </c>
    </row>
    <row r="295" spans="2:16" s="299" customFormat="1" ht="12.6" customHeight="1">
      <c r="B295" s="315" t="e">
        <f t="shared" si="34"/>
        <v>#VALUE!</v>
      </c>
      <c r="C295" s="316" t="e">
        <f t="shared" si="41"/>
        <v>#VALUE!</v>
      </c>
      <c r="D295" s="317" t="e">
        <f t="shared" si="35"/>
        <v>#VALUE!</v>
      </c>
      <c r="E295" s="318" t="e">
        <f t="shared" si="36"/>
        <v>#VALUE!</v>
      </c>
      <c r="F295" s="319" t="e">
        <f t="shared" si="42"/>
        <v>#VALUE!</v>
      </c>
      <c r="G295" s="319" t="e">
        <f t="shared" si="37"/>
        <v>#VALUE!</v>
      </c>
      <c r="H295" s="318" t="e">
        <f t="shared" si="43"/>
        <v>#VALUE!</v>
      </c>
      <c r="I295" s="505" t="e">
        <f t="shared" si="38"/>
        <v>#VALUE!</v>
      </c>
      <c r="J295" s="506"/>
      <c r="K295" s="319" t="e">
        <f>IF($E$37&gt;B295,0,$E$36 IF(B295&gt;$E$21,0,$E$36))</f>
        <v>#VALUE!</v>
      </c>
      <c r="L295" s="507" t="e">
        <f>IF($F$37&gt;B295,0,$F$36 IF(B295&gt;$E$21,0,$F$36))</f>
        <v>#VALUE!</v>
      </c>
      <c r="M295" s="506"/>
      <c r="N295" s="505" t="e">
        <f t="shared" si="39"/>
        <v>#VALUE!</v>
      </c>
      <c r="O295" s="506"/>
      <c r="P295" s="305" t="e">
        <f t="shared" si="40"/>
        <v>#VALUE!</v>
      </c>
    </row>
    <row r="296" spans="2:16" s="299" customFormat="1" ht="12.6" customHeight="1">
      <c r="B296" s="315" t="e">
        <f t="shared" si="34"/>
        <v>#VALUE!</v>
      </c>
      <c r="C296" s="316" t="e">
        <f t="shared" si="41"/>
        <v>#VALUE!</v>
      </c>
      <c r="D296" s="317" t="e">
        <f t="shared" si="35"/>
        <v>#VALUE!</v>
      </c>
      <c r="E296" s="318" t="e">
        <f t="shared" si="36"/>
        <v>#VALUE!</v>
      </c>
      <c r="F296" s="319" t="e">
        <f t="shared" si="42"/>
        <v>#VALUE!</v>
      </c>
      <c r="G296" s="319" t="e">
        <f t="shared" si="37"/>
        <v>#VALUE!</v>
      </c>
      <c r="H296" s="318" t="e">
        <f t="shared" si="43"/>
        <v>#VALUE!</v>
      </c>
      <c r="I296" s="505" t="e">
        <f t="shared" si="38"/>
        <v>#VALUE!</v>
      </c>
      <c r="J296" s="506"/>
      <c r="K296" s="319" t="e">
        <f>IF($E$37&gt;B296,0,$E$36 IF(B296&gt;$E$21,0,$E$36))</f>
        <v>#VALUE!</v>
      </c>
      <c r="L296" s="507" t="e">
        <f>IF($F$37&gt;B296,0,$F$36 IF(B296&gt;$E$21,0,$F$36))</f>
        <v>#VALUE!</v>
      </c>
      <c r="M296" s="506"/>
      <c r="N296" s="505" t="e">
        <f t="shared" si="39"/>
        <v>#VALUE!</v>
      </c>
      <c r="O296" s="506"/>
      <c r="P296" s="305" t="e">
        <f t="shared" si="40"/>
        <v>#VALUE!</v>
      </c>
    </row>
    <row r="297" spans="2:16" s="299" customFormat="1" ht="12.6" customHeight="1">
      <c r="B297" s="315" t="e">
        <f t="shared" si="34"/>
        <v>#VALUE!</v>
      </c>
      <c r="C297" s="316" t="e">
        <f t="shared" si="41"/>
        <v>#VALUE!</v>
      </c>
      <c r="D297" s="317" t="e">
        <f t="shared" si="35"/>
        <v>#VALUE!</v>
      </c>
      <c r="E297" s="318" t="e">
        <f t="shared" si="36"/>
        <v>#VALUE!</v>
      </c>
      <c r="F297" s="319" t="e">
        <f t="shared" si="42"/>
        <v>#VALUE!</v>
      </c>
      <c r="G297" s="319" t="e">
        <f t="shared" si="37"/>
        <v>#VALUE!</v>
      </c>
      <c r="H297" s="318" t="e">
        <f t="shared" si="43"/>
        <v>#VALUE!</v>
      </c>
      <c r="I297" s="505" t="e">
        <f t="shared" si="38"/>
        <v>#VALUE!</v>
      </c>
      <c r="J297" s="506"/>
      <c r="K297" s="319" t="e">
        <f>IF($E$37&gt;B297,0,$E$36 IF(B297&gt;$E$21,0,$E$36))</f>
        <v>#VALUE!</v>
      </c>
      <c r="L297" s="507" t="e">
        <f>IF($F$37&gt;B297,0,$F$36 IF(B297&gt;$E$21,0,$F$36))</f>
        <v>#VALUE!</v>
      </c>
      <c r="M297" s="506"/>
      <c r="N297" s="505" t="e">
        <f t="shared" si="39"/>
        <v>#VALUE!</v>
      </c>
      <c r="O297" s="506"/>
      <c r="P297" s="305" t="e">
        <f t="shared" si="40"/>
        <v>#VALUE!</v>
      </c>
    </row>
    <row r="298" spans="2:16" s="299" customFormat="1" ht="12.6" customHeight="1">
      <c r="B298" s="315" t="e">
        <f t="shared" si="34"/>
        <v>#VALUE!</v>
      </c>
      <c r="C298" s="316" t="e">
        <f t="shared" si="41"/>
        <v>#VALUE!</v>
      </c>
      <c r="D298" s="317" t="e">
        <f t="shared" si="35"/>
        <v>#VALUE!</v>
      </c>
      <c r="E298" s="318" t="e">
        <f t="shared" si="36"/>
        <v>#VALUE!</v>
      </c>
      <c r="F298" s="319" t="e">
        <f t="shared" si="42"/>
        <v>#VALUE!</v>
      </c>
      <c r="G298" s="319" t="e">
        <f t="shared" si="37"/>
        <v>#VALUE!</v>
      </c>
      <c r="H298" s="318" t="e">
        <f t="shared" si="43"/>
        <v>#VALUE!</v>
      </c>
      <c r="I298" s="505" t="e">
        <f t="shared" si="38"/>
        <v>#VALUE!</v>
      </c>
      <c r="J298" s="506"/>
      <c r="K298" s="319" t="e">
        <f>IF($E$37&gt;B298,0,$E$36 IF(B298&gt;$E$21,0,$E$36))</f>
        <v>#VALUE!</v>
      </c>
      <c r="L298" s="507" t="e">
        <f>IF($F$37&gt;B298,0,$F$36 IF(B298&gt;$E$21,0,$F$36))</f>
        <v>#VALUE!</v>
      </c>
      <c r="M298" s="506"/>
      <c r="N298" s="505" t="e">
        <f t="shared" si="39"/>
        <v>#VALUE!</v>
      </c>
      <c r="O298" s="506"/>
      <c r="P298" s="305" t="e">
        <f t="shared" si="40"/>
        <v>#VALUE!</v>
      </c>
    </row>
    <row r="299" spans="2:16" s="299" customFormat="1" ht="12.6" customHeight="1">
      <c r="B299" s="315" t="e">
        <f t="shared" si="34"/>
        <v>#VALUE!</v>
      </c>
      <c r="C299" s="316" t="e">
        <f t="shared" si="41"/>
        <v>#VALUE!</v>
      </c>
      <c r="D299" s="317" t="e">
        <f t="shared" si="35"/>
        <v>#VALUE!</v>
      </c>
      <c r="E299" s="318" t="e">
        <f t="shared" si="36"/>
        <v>#VALUE!</v>
      </c>
      <c r="F299" s="319" t="e">
        <f t="shared" si="42"/>
        <v>#VALUE!</v>
      </c>
      <c r="G299" s="319" t="e">
        <f t="shared" si="37"/>
        <v>#VALUE!</v>
      </c>
      <c r="H299" s="318" t="e">
        <f t="shared" si="43"/>
        <v>#VALUE!</v>
      </c>
      <c r="I299" s="505" t="e">
        <f t="shared" si="38"/>
        <v>#VALUE!</v>
      </c>
      <c r="J299" s="506"/>
      <c r="K299" s="319" t="e">
        <f>IF($E$37&gt;B299,0,$E$36 IF(B299&gt;$E$21,0,$E$36))</f>
        <v>#VALUE!</v>
      </c>
      <c r="L299" s="507" t="e">
        <f>IF($F$37&gt;B299,0,$F$36 IF(B299&gt;$E$21,0,$F$36))</f>
        <v>#VALUE!</v>
      </c>
      <c r="M299" s="506"/>
      <c r="N299" s="505" t="e">
        <f t="shared" si="39"/>
        <v>#VALUE!</v>
      </c>
      <c r="O299" s="506"/>
      <c r="P299" s="305" t="e">
        <f t="shared" si="40"/>
        <v>#VALUE!</v>
      </c>
    </row>
    <row r="300" spans="2:16" s="299" customFormat="1" ht="12.6" customHeight="1">
      <c r="B300" s="315" t="e">
        <f t="shared" si="34"/>
        <v>#VALUE!</v>
      </c>
      <c r="C300" s="316" t="e">
        <f t="shared" si="41"/>
        <v>#VALUE!</v>
      </c>
      <c r="D300" s="317" t="e">
        <f t="shared" si="35"/>
        <v>#VALUE!</v>
      </c>
      <c r="E300" s="318" t="e">
        <f t="shared" si="36"/>
        <v>#VALUE!</v>
      </c>
      <c r="F300" s="319" t="e">
        <f t="shared" si="42"/>
        <v>#VALUE!</v>
      </c>
      <c r="G300" s="319" t="e">
        <f t="shared" si="37"/>
        <v>#VALUE!</v>
      </c>
      <c r="H300" s="318" t="e">
        <f t="shared" si="43"/>
        <v>#VALUE!</v>
      </c>
      <c r="I300" s="505" t="e">
        <f t="shared" si="38"/>
        <v>#VALUE!</v>
      </c>
      <c r="J300" s="506"/>
      <c r="K300" s="319" t="e">
        <f>IF($E$37&gt;B300,0,$E$36 IF(B300&gt;$E$21,0,$E$36))</f>
        <v>#VALUE!</v>
      </c>
      <c r="L300" s="507" t="e">
        <f>IF($F$37&gt;B300,0,$F$36 IF(B300&gt;$E$21,0,$F$36))</f>
        <v>#VALUE!</v>
      </c>
      <c r="M300" s="506"/>
      <c r="N300" s="505" t="e">
        <f t="shared" si="39"/>
        <v>#VALUE!</v>
      </c>
      <c r="O300" s="506"/>
      <c r="P300" s="305" t="e">
        <f t="shared" si="40"/>
        <v>#VALUE!</v>
      </c>
    </row>
    <row r="301" spans="2:16" s="299" customFormat="1" ht="12.6" customHeight="1">
      <c r="B301" s="315" t="e">
        <f t="shared" si="34"/>
        <v>#VALUE!</v>
      </c>
      <c r="C301" s="316" t="e">
        <f t="shared" si="41"/>
        <v>#VALUE!</v>
      </c>
      <c r="D301" s="317" t="e">
        <f t="shared" si="35"/>
        <v>#VALUE!</v>
      </c>
      <c r="E301" s="318" t="e">
        <f t="shared" si="36"/>
        <v>#VALUE!</v>
      </c>
      <c r="F301" s="319" t="e">
        <f t="shared" si="42"/>
        <v>#VALUE!</v>
      </c>
      <c r="G301" s="319" t="e">
        <f t="shared" si="37"/>
        <v>#VALUE!</v>
      </c>
      <c r="H301" s="318" t="e">
        <f t="shared" si="43"/>
        <v>#VALUE!</v>
      </c>
      <c r="I301" s="505" t="e">
        <f t="shared" si="38"/>
        <v>#VALUE!</v>
      </c>
      <c r="J301" s="506"/>
      <c r="K301" s="319" t="e">
        <f>IF($E$37&gt;B301,0,$E$36 IF(B301&gt;$E$21,0,$E$36))</f>
        <v>#VALUE!</v>
      </c>
      <c r="L301" s="507" t="e">
        <f>IF($F$37&gt;B301,0,$F$36 IF(B301&gt;$E$21,0,$F$36))</f>
        <v>#VALUE!</v>
      </c>
      <c r="M301" s="506"/>
      <c r="N301" s="505" t="e">
        <f t="shared" si="39"/>
        <v>#VALUE!</v>
      </c>
      <c r="O301" s="506"/>
      <c r="P301" s="305" t="e">
        <f t="shared" si="40"/>
        <v>#VALUE!</v>
      </c>
    </row>
    <row r="302" spans="2:16" s="299" customFormat="1" ht="12.6" customHeight="1">
      <c r="B302" s="315" t="e">
        <f t="shared" si="34"/>
        <v>#VALUE!</v>
      </c>
      <c r="C302" s="316" t="e">
        <f t="shared" si="41"/>
        <v>#VALUE!</v>
      </c>
      <c r="D302" s="317" t="e">
        <f t="shared" si="35"/>
        <v>#VALUE!</v>
      </c>
      <c r="E302" s="318" t="e">
        <f t="shared" si="36"/>
        <v>#VALUE!</v>
      </c>
      <c r="F302" s="319" t="e">
        <f t="shared" si="42"/>
        <v>#VALUE!</v>
      </c>
      <c r="G302" s="319" t="e">
        <f t="shared" si="37"/>
        <v>#VALUE!</v>
      </c>
      <c r="H302" s="318" t="e">
        <f t="shared" si="43"/>
        <v>#VALUE!</v>
      </c>
      <c r="I302" s="505" t="e">
        <f t="shared" si="38"/>
        <v>#VALUE!</v>
      </c>
      <c r="J302" s="506"/>
      <c r="K302" s="319" t="e">
        <f>IF($E$37&gt;B302,0,$E$36 IF(B302&gt;$E$21,0,$E$36))</f>
        <v>#VALUE!</v>
      </c>
      <c r="L302" s="507" t="e">
        <f>IF($F$37&gt;B302,0,$F$36 IF(B302&gt;$E$21,0,$F$36))</f>
        <v>#VALUE!</v>
      </c>
      <c r="M302" s="506"/>
      <c r="N302" s="505" t="e">
        <f t="shared" si="39"/>
        <v>#VALUE!</v>
      </c>
      <c r="O302" s="506"/>
      <c r="P302" s="305" t="e">
        <f t="shared" si="40"/>
        <v>#VALUE!</v>
      </c>
    </row>
    <row r="303" spans="2:16" s="299" customFormat="1" ht="12.6" customHeight="1">
      <c r="B303" s="315" t="e">
        <f t="shared" si="34"/>
        <v>#VALUE!</v>
      </c>
      <c r="C303" s="316" t="e">
        <f t="shared" si="41"/>
        <v>#VALUE!</v>
      </c>
      <c r="D303" s="317" t="e">
        <f t="shared" si="35"/>
        <v>#VALUE!</v>
      </c>
      <c r="E303" s="318" t="e">
        <f t="shared" si="36"/>
        <v>#VALUE!</v>
      </c>
      <c r="F303" s="319" t="e">
        <f t="shared" si="42"/>
        <v>#VALUE!</v>
      </c>
      <c r="G303" s="319" t="e">
        <f t="shared" si="37"/>
        <v>#VALUE!</v>
      </c>
      <c r="H303" s="318" t="e">
        <f t="shared" si="43"/>
        <v>#VALUE!</v>
      </c>
      <c r="I303" s="505" t="e">
        <f t="shared" si="38"/>
        <v>#VALUE!</v>
      </c>
      <c r="J303" s="506"/>
      <c r="K303" s="319" t="e">
        <f>IF($E$37&gt;B303,0,$E$36 IF(B303&gt;$E$21,0,$E$36))</f>
        <v>#VALUE!</v>
      </c>
      <c r="L303" s="507" t="e">
        <f>IF($F$37&gt;B303,0,$F$36 IF(B303&gt;$E$21,0,$F$36))</f>
        <v>#VALUE!</v>
      </c>
      <c r="M303" s="506"/>
      <c r="N303" s="505" t="e">
        <f t="shared" si="39"/>
        <v>#VALUE!</v>
      </c>
      <c r="O303" s="506"/>
      <c r="P303" s="305" t="e">
        <f t="shared" si="40"/>
        <v>#VALUE!</v>
      </c>
    </row>
    <row r="304" spans="2:16" s="299" customFormat="1" ht="12.6" customHeight="1">
      <c r="B304" s="315" t="e">
        <f t="shared" si="34"/>
        <v>#VALUE!</v>
      </c>
      <c r="C304" s="316" t="e">
        <f t="shared" si="41"/>
        <v>#VALUE!</v>
      </c>
      <c r="D304" s="317" t="e">
        <f t="shared" si="35"/>
        <v>#VALUE!</v>
      </c>
      <c r="E304" s="318" t="e">
        <f t="shared" si="36"/>
        <v>#VALUE!</v>
      </c>
      <c r="F304" s="319" t="e">
        <f t="shared" si="42"/>
        <v>#VALUE!</v>
      </c>
      <c r="G304" s="319" t="e">
        <f t="shared" si="37"/>
        <v>#VALUE!</v>
      </c>
      <c r="H304" s="318" t="e">
        <f t="shared" si="43"/>
        <v>#VALUE!</v>
      </c>
      <c r="I304" s="505" t="e">
        <f t="shared" si="38"/>
        <v>#VALUE!</v>
      </c>
      <c r="J304" s="506"/>
      <c r="K304" s="319" t="e">
        <f>IF($E$37&gt;B304,0,$E$36 IF(B304&gt;$E$21,0,$E$36))</f>
        <v>#VALUE!</v>
      </c>
      <c r="L304" s="507" t="e">
        <f>IF($F$37&gt;B304,0,$F$36 IF(B304&gt;$E$21,0,$F$36))</f>
        <v>#VALUE!</v>
      </c>
      <c r="M304" s="506"/>
      <c r="N304" s="505" t="e">
        <f t="shared" si="39"/>
        <v>#VALUE!</v>
      </c>
      <c r="O304" s="506"/>
      <c r="P304" s="305" t="e">
        <f t="shared" si="40"/>
        <v>#VALUE!</v>
      </c>
    </row>
    <row r="305" spans="2:16" s="299" customFormat="1" ht="12.6" customHeight="1">
      <c r="B305" s="315" t="e">
        <f t="shared" si="34"/>
        <v>#VALUE!</v>
      </c>
      <c r="C305" s="316" t="e">
        <f t="shared" si="41"/>
        <v>#VALUE!</v>
      </c>
      <c r="D305" s="317" t="e">
        <f t="shared" si="35"/>
        <v>#VALUE!</v>
      </c>
      <c r="E305" s="318" t="e">
        <f t="shared" si="36"/>
        <v>#VALUE!</v>
      </c>
      <c r="F305" s="319" t="e">
        <f t="shared" si="42"/>
        <v>#VALUE!</v>
      </c>
      <c r="G305" s="319" t="e">
        <f t="shared" si="37"/>
        <v>#VALUE!</v>
      </c>
      <c r="H305" s="318" t="e">
        <f t="shared" si="43"/>
        <v>#VALUE!</v>
      </c>
      <c r="I305" s="505" t="e">
        <f t="shared" si="38"/>
        <v>#VALUE!</v>
      </c>
      <c r="J305" s="506"/>
      <c r="K305" s="319" t="e">
        <f>IF($E$37&gt;B305,0,$E$36 IF(B305&gt;$E$21,0,$E$36))</f>
        <v>#VALUE!</v>
      </c>
      <c r="L305" s="507" t="e">
        <f>IF($F$37&gt;B305,0,$F$36 IF(B305&gt;$E$21,0,$F$36))</f>
        <v>#VALUE!</v>
      </c>
      <c r="M305" s="506"/>
      <c r="N305" s="505" t="e">
        <f t="shared" si="39"/>
        <v>#VALUE!</v>
      </c>
      <c r="O305" s="506"/>
      <c r="P305" s="305" t="e">
        <f t="shared" si="40"/>
        <v>#VALUE!</v>
      </c>
    </row>
    <row r="306" spans="2:16" s="299" customFormat="1" ht="12.6" customHeight="1">
      <c r="B306" s="315" t="e">
        <f t="shared" si="34"/>
        <v>#VALUE!</v>
      </c>
      <c r="C306" s="316" t="e">
        <f t="shared" si="41"/>
        <v>#VALUE!</v>
      </c>
      <c r="D306" s="317" t="e">
        <f t="shared" si="35"/>
        <v>#VALUE!</v>
      </c>
      <c r="E306" s="318" t="e">
        <f t="shared" si="36"/>
        <v>#VALUE!</v>
      </c>
      <c r="F306" s="319" t="e">
        <f t="shared" si="42"/>
        <v>#VALUE!</v>
      </c>
      <c r="G306" s="319" t="e">
        <f t="shared" si="37"/>
        <v>#VALUE!</v>
      </c>
      <c r="H306" s="318" t="e">
        <f t="shared" si="43"/>
        <v>#VALUE!</v>
      </c>
      <c r="I306" s="505" t="e">
        <f t="shared" si="38"/>
        <v>#VALUE!</v>
      </c>
      <c r="J306" s="506"/>
      <c r="K306" s="319" t="e">
        <f>IF($E$37&gt;B306,0,$E$36 IF(B306&gt;$E$21,0,$E$36))</f>
        <v>#VALUE!</v>
      </c>
      <c r="L306" s="507" t="e">
        <f>IF($F$37&gt;B306,0,$F$36 IF(B306&gt;$E$21,0,$F$36))</f>
        <v>#VALUE!</v>
      </c>
      <c r="M306" s="506"/>
      <c r="N306" s="505" t="e">
        <f t="shared" si="39"/>
        <v>#VALUE!</v>
      </c>
      <c r="O306" s="506"/>
      <c r="P306" s="305" t="e">
        <f t="shared" si="40"/>
        <v>#VALUE!</v>
      </c>
    </row>
    <row r="307" spans="2:16" s="299" customFormat="1" ht="12.6" customHeight="1">
      <c r="B307" s="315" t="e">
        <f t="shared" si="34"/>
        <v>#VALUE!</v>
      </c>
      <c r="C307" s="316" t="e">
        <f t="shared" si="41"/>
        <v>#VALUE!</v>
      </c>
      <c r="D307" s="317" t="e">
        <f t="shared" si="35"/>
        <v>#VALUE!</v>
      </c>
      <c r="E307" s="318" t="e">
        <f t="shared" si="36"/>
        <v>#VALUE!</v>
      </c>
      <c r="F307" s="319" t="e">
        <f t="shared" si="42"/>
        <v>#VALUE!</v>
      </c>
      <c r="G307" s="319" t="e">
        <f t="shared" si="37"/>
        <v>#VALUE!</v>
      </c>
      <c r="H307" s="318" t="e">
        <f t="shared" si="43"/>
        <v>#VALUE!</v>
      </c>
      <c r="I307" s="505" t="e">
        <f t="shared" si="38"/>
        <v>#VALUE!</v>
      </c>
      <c r="J307" s="506"/>
      <c r="K307" s="319" t="e">
        <f>IF($E$37&gt;B307,0,$E$36 IF(B307&gt;$E$21,0,$E$36))</f>
        <v>#VALUE!</v>
      </c>
      <c r="L307" s="507" t="e">
        <f>IF($F$37&gt;B307,0,$F$36 IF(B307&gt;$E$21,0,$F$36))</f>
        <v>#VALUE!</v>
      </c>
      <c r="M307" s="506"/>
      <c r="N307" s="505" t="e">
        <f t="shared" si="39"/>
        <v>#VALUE!</v>
      </c>
      <c r="O307" s="506"/>
      <c r="P307" s="305" t="e">
        <f t="shared" si="40"/>
        <v>#VALUE!</v>
      </c>
    </row>
    <row r="308" spans="2:16" s="299" customFormat="1" ht="12.6" customHeight="1">
      <c r="B308" s="315" t="e">
        <f t="shared" si="34"/>
        <v>#VALUE!</v>
      </c>
      <c r="C308" s="316" t="e">
        <f t="shared" si="41"/>
        <v>#VALUE!</v>
      </c>
      <c r="D308" s="317" t="e">
        <f t="shared" si="35"/>
        <v>#VALUE!</v>
      </c>
      <c r="E308" s="318" t="e">
        <f t="shared" si="36"/>
        <v>#VALUE!</v>
      </c>
      <c r="F308" s="319" t="e">
        <f t="shared" si="42"/>
        <v>#VALUE!</v>
      </c>
      <c r="G308" s="319" t="e">
        <f t="shared" si="37"/>
        <v>#VALUE!</v>
      </c>
      <c r="H308" s="318" t="e">
        <f t="shared" si="43"/>
        <v>#VALUE!</v>
      </c>
      <c r="I308" s="505" t="e">
        <f t="shared" si="38"/>
        <v>#VALUE!</v>
      </c>
      <c r="J308" s="506"/>
      <c r="K308" s="319" t="e">
        <f>IF($E$37&gt;B308,0,$E$36 IF(B308&gt;$E$21,0,$E$36))</f>
        <v>#VALUE!</v>
      </c>
      <c r="L308" s="507" t="e">
        <f>IF($F$37&gt;B308,0,$F$36 IF(B308&gt;$E$21,0,$F$36))</f>
        <v>#VALUE!</v>
      </c>
      <c r="M308" s="506"/>
      <c r="N308" s="505" t="e">
        <f t="shared" si="39"/>
        <v>#VALUE!</v>
      </c>
      <c r="O308" s="506"/>
      <c r="P308" s="305" t="e">
        <f t="shared" si="40"/>
        <v>#VALUE!</v>
      </c>
    </row>
    <row r="309" spans="2:16" s="299" customFormat="1" ht="12.6" customHeight="1">
      <c r="B309" s="315" t="e">
        <f t="shared" si="34"/>
        <v>#VALUE!</v>
      </c>
      <c r="C309" s="316" t="e">
        <f t="shared" si="41"/>
        <v>#VALUE!</v>
      </c>
      <c r="D309" s="317" t="e">
        <f t="shared" si="35"/>
        <v>#VALUE!</v>
      </c>
      <c r="E309" s="318" t="e">
        <f t="shared" si="36"/>
        <v>#VALUE!</v>
      </c>
      <c r="F309" s="319" t="e">
        <f t="shared" si="42"/>
        <v>#VALUE!</v>
      </c>
      <c r="G309" s="319" t="e">
        <f t="shared" si="37"/>
        <v>#VALUE!</v>
      </c>
      <c r="H309" s="318" t="e">
        <f t="shared" si="43"/>
        <v>#VALUE!</v>
      </c>
      <c r="I309" s="505" t="e">
        <f t="shared" si="38"/>
        <v>#VALUE!</v>
      </c>
      <c r="J309" s="506"/>
      <c r="K309" s="319" t="e">
        <f>IF($E$37&gt;B309,0,$E$36 IF(B309&gt;$E$21,0,$E$36))</f>
        <v>#VALUE!</v>
      </c>
      <c r="L309" s="507" t="e">
        <f>IF($F$37&gt;B309,0,$F$36 IF(B309&gt;$E$21,0,$F$36))</f>
        <v>#VALUE!</v>
      </c>
      <c r="M309" s="506"/>
      <c r="N309" s="505" t="e">
        <f t="shared" si="39"/>
        <v>#VALUE!</v>
      </c>
      <c r="O309" s="506"/>
      <c r="P309" s="305" t="e">
        <f t="shared" si="40"/>
        <v>#VALUE!</v>
      </c>
    </row>
    <row r="310" spans="2:16" s="299" customFormat="1" ht="12.6" customHeight="1">
      <c r="B310" s="323" t="e">
        <f t="shared" si="34"/>
        <v>#VALUE!</v>
      </c>
      <c r="C310" s="324" t="e">
        <f t="shared" si="41"/>
        <v>#VALUE!</v>
      </c>
      <c r="D310" s="325" t="e">
        <f t="shared" si="35"/>
        <v>#VALUE!</v>
      </c>
      <c r="E310" s="326" t="e">
        <f t="shared" si="36"/>
        <v>#VALUE!</v>
      </c>
      <c r="F310" s="326" t="e">
        <f t="shared" si="42"/>
        <v>#VALUE!</v>
      </c>
      <c r="G310" s="326" t="e">
        <f t="shared" si="37"/>
        <v>#VALUE!</v>
      </c>
      <c r="H310" s="326" t="e">
        <f t="shared" si="43"/>
        <v>#VALUE!</v>
      </c>
      <c r="I310" s="535" t="e">
        <f t="shared" si="38"/>
        <v>#VALUE!</v>
      </c>
      <c r="J310" s="534"/>
      <c r="K310" s="327" t="e">
        <f>IF($E$37&gt;B310,0,$E$36 IF(B310&gt;$E$21,0,$E$36))</f>
        <v>#VALUE!</v>
      </c>
      <c r="L310" s="555" t="e">
        <f>IF($F$37&gt;B310,0,$F$36 IF(B310&gt;$E$21,0,$F$36))</f>
        <v>#VALUE!</v>
      </c>
      <c r="M310" s="534"/>
      <c r="N310" s="535" t="e">
        <f t="shared" si="39"/>
        <v>#VALUE!</v>
      </c>
      <c r="O310" s="534"/>
      <c r="P310" s="310" t="e">
        <f t="shared" si="40"/>
        <v>#VALUE!</v>
      </c>
    </row>
    <row r="311" spans="2:16" s="299" customFormat="1" ht="12.6" customHeight="1"/>
    <row r="312" spans="2:16" s="299" customFormat="1" ht="12.6" customHeight="1"/>
    <row r="313" spans="2:16" s="299" customFormat="1" ht="12.6" customHeight="1"/>
    <row r="314" spans="2:16" s="299" customFormat="1" ht="12.6" customHeight="1"/>
    <row r="315" spans="2:16" s="299" customFormat="1" ht="12.6" customHeight="1"/>
    <row r="316" spans="2:16" s="299" customFormat="1" ht="12.6" customHeight="1"/>
    <row r="317" spans="2:16" s="299" customFormat="1" ht="12.6" customHeight="1"/>
    <row r="318" spans="2:16" s="299" customFormat="1" ht="12.6" customHeight="1"/>
    <row r="319" spans="2:16" s="299" customFormat="1" ht="12.6" customHeight="1"/>
    <row r="320" spans="2:16" s="299" customFormat="1" ht="12.6" customHeight="1"/>
    <row r="321" s="299" customFormat="1" ht="12.6" customHeight="1"/>
    <row r="322" s="299" customFormat="1" ht="12.6" customHeight="1"/>
    <row r="323" s="299" customFormat="1" ht="12.6" customHeight="1"/>
    <row r="324" s="299" customFormat="1" ht="12.6" customHeight="1"/>
    <row r="325" s="299" customFormat="1" ht="12.6" customHeight="1"/>
    <row r="326" s="299" customFormat="1" ht="12.6" customHeight="1"/>
    <row r="327" s="299" customFormat="1" ht="12.6" customHeight="1"/>
    <row r="328" s="299" customFormat="1" ht="12.6" customHeight="1"/>
    <row r="329" s="299" customFormat="1" ht="12.6" customHeight="1"/>
    <row r="330" s="299" customFormat="1" ht="12.6" customHeight="1"/>
    <row r="331" s="299" customFormat="1" ht="12.6" customHeight="1"/>
    <row r="332" s="299" customFormat="1" ht="12.6" customHeight="1"/>
    <row r="333" s="299" customFormat="1" ht="12.6" customHeight="1"/>
    <row r="334" s="299" customFormat="1" ht="12.6" customHeight="1"/>
    <row r="335" s="299" customFormat="1" ht="12.6" customHeight="1"/>
    <row r="336" s="299" customFormat="1" ht="12.6" customHeight="1"/>
    <row r="337" s="299" customFormat="1" ht="12.6" customHeight="1"/>
    <row r="338" s="299" customFormat="1" ht="12.6" customHeight="1"/>
    <row r="339" s="299" customFormat="1" ht="12.6" customHeight="1"/>
    <row r="340" s="299" customFormat="1" ht="12.6" customHeight="1"/>
    <row r="341" s="299" customFormat="1" ht="12.6" customHeight="1"/>
    <row r="342" s="299" customFormat="1" ht="12.6" customHeight="1"/>
    <row r="343" s="299" customFormat="1" ht="12.6" customHeight="1"/>
    <row r="344" s="299" customFormat="1" ht="12.6" customHeight="1"/>
  </sheetData>
  <mergeCells count="843">
    <mergeCell ref="N310:O310"/>
    <mergeCell ref="I40:J40"/>
    <mergeCell ref="F44:G44"/>
    <mergeCell ref="N308:O308"/>
    <mergeCell ref="N289:O289"/>
    <mergeCell ref="I249:J249"/>
    <mergeCell ref="G32:H32"/>
    <mergeCell ref="L155:M155"/>
    <mergeCell ref="I63:J63"/>
    <mergeCell ref="L247:M247"/>
    <mergeCell ref="I50:J50"/>
    <mergeCell ref="B12:D12"/>
    <mergeCell ref="L170:M170"/>
    <mergeCell ref="L86:M86"/>
    <mergeCell ref="L135:M135"/>
    <mergeCell ref="L257:M257"/>
    <mergeCell ref="N86:O86"/>
    <mergeCell ref="I90:J90"/>
    <mergeCell ref="N257:O257"/>
    <mergeCell ref="N213:O213"/>
    <mergeCell ref="I261:J261"/>
    <mergeCell ref="L101:M101"/>
    <mergeCell ref="L150:M150"/>
    <mergeCell ref="L199:M199"/>
    <mergeCell ref="N150:O150"/>
    <mergeCell ref="I154:J154"/>
    <mergeCell ref="N255:O255"/>
    <mergeCell ref="N294:O294"/>
    <mergeCell ref="L244:M244"/>
    <mergeCell ref="I143:J143"/>
    <mergeCell ref="N244:O244"/>
    <mergeCell ref="L231:M231"/>
    <mergeCell ref="L302:M302"/>
    <mergeCell ref="N231:O231"/>
    <mergeCell ref="I161:J161"/>
    <mergeCell ref="L181:M181"/>
    <mergeCell ref="L186:M186"/>
    <mergeCell ref="N242:O242"/>
    <mergeCell ref="L165:M165"/>
    <mergeCell ref="N165:O165"/>
    <mergeCell ref="N152:O152"/>
    <mergeCell ref="I156:J156"/>
    <mergeCell ref="I254:J254"/>
    <mergeCell ref="N194:O194"/>
    <mergeCell ref="I264:J264"/>
    <mergeCell ref="I220:J220"/>
    <mergeCell ref="N181:O181"/>
    <mergeCell ref="L275:M275"/>
    <mergeCell ref="N147:O147"/>
    <mergeCell ref="I180:J180"/>
    <mergeCell ref="L212:M212"/>
    <mergeCell ref="I309:J309"/>
    <mergeCell ref="L177:M177"/>
    <mergeCell ref="L84:M84"/>
    <mergeCell ref="I259:J259"/>
    <mergeCell ref="N84:O84"/>
    <mergeCell ref="L149:M149"/>
    <mergeCell ref="N249:O249"/>
    <mergeCell ref="L176:M176"/>
    <mergeCell ref="N149:O149"/>
    <mergeCell ref="N205:O205"/>
    <mergeCell ref="I253:J253"/>
    <mergeCell ref="I88:J88"/>
    <mergeCell ref="I148:J148"/>
    <mergeCell ref="N241:O241"/>
    <mergeCell ref="I240:J240"/>
    <mergeCell ref="L191:M191"/>
    <mergeCell ref="N142:O142"/>
    <mergeCell ref="L178:M178"/>
    <mergeCell ref="N144:O144"/>
    <mergeCell ref="I256:J256"/>
    <mergeCell ref="L175:M175"/>
    <mergeCell ref="I179:J179"/>
    <mergeCell ref="L267:M267"/>
    <mergeCell ref="N267:O267"/>
    <mergeCell ref="D4:I4"/>
    <mergeCell ref="I72:J72"/>
    <mergeCell ref="B9:D9"/>
    <mergeCell ref="L83:M83"/>
    <mergeCell ref="L254:M254"/>
    <mergeCell ref="I258:J258"/>
    <mergeCell ref="C60:D60"/>
    <mergeCell ref="I224:J224"/>
    <mergeCell ref="L196:M196"/>
    <mergeCell ref="L85:M85"/>
    <mergeCell ref="L256:M256"/>
    <mergeCell ref="I211:J211"/>
    <mergeCell ref="I82:J82"/>
    <mergeCell ref="C57:D57"/>
    <mergeCell ref="L80:M80"/>
    <mergeCell ref="C58:D58"/>
    <mergeCell ref="I141:J141"/>
    <mergeCell ref="I103:J103"/>
    <mergeCell ref="I159:J159"/>
    <mergeCell ref="I97:J97"/>
    <mergeCell ref="I230:J230"/>
    <mergeCell ref="I91:J91"/>
    <mergeCell ref="I85:J85"/>
    <mergeCell ref="I93:J93"/>
    <mergeCell ref="N305:O305"/>
    <mergeCell ref="L243:M243"/>
    <mergeCell ref="I304:J304"/>
    <mergeCell ref="L292:M292"/>
    <mergeCell ref="N50:O50"/>
    <mergeCell ref="N129:O129"/>
    <mergeCell ref="N292:O292"/>
    <mergeCell ref="N63:O63"/>
    <mergeCell ref="N243:O243"/>
    <mergeCell ref="I160:J160"/>
    <mergeCell ref="N286:O286"/>
    <mergeCell ref="N221:O221"/>
    <mergeCell ref="N131:O131"/>
    <mergeCell ref="I135:J135"/>
    <mergeCell ref="N236:O236"/>
    <mergeCell ref="I233:J233"/>
    <mergeCell ref="L294:M294"/>
    <mergeCell ref="N223:O223"/>
    <mergeCell ref="I227:J227"/>
    <mergeCell ref="N247:O247"/>
    <mergeCell ref="N78:O78"/>
    <mergeCell ref="N80:O80"/>
    <mergeCell ref="N55:O55"/>
    <mergeCell ref="N58:O58"/>
    <mergeCell ref="L306:M306"/>
    <mergeCell ref="I236:J236"/>
    <mergeCell ref="L159:M159"/>
    <mergeCell ref="L72:M72"/>
    <mergeCell ref="B33:C33"/>
    <mergeCell ref="G33:H37"/>
    <mergeCell ref="L226:M226"/>
    <mergeCell ref="L201:M201"/>
    <mergeCell ref="I33:J37"/>
    <mergeCell ref="L164:M164"/>
    <mergeCell ref="C67:D67"/>
    <mergeCell ref="I94:J94"/>
    <mergeCell ref="L65:M65"/>
    <mergeCell ref="L241:M241"/>
    <mergeCell ref="B35:C35"/>
    <mergeCell ref="L228:M228"/>
    <mergeCell ref="L203:M203"/>
    <mergeCell ref="I158:J158"/>
    <mergeCell ref="I77:J77"/>
    <mergeCell ref="L305:M305"/>
    <mergeCell ref="I108:J108"/>
    <mergeCell ref="I133:J133"/>
    <mergeCell ref="I306:J306"/>
    <mergeCell ref="L269:M269"/>
    <mergeCell ref="L304:M304"/>
    <mergeCell ref="I272:J272"/>
    <mergeCell ref="N233:O233"/>
    <mergeCell ref="I237:J237"/>
    <mergeCell ref="N298:O298"/>
    <mergeCell ref="C54:D54"/>
    <mergeCell ref="L273:M273"/>
    <mergeCell ref="I76:J76"/>
    <mergeCell ref="I209:J209"/>
    <mergeCell ref="I147:J147"/>
    <mergeCell ref="I203:J203"/>
    <mergeCell ref="L248:M248"/>
    <mergeCell ref="N248:O248"/>
    <mergeCell ref="N273:O273"/>
    <mergeCell ref="I301:J301"/>
    <mergeCell ref="I239:J239"/>
    <mergeCell ref="I122:J122"/>
    <mergeCell ref="C56:D56"/>
    <mergeCell ref="I214:J214"/>
    <mergeCell ref="I238:J238"/>
    <mergeCell ref="I186:J186"/>
    <mergeCell ref="N103:O103"/>
    <mergeCell ref="N226:O226"/>
    <mergeCell ref="N217:O217"/>
    <mergeCell ref="L299:M299"/>
    <mergeCell ref="N57:O57"/>
    <mergeCell ref="N128:O128"/>
    <mergeCell ref="I132:J132"/>
    <mergeCell ref="I303:J303"/>
    <mergeCell ref="N293:O293"/>
    <mergeCell ref="I48:J48"/>
    <mergeCell ref="I219:J219"/>
    <mergeCell ref="L220:M220"/>
    <mergeCell ref="N220:O220"/>
    <mergeCell ref="I290:J290"/>
    <mergeCell ref="L222:M222"/>
    <mergeCell ref="N284:O284"/>
    <mergeCell ref="N222:O222"/>
    <mergeCell ref="L251:M251"/>
    <mergeCell ref="L238:M238"/>
    <mergeCell ref="I81:J81"/>
    <mergeCell ref="L82:M82"/>
    <mergeCell ref="L253:M253"/>
    <mergeCell ref="N204:O204"/>
    <mergeCell ref="I208:J208"/>
    <mergeCell ref="L190:M190"/>
    <mergeCell ref="L75:M75"/>
    <mergeCell ref="L246:M246"/>
    <mergeCell ref="I289:J289"/>
    <mergeCell ref="L64:M64"/>
    <mergeCell ref="I130:J130"/>
    <mergeCell ref="N64:O64"/>
    <mergeCell ref="N120:O120"/>
    <mergeCell ref="L162:M162"/>
    <mergeCell ref="I190:J190"/>
    <mergeCell ref="I117:J117"/>
    <mergeCell ref="I92:J92"/>
    <mergeCell ref="L156:M156"/>
    <mergeCell ref="N191:O191"/>
    <mergeCell ref="L227:M227"/>
    <mergeCell ref="I67:J67"/>
    <mergeCell ref="L128:M128"/>
    <mergeCell ref="I145:J145"/>
    <mergeCell ref="N75:O75"/>
    <mergeCell ref="L146:M146"/>
    <mergeCell ref="N246:O246"/>
    <mergeCell ref="L233:M233"/>
    <mergeCell ref="I210:J210"/>
    <mergeCell ref="N65:O65"/>
    <mergeCell ref="N192:O192"/>
    <mergeCell ref="N228:O228"/>
    <mergeCell ref="N81:O81"/>
    <mergeCell ref="L296:M296"/>
    <mergeCell ref="N296:O296"/>
    <mergeCell ref="I300:J300"/>
    <mergeCell ref="N173:O173"/>
    <mergeCell ref="K41:M41"/>
    <mergeCell ref="N271:O271"/>
    <mergeCell ref="I164:J164"/>
    <mergeCell ref="I139:J139"/>
    <mergeCell ref="L67:M67"/>
    <mergeCell ref="N110:O110"/>
    <mergeCell ref="K43:M43"/>
    <mergeCell ref="I195:J195"/>
    <mergeCell ref="N125:O125"/>
    <mergeCell ref="L87:M87"/>
    <mergeCell ref="L62:M62"/>
    <mergeCell ref="L133:M133"/>
    <mergeCell ref="N62:O62"/>
    <mergeCell ref="L127:M127"/>
    <mergeCell ref="L298:M298"/>
    <mergeCell ref="N127:O127"/>
    <mergeCell ref="I53:J53"/>
    <mergeCell ref="L225:M225"/>
    <mergeCell ref="L285:M285"/>
    <mergeCell ref="N176:O176"/>
    <mergeCell ref="L310:M310"/>
    <mergeCell ref="I205:J205"/>
    <mergeCell ref="L114:M114"/>
    <mergeCell ref="C51:D51"/>
    <mergeCell ref="L138:M138"/>
    <mergeCell ref="L76:M76"/>
    <mergeCell ref="I142:J142"/>
    <mergeCell ref="N132:O132"/>
    <mergeCell ref="L230:M230"/>
    <mergeCell ref="L168:M168"/>
    <mergeCell ref="N59:O59"/>
    <mergeCell ref="N230:O230"/>
    <mergeCell ref="L301:M301"/>
    <mergeCell ref="N178:O178"/>
    <mergeCell ref="L143:M143"/>
    <mergeCell ref="I79:J79"/>
    <mergeCell ref="I73:J73"/>
    <mergeCell ref="N196:O196"/>
    <mergeCell ref="L232:M232"/>
    <mergeCell ref="N288:O288"/>
    <mergeCell ref="L207:M207"/>
    <mergeCell ref="N207:O207"/>
    <mergeCell ref="I137:J137"/>
    <mergeCell ref="N198:O198"/>
    <mergeCell ref="I287:J287"/>
    <mergeCell ref="N112:O112"/>
    <mergeCell ref="I116:J116"/>
    <mergeCell ref="N106:O106"/>
    <mergeCell ref="L277:M277"/>
    <mergeCell ref="N277:O277"/>
    <mergeCell ref="I281:J281"/>
    <mergeCell ref="N283:O283"/>
    <mergeCell ref="I188:J188"/>
    <mergeCell ref="I126:J126"/>
    <mergeCell ref="N252:O252"/>
    <mergeCell ref="I218:J218"/>
    <mergeCell ref="N163:O163"/>
    <mergeCell ref="N107:O107"/>
    <mergeCell ref="I282:J282"/>
    <mergeCell ref="I118:J118"/>
    <mergeCell ref="I167:J167"/>
    <mergeCell ref="L252:M252"/>
    <mergeCell ref="I182:J182"/>
    <mergeCell ref="L276:M276"/>
    <mergeCell ref="I109:J109"/>
    <mergeCell ref="I169:J169"/>
    <mergeCell ref="L270:M270"/>
    <mergeCell ref="N270:O270"/>
    <mergeCell ref="B14:D14"/>
    <mergeCell ref="I124:J124"/>
    <mergeCell ref="N54:O54"/>
    <mergeCell ref="L125:M125"/>
    <mergeCell ref="I251:J251"/>
    <mergeCell ref="I189:J189"/>
    <mergeCell ref="L283:M283"/>
    <mergeCell ref="B13:D13"/>
    <mergeCell ref="L112:M112"/>
    <mergeCell ref="L217:M217"/>
    <mergeCell ref="N56:O56"/>
    <mergeCell ref="N105:O105"/>
    <mergeCell ref="I47:J47"/>
    <mergeCell ref="L74:M74"/>
    <mergeCell ref="I55:J55"/>
    <mergeCell ref="L51:M51"/>
    <mergeCell ref="L104:M104"/>
    <mergeCell ref="L54:M54"/>
    <mergeCell ref="L56:M56"/>
    <mergeCell ref="L105:M105"/>
    <mergeCell ref="L99:M99"/>
    <mergeCell ref="N99:O99"/>
    <mergeCell ref="I274:J274"/>
    <mergeCell ref="I280:J280"/>
    <mergeCell ref="B11:C11"/>
    <mergeCell ref="I32:J32"/>
    <mergeCell ref="L204:M204"/>
    <mergeCell ref="L93:M93"/>
    <mergeCell ref="K32:L32"/>
    <mergeCell ref="I305:J305"/>
    <mergeCell ref="I134:J134"/>
    <mergeCell ref="N93:O93"/>
    <mergeCell ref="N155:O155"/>
    <mergeCell ref="I243:J243"/>
    <mergeCell ref="L264:M264"/>
    <mergeCell ref="N264:O264"/>
    <mergeCell ref="I268:J268"/>
    <mergeCell ref="L141:M141"/>
    <mergeCell ref="N170:O170"/>
    <mergeCell ref="I96:J96"/>
    <mergeCell ref="L206:M206"/>
    <mergeCell ref="N157:O157"/>
    <mergeCell ref="N262:O262"/>
    <mergeCell ref="L224:M224"/>
    <mergeCell ref="I111:J111"/>
    <mergeCell ref="N172:O172"/>
    <mergeCell ref="I98:J98"/>
    <mergeCell ref="N199:O199"/>
    <mergeCell ref="D5:I5"/>
    <mergeCell ref="L109:M109"/>
    <mergeCell ref="L147:M147"/>
    <mergeCell ref="L274:M274"/>
    <mergeCell ref="L280:M280"/>
    <mergeCell ref="I173:J173"/>
    <mergeCell ref="N274:O274"/>
    <mergeCell ref="I284:J284"/>
    <mergeCell ref="L122:M122"/>
    <mergeCell ref="L193:M193"/>
    <mergeCell ref="I52:J52"/>
    <mergeCell ref="I123:J123"/>
    <mergeCell ref="I250:J250"/>
    <mergeCell ref="L211:M211"/>
    <mergeCell ref="I110:J110"/>
    <mergeCell ref="F43:G43"/>
    <mergeCell ref="I44:J44"/>
    <mergeCell ref="I166:J166"/>
    <mergeCell ref="N211:O211"/>
    <mergeCell ref="I279:J279"/>
    <mergeCell ref="N269:O269"/>
    <mergeCell ref="N79:O79"/>
    <mergeCell ref="L98:M98"/>
    <mergeCell ref="I199:J199"/>
    <mergeCell ref="G31:H31"/>
    <mergeCell ref="I31:J31"/>
    <mergeCell ref="N83:O83"/>
    <mergeCell ref="L154:M154"/>
    <mergeCell ref="N154:O154"/>
    <mergeCell ref="I202:J202"/>
    <mergeCell ref="N254:O254"/>
    <mergeCell ref="I168:J168"/>
    <mergeCell ref="L91:M91"/>
    <mergeCell ref="N91:O91"/>
    <mergeCell ref="I95:J95"/>
    <mergeCell ref="N85:O85"/>
    <mergeCell ref="I89:J89"/>
    <mergeCell ref="N156:O156"/>
    <mergeCell ref="L198:M198"/>
    <mergeCell ref="I197:J197"/>
    <mergeCell ref="L116:M116"/>
    <mergeCell ref="N151:O151"/>
    <mergeCell ref="L180:M180"/>
    <mergeCell ref="L118:M118"/>
    <mergeCell ref="N180:O180"/>
    <mergeCell ref="I184:J184"/>
    <mergeCell ref="L216:M216"/>
    <mergeCell ref="N167:O167"/>
    <mergeCell ref="F41:G41"/>
    <mergeCell ref="I102:J102"/>
    <mergeCell ref="N299:O299"/>
    <mergeCell ref="L63:M63"/>
    <mergeCell ref="N88:O88"/>
    <mergeCell ref="N259:O259"/>
    <mergeCell ref="I247:J247"/>
    <mergeCell ref="L96:M96"/>
    <mergeCell ref="L90:M90"/>
    <mergeCell ref="L261:M261"/>
    <mergeCell ref="N90:O90"/>
    <mergeCell ref="L188:M188"/>
    <mergeCell ref="N261:O261"/>
    <mergeCell ref="I262:J262"/>
    <mergeCell ref="I265:J265"/>
    <mergeCell ref="I252:J252"/>
    <mergeCell ref="I266:J266"/>
    <mergeCell ref="N256:O256"/>
    <mergeCell ref="I260:J260"/>
    <mergeCell ref="L279:M279"/>
    <mergeCell ref="L272:M272"/>
    <mergeCell ref="I171:J171"/>
    <mergeCell ref="N272:O272"/>
    <mergeCell ref="I121:J121"/>
    <mergeCell ref="B2:P2"/>
    <mergeCell ref="N95:O95"/>
    <mergeCell ref="I105:J105"/>
    <mergeCell ref="L131:M131"/>
    <mergeCell ref="N160:O160"/>
    <mergeCell ref="I49:J49"/>
    <mergeCell ref="N141:O141"/>
    <mergeCell ref="I120:J120"/>
    <mergeCell ref="L208:M208"/>
    <mergeCell ref="L97:M97"/>
    <mergeCell ref="F40:G40"/>
    <mergeCell ref="N159:O159"/>
    <mergeCell ref="N97:O97"/>
    <mergeCell ref="I101:J101"/>
    <mergeCell ref="I163:J163"/>
    <mergeCell ref="L183:M183"/>
    <mergeCell ref="I113:J113"/>
    <mergeCell ref="N72:O72"/>
    <mergeCell ref="N143:O143"/>
    <mergeCell ref="K42:M42"/>
    <mergeCell ref="I100:J100"/>
    <mergeCell ref="K33:L37"/>
    <mergeCell ref="L185:M185"/>
    <mergeCell ref="N136:O136"/>
    <mergeCell ref="C48:D48"/>
    <mergeCell ref="L113:M113"/>
    <mergeCell ref="N304:O304"/>
    <mergeCell ref="L100:M100"/>
    <mergeCell ref="L271:M271"/>
    <mergeCell ref="I245:J245"/>
    <mergeCell ref="L115:M115"/>
    <mergeCell ref="L77:M77"/>
    <mergeCell ref="L108:M108"/>
    <mergeCell ref="I178:J178"/>
    <mergeCell ref="N108:O108"/>
    <mergeCell ref="L179:M179"/>
    <mergeCell ref="I276:J276"/>
    <mergeCell ref="L95:M95"/>
    <mergeCell ref="I234:J234"/>
    <mergeCell ref="I278:J278"/>
    <mergeCell ref="L210:M210"/>
    <mergeCell ref="L235:M235"/>
    <mergeCell ref="N235:O235"/>
    <mergeCell ref="N297:O297"/>
    <mergeCell ref="I115:J115"/>
    <mergeCell ref="N185:O185"/>
    <mergeCell ref="C62:D62"/>
    <mergeCell ref="C64:D64"/>
    <mergeCell ref="I310:J310"/>
    <mergeCell ref="N306:O306"/>
    <mergeCell ref="N227:O227"/>
    <mergeCell ref="N164:O164"/>
    <mergeCell ref="N291:O291"/>
    <mergeCell ref="L258:M258"/>
    <mergeCell ref="N209:O209"/>
    <mergeCell ref="L245:M245"/>
    <mergeCell ref="L195:M195"/>
    <mergeCell ref="N224:O224"/>
    <mergeCell ref="N251:O251"/>
    <mergeCell ref="N189:O189"/>
    <mergeCell ref="I221:J221"/>
    <mergeCell ref="I215:J215"/>
    <mergeCell ref="L309:M309"/>
    <mergeCell ref="L260:M260"/>
    <mergeCell ref="N238:O238"/>
    <mergeCell ref="N309:O309"/>
    <mergeCell ref="I165:J165"/>
    <mergeCell ref="L197:M197"/>
    <mergeCell ref="L259:M259"/>
    <mergeCell ref="N253:O253"/>
    <mergeCell ref="I263:J263"/>
    <mergeCell ref="N240:O240"/>
    <mergeCell ref="I308:J308"/>
    <mergeCell ref="N133:O133"/>
    <mergeCell ref="L169:M169"/>
    <mergeCell ref="C66:D66"/>
    <mergeCell ref="I99:J99"/>
    <mergeCell ref="N225:O225"/>
    <mergeCell ref="C53:D53"/>
    <mergeCell ref="I74:J74"/>
    <mergeCell ref="N135:O135"/>
    <mergeCell ref="I150:J150"/>
    <mergeCell ref="L89:M89"/>
    <mergeCell ref="C59:D59"/>
    <mergeCell ref="L88:M88"/>
    <mergeCell ref="L126:M126"/>
    <mergeCell ref="N148:O148"/>
    <mergeCell ref="N82:O82"/>
    <mergeCell ref="I152:J152"/>
    <mergeCell ref="L153:M153"/>
    <mergeCell ref="I229:J229"/>
    <mergeCell ref="C61:D61"/>
    <mergeCell ref="I216:J216"/>
    <mergeCell ref="N146:O146"/>
    <mergeCell ref="N111:O111"/>
    <mergeCell ref="L209:M209"/>
    <mergeCell ref="N303:O303"/>
    <mergeCell ref="I177:J177"/>
    <mergeCell ref="L94:M94"/>
    <mergeCell ref="I226:J226"/>
    <mergeCell ref="I269:J269"/>
    <mergeCell ref="L240:M240"/>
    <mergeCell ref="I244:J244"/>
    <mergeCell ref="L167:M167"/>
    <mergeCell ref="I241:J241"/>
    <mergeCell ref="I231:J231"/>
    <mergeCell ref="L158:M158"/>
    <mergeCell ref="N158:O158"/>
    <mergeCell ref="L182:M182"/>
    <mergeCell ref="N182:O182"/>
    <mergeCell ref="N302:O302"/>
    <mergeCell ref="L140:M140"/>
    <mergeCell ref="L137:M137"/>
    <mergeCell ref="L229:M229"/>
    <mergeCell ref="L106:M106"/>
    <mergeCell ref="I293:J293"/>
    <mergeCell ref="N186:O186"/>
    <mergeCell ref="L295:M295"/>
    <mergeCell ref="L111:M111"/>
    <mergeCell ref="L282:M282"/>
    <mergeCell ref="N301:O301"/>
    <mergeCell ref="N51:O51"/>
    <mergeCell ref="N239:O239"/>
    <mergeCell ref="N122:O122"/>
    <mergeCell ref="L214:M214"/>
    <mergeCell ref="L189:M189"/>
    <mergeCell ref="N276:O276"/>
    <mergeCell ref="N214:O214"/>
    <mergeCell ref="I144:J144"/>
    <mergeCell ref="I242:J242"/>
    <mergeCell ref="N232:O232"/>
    <mergeCell ref="N278:O278"/>
    <mergeCell ref="L92:M92"/>
    <mergeCell ref="I162:J162"/>
    <mergeCell ref="N92:O92"/>
    <mergeCell ref="L163:M163"/>
    <mergeCell ref="N67:O67"/>
    <mergeCell ref="I70:J70"/>
    <mergeCell ref="I57:J57"/>
    <mergeCell ref="L59:M59"/>
    <mergeCell ref="I60:J60"/>
    <mergeCell ref="L61:M61"/>
    <mergeCell ref="N183:O183"/>
    <mergeCell ref="I187:J187"/>
    <mergeCell ref="L308:M308"/>
    <mergeCell ref="N66:O66"/>
    <mergeCell ref="I136:J136"/>
    <mergeCell ref="N188:O188"/>
    <mergeCell ref="L53:M53"/>
    <mergeCell ref="N53:O53"/>
    <mergeCell ref="I228:J228"/>
    <mergeCell ref="L289:M289"/>
    <mergeCell ref="I225:J225"/>
    <mergeCell ref="I129:J129"/>
    <mergeCell ref="L130:M130"/>
    <mergeCell ref="I200:J200"/>
    <mergeCell ref="N130:O130"/>
    <mergeCell ref="L239:M239"/>
    <mergeCell ref="I194:J194"/>
    <mergeCell ref="L166:M166"/>
    <mergeCell ref="N295:O295"/>
    <mergeCell ref="N117:O117"/>
    <mergeCell ref="I292:J292"/>
    <mergeCell ref="N282:O282"/>
    <mergeCell ref="I71:J71"/>
    <mergeCell ref="I131:J131"/>
    <mergeCell ref="L132:M132"/>
    <mergeCell ref="L303:M303"/>
    <mergeCell ref="B36:C36"/>
    <mergeCell ref="N114:O114"/>
    <mergeCell ref="N206:O206"/>
    <mergeCell ref="L300:M300"/>
    <mergeCell ref="L262:M262"/>
    <mergeCell ref="K40:M40"/>
    <mergeCell ref="I217:J217"/>
    <mergeCell ref="N287:O287"/>
    <mergeCell ref="L66:M66"/>
    <mergeCell ref="C63:D63"/>
    <mergeCell ref="C50:D50"/>
    <mergeCell ref="I58:J58"/>
    <mergeCell ref="N61:O61"/>
    <mergeCell ref="L290:M290"/>
    <mergeCell ref="N48:O48"/>
    <mergeCell ref="N219:O219"/>
    <mergeCell ref="I223:J223"/>
    <mergeCell ref="I294:J294"/>
    <mergeCell ref="N290:O290"/>
    <mergeCell ref="L161:M161"/>
    <mergeCell ref="L79:M79"/>
    <mergeCell ref="I83:J83"/>
    <mergeCell ref="L255:M255"/>
    <mergeCell ref="L144:M144"/>
    <mergeCell ref="C52:D52"/>
    <mergeCell ref="N162:O162"/>
    <mergeCell ref="N137:O137"/>
    <mergeCell ref="I299:J299"/>
    <mergeCell ref="L148:M148"/>
    <mergeCell ref="N177:O177"/>
    <mergeCell ref="I78:J78"/>
    <mergeCell ref="L139:M139"/>
    <mergeCell ref="C37:D37"/>
    <mergeCell ref="L242:M242"/>
    <mergeCell ref="N285:O285"/>
    <mergeCell ref="L192:M192"/>
    <mergeCell ref="L81:M81"/>
    <mergeCell ref="N208:O208"/>
    <mergeCell ref="L173:M173"/>
    <mergeCell ref="I84:J84"/>
    <mergeCell ref="L145:M145"/>
    <mergeCell ref="L194:M194"/>
    <mergeCell ref="L250:M250"/>
    <mergeCell ref="N145:O145"/>
    <mergeCell ref="L110:M110"/>
    <mergeCell ref="I149:J149"/>
    <mergeCell ref="N139:O139"/>
    <mergeCell ref="N201:O201"/>
    <mergeCell ref="L307:M307"/>
    <mergeCell ref="I146:J146"/>
    <mergeCell ref="I206:J206"/>
    <mergeCell ref="N307:O307"/>
    <mergeCell ref="L234:M234"/>
    <mergeCell ref="L117:M117"/>
    <mergeCell ref="L172:M172"/>
    <mergeCell ref="L55:M55"/>
    <mergeCell ref="I181:J181"/>
    <mergeCell ref="L73:M73"/>
    <mergeCell ref="N73:O73"/>
    <mergeCell ref="L171:M171"/>
    <mergeCell ref="I248:J248"/>
    <mergeCell ref="I297:J297"/>
    <mergeCell ref="I235:J235"/>
    <mergeCell ref="L119:M119"/>
    <mergeCell ref="L236:M236"/>
    <mergeCell ref="N119:O119"/>
    <mergeCell ref="I307:J307"/>
    <mergeCell ref="N300:O300"/>
    <mergeCell ref="L237:M237"/>
    <mergeCell ref="N250:O250"/>
    <mergeCell ref="N237:O237"/>
    <mergeCell ref="L160:M160"/>
    <mergeCell ref="I286:J286"/>
    <mergeCell ref="L78:M78"/>
    <mergeCell ref="L249:M249"/>
    <mergeCell ref="L205:M205"/>
    <mergeCell ref="C55:D55"/>
    <mergeCell ref="L71:M71"/>
    <mergeCell ref="L142:M142"/>
    <mergeCell ref="I75:J75"/>
    <mergeCell ref="N71:O71"/>
    <mergeCell ref="L187:M187"/>
    <mergeCell ref="I86:J86"/>
    <mergeCell ref="N212:O212"/>
    <mergeCell ref="I80:J80"/>
    <mergeCell ref="L174:M174"/>
    <mergeCell ref="I151:J151"/>
    <mergeCell ref="N203:O203"/>
    <mergeCell ref="N174:O174"/>
    <mergeCell ref="I213:J213"/>
    <mergeCell ref="L219:M219"/>
    <mergeCell ref="I174:J174"/>
    <mergeCell ref="N104:O104"/>
    <mergeCell ref="N275:O275"/>
    <mergeCell ref="N175:O175"/>
    <mergeCell ref="I119:J119"/>
    <mergeCell ref="B34:C34"/>
    <mergeCell ref="L123:M123"/>
    <mergeCell ref="N123:O123"/>
    <mergeCell ref="L221:M221"/>
    <mergeCell ref="L50:M50"/>
    <mergeCell ref="L286:M286"/>
    <mergeCell ref="L60:M60"/>
    <mergeCell ref="I64:J64"/>
    <mergeCell ref="N60:O60"/>
    <mergeCell ref="N187:O187"/>
    <mergeCell ref="L152:M152"/>
    <mergeCell ref="I191:J191"/>
    <mergeCell ref="L223:M223"/>
    <mergeCell ref="I51:J51"/>
    <mergeCell ref="L52:M52"/>
    <mergeCell ref="I153:J153"/>
    <mergeCell ref="N279:O279"/>
    <mergeCell ref="L124:M124"/>
    <mergeCell ref="N124:O124"/>
    <mergeCell ref="I128:J128"/>
    <mergeCell ref="N118:O118"/>
    <mergeCell ref="I255:J255"/>
    <mergeCell ref="N216:O216"/>
    <mergeCell ref="L281:M281"/>
    <mergeCell ref="C65:D65"/>
    <mergeCell ref="I298:J298"/>
    <mergeCell ref="K39:M39"/>
    <mergeCell ref="N98:O98"/>
    <mergeCell ref="I273:J273"/>
    <mergeCell ref="L157:M157"/>
    <mergeCell ref="L284:M284"/>
    <mergeCell ref="I87:J87"/>
    <mergeCell ref="L58:M58"/>
    <mergeCell ref="L129:M129"/>
    <mergeCell ref="I62:J62"/>
    <mergeCell ref="L287:M287"/>
    <mergeCell ref="I291:J291"/>
    <mergeCell ref="N281:O281"/>
    <mergeCell ref="C49:D49"/>
    <mergeCell ref="I65:J65"/>
    <mergeCell ref="I192:J192"/>
    <mergeCell ref="N126:O126"/>
    <mergeCell ref="L218:M218"/>
    <mergeCell ref="N109:O109"/>
    <mergeCell ref="N280:O280"/>
    <mergeCell ref="N47:O47"/>
    <mergeCell ref="I222:J222"/>
    <mergeCell ref="N218:O218"/>
    <mergeCell ref="L297:M297"/>
    <mergeCell ref="I59:J59"/>
    <mergeCell ref="L291:M291"/>
    <mergeCell ref="I295:J295"/>
    <mergeCell ref="L70:M70"/>
    <mergeCell ref="I140:J140"/>
    <mergeCell ref="I196:J196"/>
    <mergeCell ref="N266:O266"/>
    <mergeCell ref="I267:J267"/>
    <mergeCell ref="N70:O70"/>
    <mergeCell ref="I232:J232"/>
    <mergeCell ref="L293:M293"/>
    <mergeCell ref="L103:M103"/>
    <mergeCell ref="I207:J207"/>
    <mergeCell ref="L134:M134"/>
    <mergeCell ref="L268:M268"/>
    <mergeCell ref="I204:J204"/>
    <mergeCell ref="N134:O134"/>
    <mergeCell ref="N268:O268"/>
    <mergeCell ref="I198:J198"/>
    <mergeCell ref="I296:J296"/>
    <mergeCell ref="N96:O96"/>
    <mergeCell ref="I271:J271"/>
    <mergeCell ref="N161:O161"/>
    <mergeCell ref="I285:J285"/>
    <mergeCell ref="I114:J114"/>
    <mergeCell ref="N166:O166"/>
    <mergeCell ref="N215:O215"/>
    <mergeCell ref="N190:O190"/>
    <mergeCell ref="N116:O116"/>
    <mergeCell ref="I107:J107"/>
    <mergeCell ref="I201:J201"/>
    <mergeCell ref="N210:O210"/>
    <mergeCell ref="I138:J138"/>
    <mergeCell ref="N193:O193"/>
    <mergeCell ref="I246:J246"/>
    <mergeCell ref="I283:J283"/>
    <mergeCell ref="I112:J112"/>
    <mergeCell ref="L151:M151"/>
    <mergeCell ref="N102:O102"/>
    <mergeCell ref="F42:G42"/>
    <mergeCell ref="L213:M213"/>
    <mergeCell ref="I56:J56"/>
    <mergeCell ref="N52:O52"/>
    <mergeCell ref="I127:J127"/>
    <mergeCell ref="N179:O179"/>
    <mergeCell ref="I176:J176"/>
    <mergeCell ref="L215:M215"/>
    <mergeCell ref="L47:M47"/>
    <mergeCell ref="L48:M48"/>
    <mergeCell ref="L49:M49"/>
    <mergeCell ref="N74:O74"/>
    <mergeCell ref="N49:O49"/>
    <mergeCell ref="I288:J288"/>
    <mergeCell ref="N197:O197"/>
    <mergeCell ref="N153:O153"/>
    <mergeCell ref="L120:M120"/>
    <mergeCell ref="K44:M44"/>
    <mergeCell ref="B8:D8"/>
    <mergeCell ref="L107:M107"/>
    <mergeCell ref="L278:M278"/>
    <mergeCell ref="N234:O234"/>
    <mergeCell ref="L57:M57"/>
    <mergeCell ref="I183:J183"/>
    <mergeCell ref="L184:M184"/>
    <mergeCell ref="I61:J61"/>
    <mergeCell ref="N184:O184"/>
    <mergeCell ref="B10:D10"/>
    <mergeCell ref="N171:O171"/>
    <mergeCell ref="I175:J175"/>
    <mergeCell ref="L121:M121"/>
    <mergeCell ref="I54:J54"/>
    <mergeCell ref="I125:J125"/>
    <mergeCell ref="N121:O121"/>
    <mergeCell ref="I185:J185"/>
    <mergeCell ref="N115:O115"/>
    <mergeCell ref="I41:J41"/>
    <mergeCell ref="I302:J302"/>
    <mergeCell ref="I106:J106"/>
    <mergeCell ref="I277:J277"/>
    <mergeCell ref="N77:O77"/>
    <mergeCell ref="L288:M288"/>
    <mergeCell ref="N169:O169"/>
    <mergeCell ref="L136:M136"/>
    <mergeCell ref="L263:M263"/>
    <mergeCell ref="I66:J66"/>
    <mergeCell ref="N263:O263"/>
    <mergeCell ref="L102:M102"/>
    <mergeCell ref="L200:M200"/>
    <mergeCell ref="N229:O229"/>
    <mergeCell ref="I155:J155"/>
    <mergeCell ref="N200:O200"/>
    <mergeCell ref="L265:M265"/>
    <mergeCell ref="N265:O265"/>
    <mergeCell ref="I170:J170"/>
    <mergeCell ref="L202:M202"/>
    <mergeCell ref="I157:J157"/>
    <mergeCell ref="N87:O87"/>
    <mergeCell ref="N202:O202"/>
    <mergeCell ref="N258:O258"/>
    <mergeCell ref="I193:J193"/>
    <mergeCell ref="N101:O101"/>
    <mergeCell ref="I257:J257"/>
    <mergeCell ref="N138:O138"/>
    <mergeCell ref="N113:O113"/>
    <mergeCell ref="N76:O76"/>
    <mergeCell ref="N100:O100"/>
    <mergeCell ref="I104:J104"/>
    <mergeCell ref="I275:J275"/>
    <mergeCell ref="N94:O94"/>
    <mergeCell ref="N140:O140"/>
    <mergeCell ref="N245:O245"/>
    <mergeCell ref="N168:O168"/>
    <mergeCell ref="I172:J172"/>
    <mergeCell ref="N195:O195"/>
    <mergeCell ref="L266:M266"/>
    <mergeCell ref="I270:J270"/>
    <mergeCell ref="N89:O89"/>
    <mergeCell ref="N260:O260"/>
    <mergeCell ref="I212:J212"/>
  </mergeCells>
  <conditionalFormatting sqref="B63:B64">
    <cfRule type="containsErrors" dxfId="8" priority="6">
      <formula>ISERROR(B63)</formula>
    </cfRule>
  </conditionalFormatting>
  <conditionalFormatting sqref="B70:I310">
    <cfRule type="containsErrors" dxfId="7" priority="2">
      <formula>ISERROR(B70)</formula>
    </cfRule>
  </conditionalFormatting>
  <conditionalFormatting sqref="C63:C67">
    <cfRule type="containsErrors" dxfId="6" priority="5">
      <formula>ISERROR(C63)</formula>
    </cfRule>
  </conditionalFormatting>
  <conditionalFormatting sqref="D71:D310">
    <cfRule type="expression" dxfId="5" priority="8">
      <formula>D71:D218&lt;D71:D218</formula>
    </cfRule>
  </conditionalFormatting>
  <conditionalFormatting sqref="D40:F44 B40:C62 H41:H44">
    <cfRule type="containsErrors" dxfId="4" priority="7">
      <formula>ISERROR(B40)</formula>
    </cfRule>
  </conditionalFormatting>
  <conditionalFormatting sqref="D47:L47">
    <cfRule type="containsErrors" dxfId="3" priority="1">
      <formula>ISERROR(D47)</formula>
    </cfRule>
  </conditionalFormatting>
  <conditionalFormatting sqref="E48:O67">
    <cfRule type="containsErrors" dxfId="2" priority="3">
      <formula>ISERROR(E48)</formula>
    </cfRule>
  </conditionalFormatting>
  <conditionalFormatting sqref="K40:K43 D45:O46 N47 B68:O69 K70:L310 N70:N310">
    <cfRule type="containsErrors" dxfId="1" priority="9">
      <formula>ISERROR(B40)</formula>
    </cfRule>
  </conditionalFormatting>
  <conditionalFormatting sqref="P45:P310">
    <cfRule type="containsErrors" dxfId="0" priority="4">
      <formula>ISERROR(P45)</formula>
    </cfRule>
  </conditionalFormatting>
  <dataValidations count="3">
    <dataValidation type="whole" operator="lessThan" allowBlank="1" showInputMessage="1" showErrorMessage="1" sqref="E21" xr:uid="{00000000-0002-0000-0500-000000000000}">
      <formula1>241</formula1>
    </dataValidation>
    <dataValidation type="list" showInputMessage="1" showErrorMessage="1" sqref="C17" xr:uid="{00000000-0002-0000-0500-000001000000}">
      <formula1>"Base Rent,Gross Rent"</formula1>
    </dataValidation>
    <dataValidation type="list" allowBlank="1" showInputMessage="1" showErrorMessage="1" sqref="C16" xr:uid="{00000000-0002-0000-0500-000002000000}">
      <formula1>"Base Rent,Gross Rent"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AB16"/>
  <sheetViews>
    <sheetView showGridLines="0" tabSelected="1" topLeftCell="L1" workbookViewId="0">
      <selection activeCell="Z1" sqref="Z1:AA1048576"/>
    </sheetView>
  </sheetViews>
  <sheetFormatPr defaultRowHeight="15"/>
  <cols>
    <col min="1" max="1" width="9.85546875" customWidth="1"/>
    <col min="2" max="2" width="24.85546875" customWidth="1"/>
    <col min="3" max="3" width="36.5703125" customWidth="1"/>
    <col min="4" max="4" width="22.5703125" customWidth="1"/>
    <col min="5" max="17" width="25.5703125" customWidth="1"/>
    <col min="18" max="18" width="38.42578125" customWidth="1"/>
    <col min="19" max="25" width="25.5703125" customWidth="1"/>
    <col min="26" max="26" width="27.140625" customWidth="1"/>
    <col min="27" max="27" width="25.5703125" customWidth="1"/>
    <col min="28" max="28" width="63.28515625" customWidth="1"/>
  </cols>
  <sheetData>
    <row r="1" spans="1:28" ht="63" customHeight="1">
      <c r="A1" s="328" t="s">
        <v>435</v>
      </c>
      <c r="B1" s="329" t="s">
        <v>436</v>
      </c>
      <c r="C1" s="329" t="s">
        <v>347</v>
      </c>
      <c r="D1" s="329" t="s">
        <v>437</v>
      </c>
      <c r="E1" s="329" t="s">
        <v>438</v>
      </c>
      <c r="F1" s="329" t="s">
        <v>439</v>
      </c>
      <c r="G1" s="329" t="s">
        <v>440</v>
      </c>
      <c r="H1" s="329" t="s">
        <v>441</v>
      </c>
      <c r="I1" s="329" t="s">
        <v>442</v>
      </c>
      <c r="J1" s="329" t="s">
        <v>443</v>
      </c>
      <c r="K1" s="329" t="s">
        <v>444</v>
      </c>
      <c r="L1" s="329" t="s">
        <v>445</v>
      </c>
      <c r="M1" s="329" t="s">
        <v>446</v>
      </c>
      <c r="N1" s="329" t="s">
        <v>447</v>
      </c>
      <c r="O1" s="329" t="s">
        <v>448</v>
      </c>
      <c r="P1" s="329" t="s">
        <v>449</v>
      </c>
      <c r="Q1" s="329" t="s">
        <v>450</v>
      </c>
      <c r="R1" s="329" t="s">
        <v>451</v>
      </c>
      <c r="S1" s="330" t="s">
        <v>452</v>
      </c>
      <c r="T1" s="331" t="s">
        <v>453</v>
      </c>
      <c r="U1" s="332" t="s">
        <v>454</v>
      </c>
      <c r="V1" s="333" t="s">
        <v>455</v>
      </c>
      <c r="W1" s="333" t="s">
        <v>456</v>
      </c>
      <c r="X1" s="333" t="s">
        <v>457</v>
      </c>
      <c r="Y1" s="334" t="s">
        <v>458</v>
      </c>
      <c r="Z1" s="332" t="s">
        <v>459</v>
      </c>
      <c r="AA1" s="335" t="s">
        <v>460</v>
      </c>
      <c r="AB1" s="336" t="s">
        <v>461</v>
      </c>
    </row>
    <row r="2" spans="1:28" ht="15.95" customHeight="1">
      <c r="A2" s="337" t="s">
        <v>462</v>
      </c>
      <c r="B2" s="338"/>
      <c r="C2" s="338"/>
      <c r="D2" s="338"/>
      <c r="E2" s="338"/>
      <c r="F2" s="338"/>
      <c r="G2" s="338"/>
      <c r="H2" s="338"/>
      <c r="I2" s="338"/>
      <c r="J2" s="338"/>
      <c r="K2" s="338"/>
      <c r="L2" s="338"/>
      <c r="M2" s="338"/>
      <c r="N2" s="338"/>
      <c r="O2" s="338"/>
      <c r="P2" s="338"/>
      <c r="Q2" s="339"/>
      <c r="R2" s="339"/>
      <c r="S2" s="340"/>
      <c r="T2" s="341"/>
      <c r="U2" s="342"/>
      <c r="V2" s="343"/>
      <c r="W2" s="343"/>
      <c r="X2" s="343"/>
      <c r="Y2" s="344"/>
      <c r="Z2" s="345"/>
      <c r="AA2" s="346"/>
      <c r="AB2" s="347"/>
    </row>
    <row r="3" spans="1:28" ht="15.95" customHeight="1">
      <c r="A3" s="348">
        <v>1</v>
      </c>
      <c r="B3" s="349" t="s">
        <v>463</v>
      </c>
      <c r="C3" s="349" t="s">
        <v>463</v>
      </c>
      <c r="D3" s="349" t="s">
        <v>464</v>
      </c>
      <c r="E3" s="349" t="s">
        <v>465</v>
      </c>
      <c r="F3" s="349">
        <v>44128</v>
      </c>
      <c r="G3" s="349" t="s">
        <v>466</v>
      </c>
      <c r="H3" s="349" t="s">
        <v>467</v>
      </c>
      <c r="I3" s="349">
        <v>41.438724899999997</v>
      </c>
      <c r="J3" s="349">
        <v>-81.547049000000001</v>
      </c>
      <c r="K3" s="349">
        <v>1971</v>
      </c>
      <c r="L3" s="349" t="s">
        <v>468</v>
      </c>
      <c r="M3" s="350">
        <v>40950</v>
      </c>
      <c r="N3" s="350" t="s">
        <v>469</v>
      </c>
      <c r="O3" s="349" t="s">
        <v>470</v>
      </c>
      <c r="P3" s="349" t="s">
        <v>471</v>
      </c>
      <c r="Q3" s="351"/>
      <c r="R3" s="351" t="s">
        <v>472</v>
      </c>
      <c r="S3" s="352">
        <v>7950</v>
      </c>
      <c r="T3" s="353">
        <v>6</v>
      </c>
      <c r="U3" s="354" t="s">
        <v>473</v>
      </c>
      <c r="V3" s="355"/>
      <c r="W3" s="355"/>
      <c r="X3" s="356">
        <v>46100</v>
      </c>
      <c r="Y3" s="356">
        <v>46190</v>
      </c>
      <c r="Z3" s="353"/>
      <c r="AA3" s="357"/>
      <c r="AB3" s="351" t="s">
        <v>474</v>
      </c>
    </row>
    <row r="4" spans="1:28" ht="15.95" customHeight="1">
      <c r="A4" s="348">
        <v>2</v>
      </c>
      <c r="B4" s="349" t="s">
        <v>463</v>
      </c>
      <c r="C4" s="349" t="s">
        <v>463</v>
      </c>
      <c r="D4" s="349" t="s">
        <v>464</v>
      </c>
      <c r="E4" s="349" t="s">
        <v>465</v>
      </c>
      <c r="F4" s="349">
        <v>44128</v>
      </c>
      <c r="G4" s="349" t="s">
        <v>466</v>
      </c>
      <c r="H4" s="349" t="s">
        <v>467</v>
      </c>
      <c r="I4" s="349">
        <v>41.438724899999997</v>
      </c>
      <c r="J4" s="349">
        <v>-81.547049000000001</v>
      </c>
      <c r="K4" s="349">
        <v>1971</v>
      </c>
      <c r="L4" s="349" t="s">
        <v>468</v>
      </c>
      <c r="M4" s="350">
        <v>40950</v>
      </c>
      <c r="N4" s="350" t="s">
        <v>469</v>
      </c>
      <c r="O4" s="349" t="s">
        <v>470</v>
      </c>
      <c r="P4" s="349" t="s">
        <v>471</v>
      </c>
      <c r="Q4" s="351"/>
      <c r="R4" s="351" t="s">
        <v>472</v>
      </c>
      <c r="S4" s="352">
        <v>13560</v>
      </c>
      <c r="T4" s="353">
        <v>6</v>
      </c>
      <c r="U4" s="354" t="s">
        <v>473</v>
      </c>
      <c r="V4" s="355"/>
      <c r="W4" s="355"/>
      <c r="X4" s="356">
        <v>46070</v>
      </c>
      <c r="Y4" s="356">
        <v>46160</v>
      </c>
      <c r="Z4" s="353"/>
      <c r="AA4" s="357"/>
      <c r="AB4" s="351" t="s">
        <v>475</v>
      </c>
    </row>
    <row r="5" spans="1:28" ht="15.95" customHeight="1">
      <c r="A5" s="348">
        <v>3</v>
      </c>
      <c r="B5" s="349" t="s">
        <v>476</v>
      </c>
      <c r="C5" s="349" t="s">
        <v>476</v>
      </c>
      <c r="D5" s="349" t="s">
        <v>466</v>
      </c>
      <c r="E5" s="349" t="s">
        <v>465</v>
      </c>
      <c r="F5" s="349">
        <v>44120</v>
      </c>
      <c r="G5" s="349" t="s">
        <v>466</v>
      </c>
      <c r="H5" s="349" t="s">
        <v>467</v>
      </c>
      <c r="I5" s="349">
        <v>41.4798464</v>
      </c>
      <c r="J5" s="349">
        <v>-81.592948300000003</v>
      </c>
      <c r="K5" s="349">
        <v>1921</v>
      </c>
      <c r="L5" s="349" t="s">
        <v>468</v>
      </c>
      <c r="M5" s="350">
        <v>7500</v>
      </c>
      <c r="N5" s="350" t="s">
        <v>469</v>
      </c>
      <c r="O5" s="349" t="s">
        <v>470</v>
      </c>
      <c r="P5" s="349" t="s">
        <v>477</v>
      </c>
      <c r="Q5" s="351"/>
      <c r="R5" s="351" t="s">
        <v>472</v>
      </c>
      <c r="S5" s="352">
        <v>3645</v>
      </c>
      <c r="T5" s="353">
        <v>6</v>
      </c>
      <c r="U5" s="354" t="s">
        <v>478</v>
      </c>
      <c r="V5" s="355"/>
      <c r="W5" s="355"/>
      <c r="X5" s="356">
        <v>45966</v>
      </c>
      <c r="Y5" s="356">
        <v>45996</v>
      </c>
      <c r="Z5" s="353"/>
      <c r="AA5" s="357"/>
      <c r="AB5" s="351" t="s">
        <v>479</v>
      </c>
    </row>
    <row r="6" spans="1:28" ht="15.95" customHeight="1">
      <c r="A6" s="348">
        <v>4</v>
      </c>
      <c r="B6" s="349" t="s">
        <v>480</v>
      </c>
      <c r="C6" s="349" t="s">
        <v>480</v>
      </c>
      <c r="D6" s="349" t="s">
        <v>481</v>
      </c>
      <c r="E6" s="349" t="s">
        <v>465</v>
      </c>
      <c r="F6" s="349">
        <v>44122</v>
      </c>
      <c r="G6" s="349" t="s">
        <v>466</v>
      </c>
      <c r="H6" s="349" t="s">
        <v>467</v>
      </c>
      <c r="I6" s="349">
        <v>41.458705999999999</v>
      </c>
      <c r="J6" s="349">
        <v>-81.508162999999996</v>
      </c>
      <c r="K6" s="349">
        <v>1975</v>
      </c>
      <c r="L6" s="349" t="s">
        <v>482</v>
      </c>
      <c r="M6" s="350">
        <v>67646</v>
      </c>
      <c r="N6" s="350" t="s">
        <v>469</v>
      </c>
      <c r="O6" s="349" t="s">
        <v>470</v>
      </c>
      <c r="P6" s="349" t="s">
        <v>483</v>
      </c>
      <c r="Q6" s="351"/>
      <c r="R6" s="351" t="s">
        <v>472</v>
      </c>
      <c r="S6" s="352">
        <v>16100</v>
      </c>
      <c r="T6" s="353">
        <v>6</v>
      </c>
      <c r="U6" s="354" t="s">
        <v>473</v>
      </c>
      <c r="V6" s="355"/>
      <c r="W6" s="355"/>
      <c r="X6" s="356">
        <v>45813</v>
      </c>
      <c r="Y6" s="356">
        <v>45839</v>
      </c>
      <c r="Z6" s="353"/>
      <c r="AA6" s="357"/>
      <c r="AB6" s="351" t="s">
        <v>484</v>
      </c>
    </row>
    <row r="7" spans="1:28" ht="15.95" customHeight="1">
      <c r="A7" s="348">
        <v>5</v>
      </c>
      <c r="B7" s="349" t="s">
        <v>485</v>
      </c>
      <c r="C7" s="349" t="s">
        <v>486</v>
      </c>
      <c r="D7" s="349" t="s">
        <v>481</v>
      </c>
      <c r="E7" s="349" t="s">
        <v>465</v>
      </c>
      <c r="F7" s="349">
        <v>44122</v>
      </c>
      <c r="G7" s="349" t="s">
        <v>466</v>
      </c>
      <c r="H7" s="349" t="s">
        <v>467</v>
      </c>
      <c r="I7" s="349">
        <v>41.458541500000003</v>
      </c>
      <c r="J7" s="349">
        <v>-81.510996500000005</v>
      </c>
      <c r="K7" s="349">
        <v>1968</v>
      </c>
      <c r="L7" s="349" t="s">
        <v>482</v>
      </c>
      <c r="M7" s="350">
        <v>34312</v>
      </c>
      <c r="N7" s="350" t="s">
        <v>469</v>
      </c>
      <c r="O7" s="349" t="s">
        <v>470</v>
      </c>
      <c r="P7" s="349" t="s">
        <v>487</v>
      </c>
      <c r="Q7" s="349"/>
      <c r="R7" s="349" t="s">
        <v>472</v>
      </c>
      <c r="S7" s="352">
        <v>3324</v>
      </c>
      <c r="T7" s="353">
        <v>8</v>
      </c>
      <c r="U7" s="358" t="s">
        <v>473</v>
      </c>
      <c r="V7" s="355"/>
      <c r="W7" s="355"/>
      <c r="X7" s="356">
        <v>45534</v>
      </c>
      <c r="Y7" s="356">
        <v>45564</v>
      </c>
      <c r="Z7" s="353"/>
      <c r="AA7" s="357"/>
      <c r="AB7" s="349" t="s">
        <v>488</v>
      </c>
    </row>
    <row r="8" spans="1:28" ht="15.95" customHeight="1">
      <c r="A8" s="348">
        <v>6</v>
      </c>
      <c r="B8" s="349"/>
      <c r="C8" s="349"/>
      <c r="D8" s="349"/>
      <c r="E8" s="349"/>
      <c r="F8" s="349"/>
      <c r="G8" s="349"/>
      <c r="H8" s="349"/>
      <c r="K8" s="349"/>
      <c r="L8" s="349"/>
      <c r="M8" s="350"/>
      <c r="N8" s="350"/>
      <c r="O8" s="351"/>
      <c r="P8" s="349"/>
      <c r="Q8" s="349"/>
      <c r="R8" s="349"/>
      <c r="S8" s="352"/>
      <c r="T8" s="353"/>
      <c r="U8" s="358"/>
      <c r="V8" s="355"/>
      <c r="W8" s="355"/>
      <c r="X8" s="356"/>
      <c r="Y8" s="356"/>
      <c r="Z8" s="353"/>
      <c r="AA8" s="357"/>
      <c r="AB8" s="349"/>
    </row>
    <row r="9" spans="1:28" ht="15.95" customHeight="1">
      <c r="A9" s="348">
        <v>7</v>
      </c>
      <c r="B9" s="349"/>
      <c r="C9" s="349"/>
      <c r="D9" s="349"/>
      <c r="E9" s="349"/>
      <c r="F9" s="349"/>
      <c r="G9" s="349"/>
      <c r="H9" s="349"/>
      <c r="I9" s="349"/>
      <c r="J9" s="349"/>
      <c r="K9" s="349"/>
      <c r="L9" s="349"/>
      <c r="M9" s="350"/>
      <c r="N9" s="350"/>
      <c r="O9" s="351"/>
      <c r="P9" s="349"/>
      <c r="Q9" s="349"/>
      <c r="R9" s="349"/>
      <c r="S9" s="352"/>
      <c r="T9" s="353"/>
      <c r="U9" s="358"/>
      <c r="V9" s="355"/>
      <c r="W9" s="355"/>
      <c r="X9" s="356"/>
      <c r="Y9" s="356"/>
      <c r="Z9" s="353"/>
      <c r="AA9" s="357"/>
      <c r="AB9" s="349"/>
    </row>
    <row r="10" spans="1:28" ht="15.95" customHeight="1">
      <c r="A10" s="348">
        <v>8</v>
      </c>
      <c r="B10" s="349"/>
      <c r="C10" s="349"/>
      <c r="D10" s="349"/>
      <c r="E10" s="349"/>
      <c r="F10" s="349"/>
      <c r="G10" s="349"/>
      <c r="H10" s="349"/>
      <c r="I10" s="349"/>
      <c r="J10" s="349"/>
      <c r="K10" s="349"/>
      <c r="L10" s="349"/>
      <c r="M10" s="350"/>
      <c r="N10" s="350"/>
      <c r="O10" s="351"/>
      <c r="P10" s="349"/>
      <c r="Q10" s="349"/>
      <c r="R10" s="349"/>
      <c r="S10" s="352"/>
      <c r="T10" s="353"/>
      <c r="U10" s="358"/>
      <c r="V10" s="355"/>
      <c r="W10" s="355"/>
      <c r="X10" s="356"/>
      <c r="Y10" s="356"/>
      <c r="Z10" s="353"/>
      <c r="AA10" s="357"/>
      <c r="AB10" s="349"/>
    </row>
    <row r="11" spans="1:28" ht="15.95" customHeight="1">
      <c r="A11" s="348">
        <v>9</v>
      </c>
      <c r="B11" s="349"/>
      <c r="C11" s="349"/>
      <c r="D11" s="349"/>
      <c r="E11" s="349"/>
      <c r="F11" s="349"/>
      <c r="G11" s="349"/>
      <c r="H11" s="349"/>
      <c r="I11" s="349"/>
      <c r="J11" s="349"/>
      <c r="K11" s="349"/>
      <c r="L11" s="349"/>
      <c r="M11" s="350"/>
      <c r="N11" s="350"/>
      <c r="O11" s="351"/>
      <c r="P11" s="349"/>
      <c r="Q11" s="349"/>
      <c r="R11" s="349"/>
      <c r="S11" s="352"/>
      <c r="T11" s="353"/>
      <c r="U11" s="358"/>
      <c r="V11" s="355"/>
      <c r="W11" s="355"/>
      <c r="X11" s="356"/>
      <c r="Y11" s="356"/>
      <c r="Z11" s="353"/>
      <c r="AA11" s="357"/>
      <c r="AB11" s="349"/>
    </row>
    <row r="12" spans="1:28" ht="15.95" customHeight="1">
      <c r="A12" s="359">
        <v>10</v>
      </c>
      <c r="B12" s="349"/>
      <c r="C12" s="349"/>
      <c r="D12" s="349"/>
      <c r="E12" s="349"/>
      <c r="F12" s="349"/>
      <c r="G12" s="349"/>
      <c r="H12" s="349"/>
      <c r="I12" s="349"/>
      <c r="J12" s="349"/>
      <c r="K12" s="349"/>
      <c r="L12" s="349"/>
      <c r="M12" s="350"/>
      <c r="N12" s="350"/>
      <c r="O12" s="351"/>
      <c r="P12" s="349"/>
      <c r="Q12" s="349"/>
      <c r="R12" s="349"/>
      <c r="S12" s="352"/>
      <c r="T12" s="353"/>
      <c r="U12" s="358"/>
      <c r="V12" s="355"/>
      <c r="W12" s="355"/>
      <c r="X12" s="356"/>
      <c r="Y12" s="356"/>
      <c r="Z12" s="353"/>
      <c r="AA12" s="357"/>
      <c r="AB12" s="349"/>
    </row>
    <row r="15" spans="1:28">
      <c r="S15" t="s">
        <v>489</v>
      </c>
      <c r="T15" s="360">
        <f>MEDIAN(T3:T12)</f>
        <v>6</v>
      </c>
    </row>
    <row r="16" spans="1:28">
      <c r="S16" t="s">
        <v>490</v>
      </c>
      <c r="T16" s="360">
        <f>AVERAGE(T3:T12)</f>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89999084444715716"/>
  </sheetPr>
  <dimension ref="A1:S101"/>
  <sheetViews>
    <sheetView showGridLines="0" topLeftCell="D1" zoomScale="70" zoomScaleNormal="70" workbookViewId="0">
      <selection activeCell="O4" sqref="O4"/>
    </sheetView>
  </sheetViews>
  <sheetFormatPr defaultRowHeight="15" customHeight="1"/>
  <cols>
    <col min="1" max="1" width="15.42578125" customWidth="1"/>
    <col min="2" max="2" width="24" customWidth="1"/>
    <col min="3" max="3" width="37.42578125" customWidth="1"/>
    <col min="4" max="4" width="11.85546875" customWidth="1"/>
    <col min="5" max="5" width="15.85546875" customWidth="1"/>
    <col min="6" max="6" width="19.140625" customWidth="1"/>
    <col min="7" max="7" width="17.140625" customWidth="1"/>
    <col min="8" max="8" width="13.42578125" customWidth="1"/>
    <col min="9" max="10" width="15.85546875" customWidth="1"/>
    <col min="11" max="11" width="17.7109375" customWidth="1"/>
    <col min="12" max="12" width="31.42578125" customWidth="1"/>
    <col min="15" max="15" width="61.85546875" customWidth="1"/>
    <col min="16" max="16" width="15.42578125" customWidth="1"/>
    <col min="17" max="17" width="17.7109375" customWidth="1"/>
    <col min="18" max="18" width="15.28515625" customWidth="1"/>
    <col min="19" max="19" width="20.85546875" customWidth="1"/>
    <col min="20" max="20" width="11.28515625" customWidth="1"/>
    <col min="21" max="21" width="9.140625" bestFit="1" customWidth="1"/>
  </cols>
  <sheetData>
    <row r="1" spans="1:19" ht="15.75" customHeight="1" thickBot="1"/>
    <row r="2" spans="1:19" ht="12.95" customHeight="1" thickBot="1">
      <c r="B2" s="59" t="s">
        <v>491</v>
      </c>
      <c r="C2" s="581"/>
      <c r="D2" s="578"/>
      <c r="E2" s="578"/>
      <c r="F2" s="578"/>
      <c r="G2" s="578"/>
      <c r="H2" s="90"/>
      <c r="I2" s="579"/>
      <c r="J2" s="578"/>
      <c r="K2" s="578"/>
      <c r="O2" s="60" t="s">
        <v>492</v>
      </c>
      <c r="P2" s="82" t="s">
        <v>493</v>
      </c>
      <c r="Q2" s="56"/>
      <c r="R2" s="56"/>
    </row>
    <row r="3" spans="1:19" ht="75.599999999999994" customHeight="1">
      <c r="B3" s="55" t="s">
        <v>494</v>
      </c>
      <c r="C3" s="55" t="s">
        <v>495</v>
      </c>
      <c r="D3" s="55" t="s">
        <v>496</v>
      </c>
      <c r="E3" s="55" t="s">
        <v>497</v>
      </c>
      <c r="F3" s="55" t="s">
        <v>498</v>
      </c>
      <c r="G3" s="55" t="s">
        <v>499</v>
      </c>
      <c r="H3" s="55" t="s">
        <v>500</v>
      </c>
      <c r="I3" s="55" t="s">
        <v>501</v>
      </c>
      <c r="J3" s="55" t="s">
        <v>502</v>
      </c>
      <c r="K3" s="55" t="s">
        <v>503</v>
      </c>
      <c r="L3" s="55" t="s">
        <v>504</v>
      </c>
      <c r="O3" s="46" t="s">
        <v>505</v>
      </c>
      <c r="P3" s="46" t="s">
        <v>506</v>
      </c>
      <c r="Q3" s="46" t="s">
        <v>503</v>
      </c>
      <c r="R3" s="76" t="s">
        <v>507</v>
      </c>
      <c r="S3" s="55" t="s">
        <v>508</v>
      </c>
    </row>
    <row r="4" spans="1:19" ht="14.25" customHeight="1">
      <c r="B4" s="420"/>
      <c r="C4" s="420"/>
      <c r="D4" s="420"/>
      <c r="E4" s="67"/>
      <c r="F4" s="420"/>
      <c r="G4" s="420"/>
      <c r="H4" s="420"/>
      <c r="I4" s="420"/>
      <c r="J4" s="420"/>
      <c r="K4" s="420"/>
      <c r="L4" s="420"/>
      <c r="O4" s="67" t="s">
        <v>114</v>
      </c>
      <c r="P4" s="52">
        <f>SUMIFS(I$4:I$52,$E$4:$E$52,"DD &amp; Design",$G$4:$G$52,"Yes")</f>
        <v>0</v>
      </c>
      <c r="Q4" s="52">
        <f>SUMIFS(K$4:K$52,$E$4:$E$52,"DD &amp; Design",$G$4:$G$52,"No")</f>
        <v>0</v>
      </c>
      <c r="R4" s="73">
        <f t="shared" ref="R4:R15" si="0">SUM(P4:Q4)</f>
        <v>0</v>
      </c>
      <c r="S4" s="582" t="s">
        <v>509</v>
      </c>
    </row>
    <row r="5" spans="1:19" ht="14.45" customHeight="1">
      <c r="A5" s="57"/>
      <c r="B5" s="67"/>
      <c r="C5" s="365"/>
      <c r="D5" s="67"/>
      <c r="E5" s="67"/>
      <c r="F5" s="67"/>
      <c r="G5" s="67"/>
      <c r="H5" s="366"/>
      <c r="I5" s="373"/>
      <c r="J5" s="374"/>
      <c r="K5" s="68"/>
      <c r="L5" s="69"/>
      <c r="O5" s="53" t="s">
        <v>510</v>
      </c>
      <c r="P5" s="52">
        <f>SUMIFS($I$4:$I$52,$G$4:$G$52,"Yes")</f>
        <v>0</v>
      </c>
      <c r="Q5" s="52">
        <f>SUMIFS($K$4:$K$52,$G$4:$G$52,"Yes")</f>
        <v>0</v>
      </c>
      <c r="R5" s="73">
        <f t="shared" si="0"/>
        <v>0</v>
      </c>
      <c r="S5" s="423"/>
    </row>
    <row r="6" spans="1:19" ht="14.45" customHeight="1">
      <c r="A6" s="57"/>
      <c r="B6" s="67"/>
      <c r="C6" s="365"/>
      <c r="D6" s="67"/>
      <c r="E6" s="67"/>
      <c r="F6" s="67"/>
      <c r="G6" s="67"/>
      <c r="H6" s="366"/>
      <c r="I6" s="366"/>
      <c r="J6" s="374"/>
      <c r="K6" s="68"/>
      <c r="L6" s="69"/>
      <c r="O6" s="53" t="s">
        <v>511</v>
      </c>
      <c r="P6" s="52">
        <f>SUMIFS(I$4:I$52,$E$4:$E$52,"Construction",$G$4:$G$52,"No")</f>
        <v>0</v>
      </c>
      <c r="Q6" s="52">
        <f>SUMIFS(K$4:K$52,$E$4:$E$52,"Construction",$G$4:$G$52,"No")</f>
        <v>0</v>
      </c>
      <c r="R6" s="73">
        <f t="shared" si="0"/>
        <v>0</v>
      </c>
      <c r="S6" s="423"/>
    </row>
    <row r="7" spans="1:19" ht="14.45" customHeight="1">
      <c r="A7" s="57"/>
      <c r="B7" s="67"/>
      <c r="C7" s="365"/>
      <c r="D7" s="67"/>
      <c r="E7" s="67"/>
      <c r="F7" s="67"/>
      <c r="G7" s="67"/>
      <c r="H7" s="366"/>
      <c r="I7" s="375"/>
      <c r="J7" s="374"/>
      <c r="K7" s="68"/>
      <c r="L7" s="69"/>
      <c r="O7" s="53" t="s">
        <v>512</v>
      </c>
      <c r="P7" s="52">
        <f>SUMIFS(I$4:I$52,$E$4:$E$52,"Startup",$G$4:$G$52,"No")</f>
        <v>0</v>
      </c>
      <c r="Q7" s="52">
        <f>SUMIFS(K$4:K$52,$E$4:$E$52,"Startup",$G$4:$G$52,"No")</f>
        <v>0</v>
      </c>
      <c r="R7" s="73">
        <f t="shared" si="0"/>
        <v>0</v>
      </c>
      <c r="S7" s="423"/>
    </row>
    <row r="8" spans="1:19" ht="14.45" customHeight="1">
      <c r="A8" s="57"/>
      <c r="B8" s="67"/>
      <c r="C8" s="365"/>
      <c r="D8" s="67"/>
      <c r="E8" s="67"/>
      <c r="F8" s="67"/>
      <c r="G8" s="67"/>
      <c r="H8" s="374"/>
      <c r="I8" s="366"/>
      <c r="J8" s="374"/>
      <c r="K8" s="68"/>
      <c r="L8" s="69"/>
      <c r="O8" s="53" t="s">
        <v>513</v>
      </c>
      <c r="P8" s="52">
        <f>(SUMIFS(I$4:I$52,$E$4:$E$52,"Construction",$G$4:$G$52,"No",$D$4:$D$52,"Yes"))*$P$20</f>
        <v>0</v>
      </c>
      <c r="Q8" s="52">
        <f>(SUMIFS(K$4:K$52,$E$4:$E$52,"Construction",$G$4:$G$52,"No",$D$4:$D$52,"Yes"))*$P$20</f>
        <v>0</v>
      </c>
      <c r="R8" s="73">
        <f t="shared" si="0"/>
        <v>0</v>
      </c>
      <c r="S8" s="423"/>
    </row>
    <row r="9" spans="1:19" ht="14.45" customHeight="1">
      <c r="A9" s="57"/>
      <c r="B9" s="67"/>
      <c r="C9" s="365"/>
      <c r="D9" s="67"/>
      <c r="E9" s="67"/>
      <c r="F9" s="67"/>
      <c r="G9" s="67"/>
      <c r="H9" s="374"/>
      <c r="I9" s="366"/>
      <c r="J9" s="374"/>
      <c r="K9" s="68"/>
      <c r="L9" s="69"/>
      <c r="O9" s="53" t="s">
        <v>514</v>
      </c>
      <c r="P9" s="52">
        <f>SUMIFS(I$4:I$52,$E$4:$E$52,"Startup",$G$4:$G$52,"No",$D$4:$D$52,"Yes")*$P$20</f>
        <v>0</v>
      </c>
      <c r="Q9" s="52">
        <f>SUMIFS(K$4:K$52,$E$4:$E$52,"Startup",$G$4:$G$52,"No",$D$4:$D$52,"Yes")*$P$20</f>
        <v>0</v>
      </c>
      <c r="R9" s="73">
        <f t="shared" si="0"/>
        <v>0</v>
      </c>
      <c r="S9" s="423"/>
    </row>
    <row r="10" spans="1:19" ht="14.45" customHeight="1">
      <c r="A10" s="57"/>
      <c r="B10" s="67"/>
      <c r="C10" s="365"/>
      <c r="D10" s="67"/>
      <c r="E10" s="67"/>
      <c r="F10" s="67"/>
      <c r="G10" s="67"/>
      <c r="H10" s="366"/>
      <c r="I10" s="376"/>
      <c r="J10" s="374"/>
      <c r="K10" s="68"/>
      <c r="L10" s="69"/>
      <c r="O10" s="53" t="s">
        <v>515</v>
      </c>
      <c r="P10" s="54">
        <f>P6+P8</f>
        <v>0</v>
      </c>
      <c r="Q10" s="54">
        <f>Q6+Q8</f>
        <v>0</v>
      </c>
      <c r="R10" s="74">
        <f t="shared" si="0"/>
        <v>0</v>
      </c>
      <c r="S10" s="423"/>
    </row>
    <row r="11" spans="1:19" ht="14.45" customHeight="1">
      <c r="A11" s="57"/>
      <c r="B11" s="67"/>
      <c r="C11" s="365"/>
      <c r="D11" s="67"/>
      <c r="E11" s="67"/>
      <c r="F11" s="67"/>
      <c r="G11" s="67"/>
      <c r="H11" s="366"/>
      <c r="I11" s="377"/>
      <c r="J11" s="374"/>
      <c r="K11" s="68"/>
      <c r="L11" s="69"/>
      <c r="O11" s="53" t="s">
        <v>516</v>
      </c>
      <c r="P11" s="54">
        <f>P4+P10</f>
        <v>0</v>
      </c>
      <c r="Q11" s="54">
        <f>Q10+Q5</f>
        <v>0</v>
      </c>
      <c r="R11" s="74">
        <f t="shared" si="0"/>
        <v>0</v>
      </c>
      <c r="S11" s="423"/>
    </row>
    <row r="12" spans="1:19" ht="14.45" customHeight="1">
      <c r="A12" s="57"/>
      <c r="B12" s="67"/>
      <c r="C12" s="365"/>
      <c r="D12" s="67"/>
      <c r="E12" s="67"/>
      <c r="F12" s="67"/>
      <c r="G12" s="67"/>
      <c r="H12" s="374"/>
      <c r="I12" s="377"/>
      <c r="J12" s="374"/>
      <c r="K12" s="68"/>
      <c r="L12" s="69"/>
      <c r="O12" s="53" t="s">
        <v>517</v>
      </c>
      <c r="P12" s="54">
        <f>P7+P9</f>
        <v>0</v>
      </c>
      <c r="Q12" s="54">
        <f>Q7+Q9</f>
        <v>0</v>
      </c>
      <c r="R12" s="74">
        <f t="shared" si="0"/>
        <v>0</v>
      </c>
      <c r="S12" s="423"/>
    </row>
    <row r="13" spans="1:19" ht="14.45" customHeight="1">
      <c r="A13" s="57"/>
      <c r="B13" s="67"/>
      <c r="C13" s="365"/>
      <c r="D13" s="67"/>
      <c r="E13" s="67"/>
      <c r="F13" s="67"/>
      <c r="G13" s="67"/>
      <c r="H13" s="374"/>
      <c r="I13" s="377"/>
      <c r="J13" s="374"/>
      <c r="K13" s="68"/>
      <c r="L13" s="69"/>
      <c r="O13" s="53" t="s">
        <v>518</v>
      </c>
      <c r="P13" s="54">
        <f>SUM(P5:P9)</f>
        <v>0</v>
      </c>
      <c r="Q13" s="54">
        <f>SUM(Q5:Q9)</f>
        <v>0</v>
      </c>
      <c r="R13" s="74">
        <f t="shared" si="0"/>
        <v>0</v>
      </c>
      <c r="S13" s="423"/>
    </row>
    <row r="14" spans="1:19" ht="14.45" customHeight="1">
      <c r="A14" s="57"/>
      <c r="B14" s="67"/>
      <c r="C14" s="365"/>
      <c r="D14" s="67"/>
      <c r="E14" s="67"/>
      <c r="F14" s="67"/>
      <c r="G14" s="67"/>
      <c r="H14" s="366"/>
      <c r="I14" s="376"/>
      <c r="J14" s="374"/>
      <c r="K14" s="68"/>
      <c r="L14" s="69"/>
      <c r="O14" s="53" t="s">
        <v>519</v>
      </c>
      <c r="P14" s="52">
        <f>SUMIFS(I$4:I$52,$F$4:$F$52,"Opex")</f>
        <v>0</v>
      </c>
      <c r="Q14" s="54">
        <f>SUMIFS(K$4:K$52,$F$4:$F$52,"Opex")</f>
        <v>0</v>
      </c>
      <c r="R14" s="74">
        <f t="shared" si="0"/>
        <v>0</v>
      </c>
      <c r="S14" s="423"/>
    </row>
    <row r="15" spans="1:19" ht="14.45" customHeight="1">
      <c r="A15" s="57"/>
      <c r="B15" s="67"/>
      <c r="C15" s="365"/>
      <c r="D15" s="67"/>
      <c r="E15" s="67"/>
      <c r="F15" s="67"/>
      <c r="G15" s="67"/>
      <c r="H15" s="366"/>
      <c r="I15" s="376"/>
      <c r="J15" s="374"/>
      <c r="K15" s="68"/>
      <c r="L15" s="69"/>
      <c r="O15" s="53" t="s">
        <v>520</v>
      </c>
      <c r="P15" s="54">
        <f>P13-P14</f>
        <v>0</v>
      </c>
      <c r="Q15" s="54">
        <f>Q13-Q14</f>
        <v>0</v>
      </c>
      <c r="R15" s="74">
        <f t="shared" si="0"/>
        <v>0</v>
      </c>
      <c r="S15" s="423"/>
    </row>
    <row r="16" spans="1:19" ht="14.45" customHeight="1">
      <c r="A16" s="57"/>
      <c r="B16" s="67"/>
      <c r="C16" s="365"/>
      <c r="D16" s="67"/>
      <c r="E16" s="67"/>
      <c r="F16" s="67"/>
      <c r="G16" s="67"/>
      <c r="H16" s="366"/>
      <c r="I16" s="376"/>
      <c r="J16" s="374"/>
      <c r="K16" s="68"/>
      <c r="L16" s="69"/>
      <c r="O16" s="53" t="s">
        <v>521</v>
      </c>
      <c r="P16" s="61"/>
      <c r="Q16" s="61"/>
      <c r="R16" s="89">
        <f>'CAR Approval Page 0'!F8</f>
        <v>0</v>
      </c>
      <c r="S16" s="423"/>
    </row>
    <row r="17" spans="1:19" ht="14.45" customHeight="1">
      <c r="A17" s="57"/>
      <c r="B17" s="67"/>
      <c r="C17" s="365"/>
      <c r="D17" s="67"/>
      <c r="E17" s="67"/>
      <c r="F17" s="67"/>
      <c r="G17" s="67"/>
      <c r="H17" s="366"/>
      <c r="I17" s="376"/>
      <c r="J17" s="374"/>
      <c r="K17" s="68"/>
      <c r="L17" s="69"/>
      <c r="O17" s="53" t="s">
        <v>522</v>
      </c>
      <c r="P17" s="54">
        <f>IFERROR(P15-R16,"")</f>
        <v>0</v>
      </c>
      <c r="Q17" s="61"/>
      <c r="R17" s="75"/>
      <c r="S17" s="424"/>
    </row>
    <row r="18" spans="1:19">
      <c r="A18" s="57"/>
      <c r="B18" s="67"/>
      <c r="C18" s="365"/>
      <c r="D18" s="67"/>
      <c r="E18" s="67"/>
      <c r="F18" s="67"/>
      <c r="G18" s="67"/>
      <c r="H18" s="366"/>
      <c r="I18" s="376"/>
      <c r="J18" s="374"/>
      <c r="K18" s="68"/>
      <c r="L18" s="69"/>
      <c r="O18" s="83" t="s">
        <v>523</v>
      </c>
    </row>
    <row r="19" spans="1:19" ht="14.45" customHeight="1">
      <c r="A19" s="57"/>
      <c r="B19" s="67"/>
      <c r="C19" s="365"/>
      <c r="D19" s="67"/>
      <c r="E19" s="67"/>
      <c r="F19" s="67"/>
      <c r="G19" s="67"/>
      <c r="H19" s="374"/>
      <c r="I19" s="377"/>
      <c r="J19" s="374"/>
      <c r="K19" s="68"/>
      <c r="L19" s="69"/>
    </row>
    <row r="20" spans="1:19" ht="14.45" customHeight="1">
      <c r="A20" s="57"/>
      <c r="B20" s="67"/>
      <c r="C20" s="365"/>
      <c r="D20" s="67"/>
      <c r="E20" s="67"/>
      <c r="F20" s="67"/>
      <c r="G20" s="67"/>
      <c r="H20" s="374"/>
      <c r="I20" s="377"/>
      <c r="J20" s="374"/>
      <c r="K20" s="68"/>
      <c r="L20" s="69"/>
    </row>
    <row r="21" spans="1:19" ht="14.45" customHeight="1">
      <c r="A21" s="57"/>
      <c r="B21" s="67"/>
      <c r="C21" s="365"/>
      <c r="D21" s="67"/>
      <c r="E21" s="67"/>
      <c r="F21" s="67"/>
      <c r="G21" s="67"/>
      <c r="H21" s="374"/>
      <c r="I21" s="377"/>
      <c r="J21" s="374"/>
      <c r="K21" s="68"/>
      <c r="L21" s="69"/>
      <c r="O21" s="46" t="s">
        <v>524</v>
      </c>
      <c r="P21" s="46"/>
      <c r="Q21" s="580" t="s">
        <v>525</v>
      </c>
      <c r="R21" s="434"/>
    </row>
    <row r="22" spans="1:19" ht="14.45" customHeight="1">
      <c r="A22" s="57"/>
      <c r="B22" s="67"/>
      <c r="C22" s="365"/>
      <c r="D22" s="67"/>
      <c r="E22" s="67"/>
      <c r="F22" s="67"/>
      <c r="G22" s="67"/>
      <c r="H22" s="374"/>
      <c r="I22" s="377"/>
      <c r="J22" s="374"/>
      <c r="K22" s="68"/>
      <c r="L22" s="69"/>
      <c r="O22" s="22" t="s">
        <v>526</v>
      </c>
      <c r="P22" s="84">
        <v>0.15</v>
      </c>
      <c r="Q22" s="80" t="s">
        <v>527</v>
      </c>
      <c r="R22" s="80"/>
    </row>
    <row r="23" spans="1:19" ht="14.45" customHeight="1">
      <c r="A23" s="57"/>
      <c r="B23" s="67"/>
      <c r="C23" s="365"/>
      <c r="D23" s="67"/>
      <c r="E23" s="67"/>
      <c r="F23" s="67"/>
      <c r="G23" s="67"/>
      <c r="H23" s="374"/>
      <c r="I23" s="377"/>
      <c r="J23" s="374"/>
      <c r="K23" s="68"/>
      <c r="L23" s="69"/>
      <c r="Q23" s="578"/>
      <c r="R23" s="578"/>
    </row>
    <row r="24" spans="1:19" ht="13.5" customHeight="1">
      <c r="A24" s="57"/>
      <c r="B24" s="67"/>
      <c r="C24" s="365"/>
      <c r="D24" s="67"/>
      <c r="E24" s="67"/>
      <c r="F24" s="67"/>
      <c r="G24" s="67"/>
      <c r="H24" s="366"/>
      <c r="I24" s="376"/>
      <c r="J24" s="374"/>
      <c r="K24" s="70"/>
      <c r="L24" s="69"/>
    </row>
    <row r="25" spans="1:19" ht="14.45" customHeight="1">
      <c r="A25" s="57"/>
      <c r="B25" s="67"/>
      <c r="C25" s="365"/>
      <c r="D25" s="67"/>
      <c r="E25" s="67"/>
      <c r="F25" s="67"/>
      <c r="G25" s="67"/>
      <c r="H25" s="366"/>
      <c r="I25" s="376"/>
      <c r="J25" s="374"/>
      <c r="K25" s="70"/>
      <c r="L25" s="69"/>
    </row>
    <row r="26" spans="1:19" ht="14.45" customHeight="1">
      <c r="A26" s="57"/>
      <c r="B26" s="67"/>
      <c r="C26" s="365"/>
      <c r="D26" s="67"/>
      <c r="E26" s="67"/>
      <c r="F26" s="67"/>
      <c r="G26" s="67"/>
      <c r="H26" s="366"/>
      <c r="I26" s="376"/>
      <c r="J26" s="374"/>
      <c r="K26" s="70"/>
      <c r="L26" s="69"/>
      <c r="O26" s="577" t="s">
        <v>528</v>
      </c>
      <c r="P26" s="504" t="s">
        <v>529</v>
      </c>
      <c r="Q26" s="434"/>
    </row>
    <row r="27" spans="1:19" ht="14.45" customHeight="1">
      <c r="A27" s="57"/>
      <c r="B27" s="67"/>
      <c r="C27" s="365"/>
      <c r="D27" s="67"/>
      <c r="E27" s="67"/>
      <c r="F27" s="67"/>
      <c r="G27" s="67"/>
      <c r="H27" s="374"/>
      <c r="I27" s="377"/>
      <c r="J27" s="374"/>
      <c r="K27" s="71"/>
      <c r="L27" s="69"/>
      <c r="O27" s="423"/>
      <c r="P27" s="22" t="s">
        <v>530</v>
      </c>
      <c r="Q27" s="22" t="s">
        <v>531</v>
      </c>
    </row>
    <row r="28" spans="1:19" ht="14.45" customHeight="1">
      <c r="A28" s="57"/>
      <c r="B28" s="67"/>
      <c r="C28" s="365"/>
      <c r="D28" s="67"/>
      <c r="E28" s="67"/>
      <c r="F28" s="67"/>
      <c r="G28" s="67"/>
      <c r="H28" s="378"/>
      <c r="I28" s="377"/>
      <c r="J28" s="374"/>
      <c r="K28" s="70"/>
      <c r="L28" s="69"/>
      <c r="O28" s="423"/>
      <c r="P28" s="22" t="s">
        <v>532</v>
      </c>
      <c r="Q28" s="22" t="s">
        <v>531</v>
      </c>
    </row>
    <row r="29" spans="1:19" ht="14.45" customHeight="1">
      <c r="A29" s="57"/>
      <c r="B29" s="67"/>
      <c r="C29" s="365"/>
      <c r="D29" s="67"/>
      <c r="E29" s="67"/>
      <c r="F29" s="67"/>
      <c r="G29" s="67"/>
      <c r="H29" s="379"/>
      <c r="I29" s="377"/>
      <c r="J29" s="374"/>
      <c r="K29" s="70"/>
      <c r="L29" s="69"/>
      <c r="O29" s="423"/>
      <c r="P29" s="22" t="s">
        <v>533</v>
      </c>
      <c r="Q29" s="22" t="s">
        <v>534</v>
      </c>
    </row>
    <row r="30" spans="1:19" ht="14.45" customHeight="1">
      <c r="A30" s="57"/>
      <c r="B30" s="67"/>
      <c r="C30" s="365"/>
      <c r="D30" s="67"/>
      <c r="E30" s="67"/>
      <c r="F30" s="67"/>
      <c r="G30" s="67"/>
      <c r="H30" s="379"/>
      <c r="I30" s="366"/>
      <c r="J30" s="374"/>
      <c r="K30" s="70"/>
      <c r="L30" s="69"/>
      <c r="O30" s="424"/>
      <c r="P30" s="99" t="s">
        <v>535</v>
      </c>
      <c r="Q30" s="99" t="s">
        <v>534</v>
      </c>
    </row>
    <row r="31" spans="1:19" ht="14.45" customHeight="1">
      <c r="A31" s="57"/>
      <c r="B31" s="67"/>
      <c r="C31" s="365"/>
      <c r="D31" s="67"/>
      <c r="E31" s="67"/>
      <c r="F31" s="67"/>
      <c r="G31" s="67"/>
      <c r="H31" s="366"/>
      <c r="I31" s="376"/>
      <c r="J31" s="374"/>
      <c r="K31" s="68"/>
      <c r="L31" s="67"/>
      <c r="O31" s="577" t="s">
        <v>536</v>
      </c>
      <c r="P31" s="445"/>
      <c r="Q31" s="446"/>
    </row>
    <row r="32" spans="1:19">
      <c r="A32" s="57"/>
      <c r="B32" s="367"/>
      <c r="C32" s="380"/>
      <c r="D32" s="380"/>
      <c r="E32" s="67"/>
      <c r="F32" s="380"/>
      <c r="G32" s="380"/>
      <c r="H32" s="67"/>
      <c r="I32" s="68"/>
      <c r="J32" s="68"/>
      <c r="K32" s="68"/>
      <c r="L32" s="67"/>
      <c r="O32" s="463"/>
      <c r="P32" s="578"/>
      <c r="Q32" s="499"/>
    </row>
    <row r="33" spans="1:17">
      <c r="A33" s="57"/>
      <c r="B33" s="369"/>
      <c r="C33" s="370"/>
      <c r="D33" s="370"/>
      <c r="E33" s="67"/>
      <c r="F33" s="370"/>
      <c r="G33" s="370"/>
      <c r="H33" s="67"/>
      <c r="I33" s="68"/>
      <c r="J33" s="68"/>
      <c r="K33" s="68"/>
      <c r="L33" s="67"/>
      <c r="O33" s="463"/>
      <c r="P33" s="578"/>
      <c r="Q33" s="499"/>
    </row>
    <row r="34" spans="1:17">
      <c r="A34" s="57"/>
      <c r="B34" s="369"/>
      <c r="C34" s="370"/>
      <c r="D34" s="370"/>
      <c r="E34" s="67"/>
      <c r="F34" s="370"/>
      <c r="G34" s="370"/>
      <c r="H34" s="67"/>
      <c r="I34" s="68"/>
      <c r="J34" s="68"/>
      <c r="K34" s="68"/>
      <c r="L34" s="67"/>
      <c r="O34" s="463"/>
      <c r="P34" s="578"/>
      <c r="Q34" s="499"/>
    </row>
    <row r="35" spans="1:17">
      <c r="A35" s="57"/>
      <c r="B35" s="369"/>
      <c r="C35" s="370"/>
      <c r="D35" s="370"/>
      <c r="E35" s="67"/>
      <c r="F35" s="370"/>
      <c r="G35" s="370"/>
      <c r="H35" s="67"/>
      <c r="I35" s="68"/>
      <c r="J35" s="68"/>
      <c r="K35" s="68"/>
      <c r="L35" s="67"/>
      <c r="O35" s="463"/>
      <c r="P35" s="578"/>
      <c r="Q35" s="499"/>
    </row>
    <row r="36" spans="1:17">
      <c r="A36" s="57"/>
      <c r="B36" s="369"/>
      <c r="C36" s="370"/>
      <c r="D36" s="370"/>
      <c r="E36" s="67"/>
      <c r="F36" s="370"/>
      <c r="G36" s="370"/>
      <c r="H36" s="67"/>
      <c r="I36" s="68"/>
      <c r="J36" s="68"/>
      <c r="K36" s="68"/>
      <c r="L36" s="67"/>
      <c r="O36" s="463"/>
      <c r="P36" s="578"/>
      <c r="Q36" s="499"/>
    </row>
    <row r="37" spans="1:17">
      <c r="A37" s="57"/>
      <c r="B37" s="369"/>
      <c r="C37" s="370"/>
      <c r="D37" s="370"/>
      <c r="E37" s="67"/>
      <c r="F37" s="370"/>
      <c r="G37" s="370"/>
      <c r="H37" s="67"/>
      <c r="I37" s="68"/>
      <c r="J37" s="68"/>
      <c r="K37" s="68"/>
      <c r="L37" s="67"/>
      <c r="O37" s="463"/>
      <c r="P37" s="578"/>
      <c r="Q37" s="499"/>
    </row>
    <row r="38" spans="1:17">
      <c r="A38" s="57"/>
      <c r="B38" s="369"/>
      <c r="C38" s="370"/>
      <c r="D38" s="370"/>
      <c r="E38" s="67"/>
      <c r="F38" s="370"/>
      <c r="G38" s="370"/>
      <c r="H38" s="67"/>
      <c r="I38" s="68"/>
      <c r="J38" s="68"/>
      <c r="K38" s="68"/>
      <c r="L38" s="67"/>
      <c r="O38" s="463"/>
      <c r="P38" s="578"/>
      <c r="Q38" s="499"/>
    </row>
    <row r="39" spans="1:17">
      <c r="A39" s="57"/>
      <c r="B39" s="369"/>
      <c r="C39" s="370"/>
      <c r="D39" s="370"/>
      <c r="E39" s="67"/>
      <c r="F39" s="370"/>
      <c r="G39" s="370"/>
      <c r="H39" s="67"/>
      <c r="I39" s="68"/>
      <c r="J39" s="68"/>
      <c r="K39" s="68"/>
      <c r="L39" s="67"/>
      <c r="O39" s="463"/>
      <c r="P39" s="578"/>
      <c r="Q39" s="499"/>
    </row>
    <row r="40" spans="1:17">
      <c r="A40" s="57"/>
      <c r="B40" s="369"/>
      <c r="C40" s="370"/>
      <c r="D40" s="370"/>
      <c r="E40" s="67"/>
      <c r="F40" s="370"/>
      <c r="G40" s="370"/>
      <c r="H40" s="67"/>
      <c r="I40" s="68"/>
      <c r="J40" s="68"/>
      <c r="K40" s="68"/>
      <c r="L40" s="67"/>
      <c r="O40" s="463"/>
      <c r="P40" s="578"/>
      <c r="Q40" s="499"/>
    </row>
    <row r="41" spans="1:17" ht="14.45" customHeight="1">
      <c r="A41" s="57"/>
      <c r="B41" s="67"/>
      <c r="C41" s="67"/>
      <c r="D41" s="67"/>
      <c r="E41" s="67"/>
      <c r="F41" s="67"/>
      <c r="G41" s="67"/>
      <c r="H41" s="67"/>
      <c r="I41" s="68"/>
      <c r="J41" s="68"/>
      <c r="K41" s="68"/>
      <c r="L41" s="67"/>
      <c r="O41" s="463"/>
      <c r="P41" s="578"/>
      <c r="Q41" s="499"/>
    </row>
    <row r="42" spans="1:17" ht="14.45" customHeight="1">
      <c r="A42" s="57"/>
      <c r="B42" s="67"/>
      <c r="C42" s="67"/>
      <c r="D42" s="67"/>
      <c r="E42" s="67"/>
      <c r="F42" s="67"/>
      <c r="G42" s="67"/>
      <c r="H42" s="67"/>
      <c r="I42" s="68"/>
      <c r="J42" s="68"/>
      <c r="K42" s="68"/>
      <c r="L42" s="67"/>
      <c r="O42" s="463"/>
      <c r="P42" s="578"/>
      <c r="Q42" s="499"/>
    </row>
    <row r="43" spans="1:17" ht="14.45" customHeight="1">
      <c r="A43" s="57"/>
      <c r="B43" s="67"/>
      <c r="C43" s="67"/>
      <c r="D43" s="67"/>
      <c r="E43" s="67"/>
      <c r="F43" s="67"/>
      <c r="G43" s="67"/>
      <c r="H43" s="67"/>
      <c r="I43" s="68"/>
      <c r="J43" s="68"/>
      <c r="K43" s="68"/>
      <c r="L43" s="67"/>
      <c r="O43" s="463"/>
      <c r="P43" s="578"/>
      <c r="Q43" s="499"/>
    </row>
    <row r="44" spans="1:17" ht="14.45" customHeight="1">
      <c r="A44" s="57"/>
      <c r="B44" s="67"/>
      <c r="C44" s="67"/>
      <c r="D44" s="67"/>
      <c r="E44" s="67"/>
      <c r="F44" s="67"/>
      <c r="G44" s="67"/>
      <c r="H44" s="67"/>
      <c r="I44" s="68"/>
      <c r="J44" s="68"/>
      <c r="K44" s="68"/>
      <c r="L44" s="67"/>
      <c r="O44" s="463"/>
      <c r="P44" s="578"/>
      <c r="Q44" s="499"/>
    </row>
    <row r="45" spans="1:17" ht="14.45" customHeight="1">
      <c r="A45" s="57"/>
      <c r="B45" s="67"/>
      <c r="C45" s="67"/>
      <c r="D45" s="67"/>
      <c r="E45" s="67"/>
      <c r="F45" s="67"/>
      <c r="G45" s="67"/>
      <c r="H45" s="67"/>
      <c r="I45" s="68"/>
      <c r="J45" s="68"/>
      <c r="K45" s="68"/>
      <c r="L45" s="67"/>
      <c r="O45" s="463"/>
      <c r="P45" s="578"/>
      <c r="Q45" s="499"/>
    </row>
    <row r="46" spans="1:17" ht="14.45" customHeight="1">
      <c r="A46" s="57"/>
      <c r="B46" s="67"/>
      <c r="C46" s="67"/>
      <c r="D46" s="67"/>
      <c r="E46" s="67"/>
      <c r="F46" s="67"/>
      <c r="G46" s="67"/>
      <c r="H46" s="67"/>
      <c r="I46" s="68"/>
      <c r="J46" s="68"/>
      <c r="K46" s="68"/>
      <c r="L46" s="67"/>
      <c r="O46" s="463"/>
      <c r="P46" s="578"/>
      <c r="Q46" s="499"/>
    </row>
    <row r="47" spans="1:17" ht="14.45" customHeight="1">
      <c r="A47" s="57"/>
      <c r="B47" s="67"/>
      <c r="C47" s="67"/>
      <c r="D47" s="67"/>
      <c r="E47" s="67"/>
      <c r="F47" s="67"/>
      <c r="G47" s="67"/>
      <c r="H47" s="67"/>
      <c r="I47" s="68"/>
      <c r="J47" s="68"/>
      <c r="K47" s="68"/>
      <c r="L47" s="67"/>
      <c r="O47" s="463"/>
      <c r="P47" s="578"/>
      <c r="Q47" s="499"/>
    </row>
    <row r="48" spans="1:17" ht="14.45" customHeight="1">
      <c r="A48" s="57"/>
      <c r="B48" s="67"/>
      <c r="C48" s="67"/>
      <c r="D48" s="67"/>
      <c r="E48" s="67"/>
      <c r="F48" s="67"/>
      <c r="G48" s="67"/>
      <c r="H48" s="67"/>
      <c r="I48" s="68"/>
      <c r="J48" s="68"/>
      <c r="K48" s="68"/>
      <c r="L48" s="67"/>
      <c r="O48" s="463"/>
      <c r="P48" s="578"/>
      <c r="Q48" s="499"/>
    </row>
    <row r="49" spans="1:17" ht="14.45" customHeight="1">
      <c r="A49" s="57"/>
      <c r="B49" s="67"/>
      <c r="C49" s="67"/>
      <c r="D49" s="67"/>
      <c r="E49" s="67"/>
      <c r="F49" s="67"/>
      <c r="G49" s="67"/>
      <c r="H49" s="67"/>
      <c r="I49" s="68"/>
      <c r="J49" s="68"/>
      <c r="K49" s="68"/>
      <c r="L49" s="67"/>
      <c r="O49" s="463"/>
      <c r="P49" s="578"/>
      <c r="Q49" s="499"/>
    </row>
    <row r="50" spans="1:17" ht="14.45" customHeight="1">
      <c r="A50" s="57"/>
      <c r="B50" s="67"/>
      <c r="C50" s="67"/>
      <c r="D50" s="67"/>
      <c r="E50" s="67"/>
      <c r="F50" s="67"/>
      <c r="G50" s="67"/>
      <c r="H50" s="67"/>
      <c r="I50" s="68"/>
      <c r="J50" s="68"/>
      <c r="K50" s="68"/>
      <c r="L50" s="67"/>
      <c r="O50" s="463"/>
      <c r="P50" s="578"/>
      <c r="Q50" s="499"/>
    </row>
    <row r="51" spans="1:17" ht="14.45" customHeight="1">
      <c r="A51" s="57"/>
      <c r="B51" s="67"/>
      <c r="C51" s="67"/>
      <c r="D51" s="67"/>
      <c r="E51" s="67"/>
      <c r="F51" s="67"/>
      <c r="G51" s="67"/>
      <c r="H51" s="67"/>
      <c r="I51" s="68"/>
      <c r="J51" s="68"/>
      <c r="K51" s="68"/>
      <c r="L51" s="67"/>
      <c r="O51" s="463"/>
      <c r="P51" s="578"/>
      <c r="Q51" s="499"/>
    </row>
    <row r="52" spans="1:17" ht="14.45" customHeight="1">
      <c r="A52" s="57"/>
      <c r="B52" s="67"/>
      <c r="C52" s="67"/>
      <c r="D52" s="67"/>
      <c r="E52" s="67"/>
      <c r="F52" s="67"/>
      <c r="G52" s="67"/>
      <c r="H52" s="67"/>
      <c r="I52" s="68"/>
      <c r="J52" s="68"/>
      <c r="K52" s="68"/>
      <c r="L52" s="67"/>
      <c r="O52" s="463"/>
      <c r="P52" s="578"/>
      <c r="Q52" s="499"/>
    </row>
    <row r="53" spans="1:17" ht="14.45" customHeight="1">
      <c r="A53" s="57"/>
      <c r="B53" s="67"/>
      <c r="C53" s="67"/>
      <c r="D53" s="67"/>
      <c r="E53" s="67"/>
      <c r="F53" s="67"/>
      <c r="G53" s="67"/>
      <c r="H53" s="67"/>
      <c r="I53" s="68"/>
      <c r="J53" s="68"/>
      <c r="K53" s="68"/>
      <c r="L53" s="67"/>
      <c r="O53" s="463"/>
      <c r="P53" s="578"/>
      <c r="Q53" s="499"/>
    </row>
    <row r="54" spans="1:17" ht="14.45" customHeight="1">
      <c r="B54" s="67"/>
      <c r="C54" s="67"/>
      <c r="D54" s="67"/>
      <c r="E54" s="67"/>
      <c r="F54" s="67"/>
      <c r="G54" s="67"/>
      <c r="H54" s="67"/>
      <c r="I54" s="68"/>
      <c r="J54" s="68"/>
      <c r="K54" s="68"/>
      <c r="L54" s="67"/>
      <c r="O54" s="463"/>
      <c r="P54" s="578"/>
      <c r="Q54" s="499"/>
    </row>
    <row r="55" spans="1:17" ht="14.45" customHeight="1">
      <c r="B55" s="67"/>
      <c r="C55" s="67"/>
      <c r="D55" s="67"/>
      <c r="E55" s="67"/>
      <c r="F55" s="67"/>
      <c r="G55" s="67"/>
      <c r="H55" s="67"/>
      <c r="I55" s="68"/>
      <c r="J55" s="68"/>
      <c r="K55" s="68"/>
      <c r="L55" s="67"/>
      <c r="O55" s="463"/>
      <c r="P55" s="578"/>
      <c r="Q55" s="499"/>
    </row>
    <row r="56" spans="1:17" ht="14.45" customHeight="1">
      <c r="B56" s="67"/>
      <c r="C56" s="67"/>
      <c r="D56" s="67"/>
      <c r="E56" s="67"/>
      <c r="F56" s="67"/>
      <c r="G56" s="67"/>
      <c r="H56" s="67"/>
      <c r="I56" s="68"/>
      <c r="J56" s="68"/>
      <c r="K56" s="68"/>
      <c r="L56" s="67"/>
      <c r="O56" s="463"/>
      <c r="P56" s="578"/>
      <c r="Q56" s="499"/>
    </row>
    <row r="57" spans="1:17" ht="14.45" customHeight="1">
      <c r="B57" s="67"/>
      <c r="C57" s="67"/>
      <c r="D57" s="67"/>
      <c r="E57" s="67"/>
      <c r="F57" s="67"/>
      <c r="G57" s="67"/>
      <c r="H57" s="67"/>
      <c r="I57" s="68"/>
      <c r="J57" s="68"/>
      <c r="K57" s="68"/>
      <c r="L57" s="67"/>
      <c r="O57" s="463"/>
      <c r="P57" s="578"/>
      <c r="Q57" s="499"/>
    </row>
    <row r="58" spans="1:17" ht="14.45" customHeight="1">
      <c r="B58" s="67"/>
      <c r="C58" s="67"/>
      <c r="D58" s="67"/>
      <c r="E58" s="67"/>
      <c r="F58" s="67"/>
      <c r="G58" s="67"/>
      <c r="H58" s="67"/>
      <c r="I58" s="68"/>
      <c r="J58" s="68"/>
      <c r="K58" s="68"/>
      <c r="L58" s="67"/>
      <c r="O58" s="463"/>
      <c r="P58" s="578"/>
      <c r="Q58" s="499"/>
    </row>
    <row r="59" spans="1:17" ht="14.45" customHeight="1">
      <c r="B59" s="67"/>
      <c r="C59" s="67"/>
      <c r="D59" s="67"/>
      <c r="E59" s="67"/>
      <c r="F59" s="67"/>
      <c r="G59" s="67"/>
      <c r="H59" s="67"/>
      <c r="I59" s="68"/>
      <c r="J59" s="68"/>
      <c r="K59" s="68"/>
      <c r="L59" s="67"/>
      <c r="O59" s="463"/>
      <c r="P59" s="578"/>
      <c r="Q59" s="499"/>
    </row>
    <row r="60" spans="1:17" ht="14.45" customHeight="1">
      <c r="B60" s="67"/>
      <c r="C60" s="67"/>
      <c r="D60" s="67"/>
      <c r="E60" s="67"/>
      <c r="F60" s="67"/>
      <c r="G60" s="67"/>
      <c r="H60" s="67"/>
      <c r="I60" s="68"/>
      <c r="J60" s="68"/>
      <c r="K60" s="68"/>
      <c r="L60" s="67"/>
      <c r="O60" s="463"/>
      <c r="P60" s="578"/>
      <c r="Q60" s="499"/>
    </row>
    <row r="61" spans="1:17" ht="14.45" customHeight="1">
      <c r="B61" s="67"/>
      <c r="C61" s="67"/>
      <c r="D61" s="67"/>
      <c r="E61" s="67"/>
      <c r="F61" s="67"/>
      <c r="G61" s="67"/>
      <c r="H61" s="67"/>
      <c r="I61" s="68"/>
      <c r="J61" s="68"/>
      <c r="K61" s="68"/>
      <c r="L61" s="67"/>
      <c r="O61" s="463"/>
      <c r="P61" s="578"/>
      <c r="Q61" s="499"/>
    </row>
    <row r="62" spans="1:17" ht="14.45" customHeight="1">
      <c r="B62" s="67"/>
      <c r="C62" s="67"/>
      <c r="D62" s="67"/>
      <c r="E62" s="67"/>
      <c r="F62" s="67"/>
      <c r="G62" s="67"/>
      <c r="H62" s="67"/>
      <c r="I62" s="68"/>
      <c r="J62" s="68"/>
      <c r="K62" s="68"/>
      <c r="L62" s="67"/>
      <c r="O62" s="463"/>
      <c r="P62" s="578"/>
      <c r="Q62" s="499"/>
    </row>
    <row r="63" spans="1:17" ht="14.45" customHeight="1">
      <c r="B63" s="67"/>
      <c r="C63" s="67"/>
      <c r="D63" s="67"/>
      <c r="E63" s="67"/>
      <c r="F63" s="67"/>
      <c r="G63" s="67"/>
      <c r="H63" s="67"/>
      <c r="I63" s="68"/>
      <c r="J63" s="68"/>
      <c r="K63" s="68"/>
      <c r="L63" s="67"/>
      <c r="O63" s="464"/>
      <c r="P63" s="482"/>
      <c r="Q63" s="473"/>
    </row>
    <row r="64" spans="1:17" ht="14.45" customHeight="1">
      <c r="B64" s="67"/>
      <c r="C64" s="67"/>
      <c r="D64" s="67"/>
      <c r="E64" s="67"/>
      <c r="F64" s="67"/>
      <c r="G64" s="67"/>
      <c r="H64" s="67"/>
      <c r="I64" s="68"/>
      <c r="J64" s="68"/>
      <c r="K64" s="68"/>
      <c r="L64" s="67"/>
    </row>
    <row r="65" spans="2:12" ht="14.45" customHeight="1">
      <c r="B65" s="67"/>
      <c r="C65" s="67"/>
      <c r="D65" s="67"/>
      <c r="E65" s="67"/>
      <c r="F65" s="67"/>
      <c r="G65" s="67"/>
      <c r="H65" s="67"/>
      <c r="I65" s="68"/>
      <c r="J65" s="68"/>
      <c r="K65" s="68"/>
      <c r="L65" s="67"/>
    </row>
    <row r="66" spans="2:12" ht="14.45" customHeight="1">
      <c r="B66" s="67"/>
      <c r="C66" s="67"/>
      <c r="D66" s="67"/>
      <c r="E66" s="67"/>
      <c r="F66" s="67"/>
      <c r="G66" s="67"/>
      <c r="H66" s="67"/>
      <c r="I66" s="68"/>
      <c r="J66" s="68"/>
      <c r="K66" s="68"/>
      <c r="L66" s="67"/>
    </row>
    <row r="67" spans="2:12" ht="14.45" customHeight="1">
      <c r="B67" s="67"/>
      <c r="C67" s="67"/>
      <c r="D67" s="67"/>
      <c r="E67" s="67"/>
      <c r="F67" s="67"/>
      <c r="G67" s="67"/>
      <c r="H67" s="67"/>
      <c r="I67" s="68"/>
      <c r="J67" s="68"/>
      <c r="K67" s="68"/>
      <c r="L67" s="67"/>
    </row>
    <row r="68" spans="2:12" ht="14.45" customHeight="1">
      <c r="B68" s="67"/>
      <c r="C68" s="67"/>
      <c r="D68" s="67"/>
      <c r="E68" s="67"/>
      <c r="F68" s="67"/>
      <c r="G68" s="67"/>
      <c r="H68" s="67"/>
      <c r="I68" s="68"/>
      <c r="J68" s="68"/>
      <c r="K68" s="68"/>
      <c r="L68" s="67"/>
    </row>
    <row r="69" spans="2:12" ht="14.45" customHeight="1">
      <c r="B69" s="67"/>
      <c r="C69" s="67"/>
      <c r="D69" s="67"/>
      <c r="E69" s="67"/>
      <c r="F69" s="67"/>
      <c r="G69" s="67"/>
      <c r="H69" s="67"/>
      <c r="I69" s="68"/>
      <c r="J69" s="68"/>
      <c r="K69" s="68"/>
      <c r="L69" s="67"/>
    </row>
    <row r="70" spans="2:12" ht="14.45" customHeight="1">
      <c r="B70" s="67"/>
      <c r="C70" s="67"/>
      <c r="D70" s="67"/>
      <c r="E70" s="67"/>
      <c r="F70" s="67"/>
      <c r="G70" s="67"/>
      <c r="H70" s="67"/>
      <c r="I70" s="68"/>
      <c r="J70" s="68"/>
      <c r="K70" s="68"/>
      <c r="L70" s="67"/>
    </row>
    <row r="71" spans="2:12" ht="14.45" customHeight="1">
      <c r="B71" s="67"/>
      <c r="C71" s="67"/>
      <c r="D71" s="67"/>
      <c r="E71" s="67"/>
      <c r="F71" s="67"/>
      <c r="G71" s="67"/>
      <c r="H71" s="67"/>
      <c r="I71" s="68"/>
      <c r="J71" s="68"/>
      <c r="K71" s="68"/>
      <c r="L71" s="67"/>
    </row>
    <row r="72" spans="2:12" ht="14.45" customHeight="1">
      <c r="B72" s="67"/>
      <c r="C72" s="67"/>
      <c r="D72" s="67"/>
      <c r="E72" s="67"/>
      <c r="F72" s="67"/>
      <c r="G72" s="67"/>
      <c r="H72" s="67"/>
      <c r="I72" s="68"/>
      <c r="J72" s="68"/>
      <c r="K72" s="68"/>
      <c r="L72" s="67"/>
    </row>
    <row r="73" spans="2:12" ht="14.45" customHeight="1">
      <c r="B73" s="67"/>
      <c r="C73" s="67"/>
      <c r="D73" s="67"/>
      <c r="E73" s="67"/>
      <c r="F73" s="67"/>
      <c r="G73" s="67"/>
      <c r="H73" s="67"/>
      <c r="I73" s="68"/>
      <c r="J73" s="68"/>
      <c r="K73" s="68"/>
      <c r="L73" s="67"/>
    </row>
    <row r="74" spans="2:12" ht="14.45" customHeight="1">
      <c r="B74" s="67"/>
      <c r="C74" s="67"/>
      <c r="D74" s="67"/>
      <c r="E74" s="67"/>
      <c r="F74" s="67"/>
      <c r="G74" s="67"/>
      <c r="H74" s="67"/>
      <c r="I74" s="68"/>
      <c r="J74" s="68"/>
      <c r="K74" s="68"/>
      <c r="L74" s="67"/>
    </row>
    <row r="75" spans="2:12" ht="14.45" customHeight="1">
      <c r="B75" s="67"/>
      <c r="C75" s="67"/>
      <c r="D75" s="67"/>
      <c r="E75" s="67"/>
      <c r="F75" s="67"/>
      <c r="G75" s="67"/>
      <c r="H75" s="67"/>
      <c r="I75" s="68"/>
      <c r="J75" s="68"/>
      <c r="K75" s="68"/>
      <c r="L75" s="67"/>
    </row>
    <row r="76" spans="2:12" ht="14.45" customHeight="1">
      <c r="B76" s="67"/>
      <c r="C76" s="67"/>
      <c r="D76" s="67"/>
      <c r="E76" s="67"/>
      <c r="F76" s="67"/>
      <c r="G76" s="67"/>
      <c r="H76" s="67"/>
      <c r="I76" s="68"/>
      <c r="J76" s="68"/>
      <c r="K76" s="68"/>
      <c r="L76" s="67"/>
    </row>
    <row r="77" spans="2:12" ht="14.45" customHeight="1">
      <c r="B77" s="67"/>
      <c r="C77" s="67"/>
      <c r="D77" s="67"/>
      <c r="E77" s="67"/>
      <c r="F77" s="67"/>
      <c r="G77" s="67"/>
      <c r="H77" s="67"/>
      <c r="I77" s="68"/>
      <c r="J77" s="68"/>
      <c r="K77" s="68"/>
      <c r="L77" s="67"/>
    </row>
    <row r="78" spans="2:12" ht="14.45" customHeight="1">
      <c r="B78" s="67"/>
      <c r="C78" s="67"/>
      <c r="D78" s="67"/>
      <c r="E78" s="67"/>
      <c r="F78" s="67"/>
      <c r="G78" s="67"/>
      <c r="H78" s="67"/>
      <c r="I78" s="68"/>
      <c r="J78" s="68"/>
      <c r="K78" s="68"/>
      <c r="L78" s="67"/>
    </row>
    <row r="79" spans="2:12" ht="14.45" customHeight="1">
      <c r="B79" s="67"/>
      <c r="C79" s="67"/>
      <c r="D79" s="67"/>
      <c r="E79" s="67"/>
      <c r="F79" s="67"/>
      <c r="G79" s="67"/>
      <c r="H79" s="67"/>
      <c r="I79" s="68"/>
      <c r="J79" s="68"/>
      <c r="K79" s="68"/>
      <c r="L79" s="67"/>
    </row>
    <row r="80" spans="2:12" ht="14.45" customHeight="1">
      <c r="B80" s="67"/>
      <c r="C80" s="67"/>
      <c r="D80" s="67"/>
      <c r="E80" s="67"/>
      <c r="F80" s="67"/>
      <c r="G80" s="67"/>
      <c r="H80" s="67"/>
      <c r="I80" s="68"/>
      <c r="J80" s="68"/>
      <c r="K80" s="68"/>
      <c r="L80" s="67"/>
    </row>
    <row r="81" spans="2:12" ht="14.45" customHeight="1">
      <c r="B81" s="67"/>
      <c r="C81" s="67"/>
      <c r="D81" s="67"/>
      <c r="E81" s="67"/>
      <c r="F81" s="67"/>
      <c r="G81" s="67"/>
      <c r="H81" s="67"/>
      <c r="I81" s="68"/>
      <c r="J81" s="68"/>
      <c r="K81" s="68"/>
      <c r="L81" s="67"/>
    </row>
    <row r="82" spans="2:12" ht="14.45" customHeight="1">
      <c r="B82" s="67"/>
      <c r="C82" s="67"/>
      <c r="D82" s="67"/>
      <c r="E82" s="67"/>
      <c r="F82" s="67"/>
      <c r="G82" s="67"/>
      <c r="H82" s="67"/>
      <c r="I82" s="68"/>
      <c r="J82" s="68"/>
      <c r="K82" s="68"/>
      <c r="L82" s="67"/>
    </row>
    <row r="83" spans="2:12" ht="14.45" customHeight="1">
      <c r="B83" s="67"/>
      <c r="C83" s="67"/>
      <c r="D83" s="67"/>
      <c r="E83" s="67"/>
      <c r="F83" s="67"/>
      <c r="G83" s="67"/>
      <c r="H83" s="67"/>
      <c r="I83" s="68"/>
      <c r="J83" s="68"/>
      <c r="K83" s="68"/>
      <c r="L83" s="67"/>
    </row>
    <row r="84" spans="2:12" ht="14.45" customHeight="1">
      <c r="B84" s="67"/>
      <c r="C84" s="67"/>
      <c r="D84" s="67"/>
      <c r="E84" s="67"/>
      <c r="F84" s="67"/>
      <c r="G84" s="67"/>
      <c r="H84" s="67"/>
      <c r="I84" s="68"/>
      <c r="J84" s="68"/>
      <c r="K84" s="68"/>
      <c r="L84" s="67"/>
    </row>
    <row r="85" spans="2:12" ht="14.45" customHeight="1">
      <c r="B85" s="67"/>
      <c r="C85" s="67"/>
      <c r="D85" s="67"/>
      <c r="E85" s="67"/>
      <c r="F85" s="67"/>
      <c r="G85" s="67"/>
      <c r="H85" s="67"/>
      <c r="I85" s="68"/>
      <c r="J85" s="68"/>
      <c r="K85" s="68"/>
      <c r="L85" s="67"/>
    </row>
    <row r="86" spans="2:12" ht="14.45" customHeight="1">
      <c r="B86" s="67"/>
      <c r="C86" s="67"/>
      <c r="D86" s="67"/>
      <c r="E86" s="67"/>
      <c r="F86" s="67"/>
      <c r="G86" s="67"/>
      <c r="H86" s="67"/>
      <c r="I86" s="68"/>
      <c r="J86" s="68"/>
      <c r="K86" s="68"/>
      <c r="L86" s="67"/>
    </row>
    <row r="87" spans="2:12" ht="14.45" customHeight="1">
      <c r="B87" s="67"/>
      <c r="C87" s="67"/>
      <c r="D87" s="67"/>
      <c r="E87" s="67"/>
      <c r="F87" s="67"/>
      <c r="G87" s="67"/>
      <c r="H87" s="67"/>
      <c r="I87" s="68"/>
      <c r="J87" s="68"/>
      <c r="K87" s="68"/>
      <c r="L87" s="67"/>
    </row>
    <row r="88" spans="2:12" ht="14.45" customHeight="1">
      <c r="B88" s="67"/>
      <c r="C88" s="67"/>
      <c r="D88" s="67"/>
      <c r="E88" s="67"/>
      <c r="F88" s="67"/>
      <c r="G88" s="67"/>
      <c r="H88" s="67"/>
      <c r="I88" s="68"/>
      <c r="J88" s="68"/>
      <c r="K88" s="68"/>
      <c r="L88" s="67"/>
    </row>
    <row r="89" spans="2:12" ht="14.45" customHeight="1">
      <c r="B89" s="67"/>
      <c r="C89" s="67"/>
      <c r="D89" s="67"/>
      <c r="E89" s="67"/>
      <c r="F89" s="67"/>
      <c r="G89" s="67"/>
      <c r="H89" s="67"/>
      <c r="I89" s="68"/>
      <c r="J89" s="68"/>
      <c r="K89" s="68"/>
      <c r="L89" s="67"/>
    </row>
    <row r="90" spans="2:12" ht="14.45" customHeight="1">
      <c r="B90" s="67"/>
      <c r="C90" s="67"/>
      <c r="D90" s="67"/>
      <c r="E90" s="67"/>
      <c r="F90" s="67"/>
      <c r="G90" s="67"/>
      <c r="H90" s="67"/>
      <c r="I90" s="68"/>
      <c r="J90" s="68"/>
      <c r="K90" s="68"/>
      <c r="L90" s="67"/>
    </row>
    <row r="91" spans="2:12" ht="14.45" customHeight="1">
      <c r="B91" s="67"/>
      <c r="C91" s="67"/>
      <c r="D91" s="67"/>
      <c r="E91" s="67"/>
      <c r="F91" s="67"/>
      <c r="G91" s="67"/>
      <c r="H91" s="67"/>
      <c r="I91" s="68"/>
      <c r="J91" s="68"/>
      <c r="K91" s="68"/>
      <c r="L91" s="67"/>
    </row>
    <row r="92" spans="2:12" ht="14.45" customHeight="1">
      <c r="B92" s="67"/>
      <c r="C92" s="67"/>
      <c r="D92" s="67"/>
      <c r="E92" s="67"/>
      <c r="F92" s="67"/>
      <c r="G92" s="67"/>
      <c r="H92" s="67"/>
      <c r="I92" s="68"/>
      <c r="J92" s="68"/>
      <c r="K92" s="68"/>
      <c r="L92" s="67"/>
    </row>
    <row r="93" spans="2:12" ht="14.45" customHeight="1">
      <c r="B93" s="67"/>
      <c r="C93" s="67"/>
      <c r="D93" s="67"/>
      <c r="E93" s="67"/>
      <c r="F93" s="67"/>
      <c r="G93" s="67"/>
      <c r="H93" s="67"/>
      <c r="I93" s="68"/>
      <c r="J93" s="68"/>
      <c r="K93" s="68"/>
      <c r="L93" s="67"/>
    </row>
    <row r="94" spans="2:12" ht="14.45" customHeight="1">
      <c r="B94" s="67"/>
      <c r="C94" s="67"/>
      <c r="D94" s="67"/>
      <c r="E94" s="67"/>
      <c r="F94" s="67"/>
      <c r="G94" s="67"/>
      <c r="H94" s="67"/>
      <c r="I94" s="68"/>
      <c r="J94" s="68"/>
      <c r="K94" s="68"/>
      <c r="L94" s="67"/>
    </row>
    <row r="95" spans="2:12" ht="14.45" customHeight="1">
      <c r="B95" s="67"/>
      <c r="C95" s="67"/>
      <c r="D95" s="67"/>
      <c r="E95" s="67"/>
      <c r="F95" s="67"/>
      <c r="G95" s="67"/>
      <c r="H95" s="67"/>
      <c r="I95" s="68"/>
      <c r="J95" s="68"/>
      <c r="K95" s="68"/>
      <c r="L95" s="67"/>
    </row>
    <row r="96" spans="2:12" ht="14.45" customHeight="1">
      <c r="B96" s="67"/>
      <c r="C96" s="67"/>
      <c r="D96" s="67"/>
      <c r="E96" s="67"/>
      <c r="F96" s="67"/>
      <c r="G96" s="67"/>
      <c r="H96" s="67"/>
      <c r="I96" s="68"/>
      <c r="J96" s="68"/>
      <c r="K96" s="68"/>
      <c r="L96" s="67"/>
    </row>
    <row r="97" spans="2:12" ht="14.45" customHeight="1">
      <c r="B97" s="67"/>
      <c r="C97" s="67"/>
      <c r="D97" s="67"/>
      <c r="E97" s="67"/>
      <c r="F97" s="67"/>
      <c r="G97" s="67"/>
      <c r="H97" s="67"/>
      <c r="I97" s="68"/>
      <c r="J97" s="68"/>
      <c r="K97" s="68"/>
      <c r="L97" s="67"/>
    </row>
    <row r="98" spans="2:12" ht="14.45" customHeight="1">
      <c r="B98" s="67"/>
      <c r="C98" s="67"/>
      <c r="D98" s="67"/>
      <c r="E98" s="67"/>
      <c r="F98" s="67"/>
      <c r="G98" s="67"/>
      <c r="H98" s="67"/>
      <c r="I98" s="68"/>
      <c r="J98" s="68"/>
      <c r="K98" s="68"/>
      <c r="L98" s="67"/>
    </row>
    <row r="99" spans="2:12" ht="14.45" customHeight="1">
      <c r="B99" s="67"/>
      <c r="C99" s="67"/>
      <c r="D99" s="67"/>
      <c r="E99" s="67"/>
      <c r="F99" s="67"/>
      <c r="G99" s="67"/>
      <c r="H99" s="67"/>
      <c r="I99" s="68"/>
      <c r="J99" s="68"/>
      <c r="K99" s="68"/>
      <c r="L99" s="67"/>
    </row>
    <row r="100" spans="2:12" ht="14.45" customHeight="1">
      <c r="B100" s="67"/>
      <c r="C100" s="67"/>
      <c r="D100" s="67"/>
      <c r="E100" s="67"/>
      <c r="F100" s="67"/>
      <c r="G100" s="67"/>
      <c r="H100" s="67"/>
      <c r="I100" s="68"/>
      <c r="J100" s="68"/>
      <c r="K100" s="68"/>
      <c r="L100" s="67"/>
    </row>
    <row r="101" spans="2:12" ht="14.45" customHeight="1">
      <c r="B101" s="67"/>
      <c r="C101" s="67"/>
      <c r="D101" s="67"/>
      <c r="E101" s="67"/>
      <c r="F101" s="67"/>
      <c r="G101" s="67"/>
      <c r="H101" s="67"/>
      <c r="I101" s="68"/>
      <c r="J101" s="68"/>
      <c r="K101" s="68"/>
      <c r="L101" s="67"/>
    </row>
  </sheetData>
  <mergeCells count="8">
    <mergeCell ref="S4:S17"/>
    <mergeCell ref="O26:O30"/>
    <mergeCell ref="P26:Q26"/>
    <mergeCell ref="O31:Q63"/>
    <mergeCell ref="I2:K2"/>
    <mergeCell ref="Q21:R21"/>
    <mergeCell ref="C2:G2"/>
    <mergeCell ref="Q23:R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89999084444715716"/>
  </sheetPr>
  <dimension ref="B1:M27"/>
  <sheetViews>
    <sheetView workbookViewId="0">
      <selection activeCell="C10" sqref="C10"/>
    </sheetView>
  </sheetViews>
  <sheetFormatPr defaultRowHeight="15"/>
  <cols>
    <col min="3" max="3" width="25.42578125" customWidth="1"/>
    <col min="4" max="4" width="35.85546875" customWidth="1"/>
    <col min="5" max="5" width="15.85546875" customWidth="1"/>
    <col min="6" max="6" width="12.140625" customWidth="1"/>
    <col min="7" max="7" width="14.85546875" customWidth="1"/>
    <col min="8" max="8" width="12.140625" customWidth="1"/>
    <col min="9" max="12" width="15.85546875" customWidth="1"/>
    <col min="13" max="13" width="38.7109375" customWidth="1"/>
  </cols>
  <sheetData>
    <row r="1" spans="2:13" ht="15" customHeight="1" thickBot="1"/>
    <row r="2" spans="2:13" ht="57.75" customHeight="1">
      <c r="B2" s="396" t="s">
        <v>537</v>
      </c>
      <c r="C2" s="397" t="s">
        <v>494</v>
      </c>
      <c r="D2" s="397" t="s">
        <v>538</v>
      </c>
      <c r="E2" s="397" t="s">
        <v>496</v>
      </c>
      <c r="F2" s="397" t="s">
        <v>539</v>
      </c>
      <c r="G2" s="397" t="s">
        <v>498</v>
      </c>
      <c r="H2" s="397" t="s">
        <v>499</v>
      </c>
      <c r="I2" s="397" t="s">
        <v>500</v>
      </c>
      <c r="J2" s="397" t="s">
        <v>501</v>
      </c>
      <c r="K2" s="397" t="s">
        <v>502</v>
      </c>
      <c r="L2" s="397" t="s">
        <v>503</v>
      </c>
      <c r="M2" s="398" t="s">
        <v>504</v>
      </c>
    </row>
    <row r="3" spans="2:13" ht="22.5" customHeight="1">
      <c r="B3" s="583" t="s">
        <v>540</v>
      </c>
      <c r="C3" s="386"/>
      <c r="D3" s="386"/>
      <c r="E3" s="386"/>
      <c r="F3" s="386"/>
      <c r="G3" s="386"/>
      <c r="H3" s="386"/>
      <c r="I3" s="387"/>
      <c r="J3" s="388"/>
      <c r="K3" s="387"/>
      <c r="L3" s="388"/>
      <c r="M3" s="389"/>
    </row>
    <row r="4" spans="2:13" ht="15" customHeight="1">
      <c r="B4" s="428"/>
      <c r="C4" s="371" t="s">
        <v>541</v>
      </c>
      <c r="D4" s="371" t="s">
        <v>542</v>
      </c>
      <c r="E4" s="371" t="s">
        <v>44</v>
      </c>
      <c r="F4" s="380" t="s">
        <v>117</v>
      </c>
      <c r="G4" s="371" t="s">
        <v>345</v>
      </c>
      <c r="H4" s="371" t="s">
        <v>44</v>
      </c>
      <c r="I4" s="22"/>
      <c r="J4" s="382">
        <v>31278</v>
      </c>
      <c r="K4" s="22"/>
      <c r="L4" s="382">
        <v>0</v>
      </c>
      <c r="M4" s="390"/>
    </row>
    <row r="5" spans="2:13" ht="15" customHeight="1">
      <c r="B5" s="428"/>
      <c r="C5" s="371" t="s">
        <v>512</v>
      </c>
      <c r="D5" s="371" t="s">
        <v>543</v>
      </c>
      <c r="E5" s="371" t="s">
        <v>45</v>
      </c>
      <c r="F5" s="380" t="s">
        <v>117</v>
      </c>
      <c r="G5" s="371" t="s">
        <v>345</v>
      </c>
      <c r="H5" s="371" t="s">
        <v>45</v>
      </c>
      <c r="I5" s="22"/>
      <c r="J5" s="382">
        <v>20000</v>
      </c>
      <c r="K5" s="22"/>
      <c r="L5" s="382">
        <v>0</v>
      </c>
      <c r="M5" s="390"/>
    </row>
    <row r="6" spans="2:13" ht="15" customHeight="1">
      <c r="B6" s="428"/>
      <c r="C6" s="371" t="s">
        <v>512</v>
      </c>
      <c r="D6" s="371" t="s">
        <v>544</v>
      </c>
      <c r="E6" s="371" t="s">
        <v>44</v>
      </c>
      <c r="F6" s="380" t="s">
        <v>117</v>
      </c>
      <c r="G6" s="371" t="s">
        <v>345</v>
      </c>
      <c r="H6" s="371" t="s">
        <v>45</v>
      </c>
      <c r="I6" s="22"/>
      <c r="J6" s="381">
        <v>5000</v>
      </c>
      <c r="K6" s="22"/>
      <c r="L6" s="381">
        <v>0</v>
      </c>
      <c r="M6" s="390"/>
    </row>
    <row r="7" spans="2:13" ht="15" customHeight="1">
      <c r="B7" s="428"/>
      <c r="C7" s="371" t="s">
        <v>541</v>
      </c>
      <c r="D7" s="371" t="s">
        <v>545</v>
      </c>
      <c r="E7" s="371" t="s">
        <v>44</v>
      </c>
      <c r="F7" s="380" t="s">
        <v>117</v>
      </c>
      <c r="G7" s="371" t="s">
        <v>345</v>
      </c>
      <c r="H7" s="371" t="s">
        <v>44</v>
      </c>
      <c r="I7" s="22"/>
      <c r="J7" s="381">
        <v>11486.09</v>
      </c>
      <c r="K7" s="22"/>
      <c r="L7" s="381">
        <v>0</v>
      </c>
      <c r="M7" s="390"/>
    </row>
    <row r="8" spans="2:13" ht="15" customHeight="1">
      <c r="B8" s="428"/>
      <c r="C8" s="371" t="s">
        <v>512</v>
      </c>
      <c r="D8" s="371" t="s">
        <v>546</v>
      </c>
      <c r="E8" s="371" t="s">
        <v>44</v>
      </c>
      <c r="F8" s="380" t="s">
        <v>117</v>
      </c>
      <c r="G8" s="371" t="s">
        <v>345</v>
      </c>
      <c r="H8" s="371" t="s">
        <v>45</v>
      </c>
      <c r="I8" s="22"/>
      <c r="J8" s="381">
        <v>8590</v>
      </c>
      <c r="K8" s="22"/>
      <c r="L8" s="381">
        <v>0</v>
      </c>
      <c r="M8" s="390"/>
    </row>
    <row r="9" spans="2:13" ht="15" customHeight="1">
      <c r="B9" s="428"/>
      <c r="C9" s="371" t="s">
        <v>541</v>
      </c>
      <c r="D9" s="371" t="s">
        <v>547</v>
      </c>
      <c r="E9" s="371" t="s">
        <v>45</v>
      </c>
      <c r="F9" s="380" t="s">
        <v>117</v>
      </c>
      <c r="G9" s="371" t="s">
        <v>345</v>
      </c>
      <c r="H9" s="371" t="s">
        <v>44</v>
      </c>
      <c r="I9" s="22"/>
      <c r="J9" s="381">
        <v>13531.55</v>
      </c>
      <c r="K9" s="22"/>
      <c r="L9" s="381">
        <v>0</v>
      </c>
      <c r="M9" s="390"/>
    </row>
    <row r="10" spans="2:13" ht="15" customHeight="1">
      <c r="B10" s="428"/>
      <c r="C10" s="371" t="s">
        <v>541</v>
      </c>
      <c r="D10" s="371" t="s">
        <v>548</v>
      </c>
      <c r="E10" s="371" t="s">
        <v>44</v>
      </c>
      <c r="F10" s="380" t="s">
        <v>117</v>
      </c>
      <c r="G10" s="371" t="s">
        <v>345</v>
      </c>
      <c r="H10" s="371" t="s">
        <v>44</v>
      </c>
      <c r="I10" s="22"/>
      <c r="J10" s="381">
        <v>57300</v>
      </c>
      <c r="K10" s="22"/>
      <c r="L10" s="381">
        <v>0</v>
      </c>
      <c r="M10" s="390"/>
    </row>
    <row r="11" spans="2:13" ht="15" customHeight="1" thickBot="1">
      <c r="B11" s="584"/>
      <c r="C11" s="391" t="s">
        <v>541</v>
      </c>
      <c r="D11" s="391" t="s">
        <v>549</v>
      </c>
      <c r="E11" s="391" t="s">
        <v>44</v>
      </c>
      <c r="F11" s="392" t="s">
        <v>117</v>
      </c>
      <c r="G11" s="391" t="s">
        <v>345</v>
      </c>
      <c r="H11" s="391" t="s">
        <v>44</v>
      </c>
      <c r="I11" s="393"/>
      <c r="J11" s="394">
        <v>3065</v>
      </c>
      <c r="K11" s="393"/>
      <c r="L11" s="394">
        <v>0</v>
      </c>
      <c r="M11" s="395"/>
    </row>
    <row r="12" spans="2:13">
      <c r="B12" s="585" t="s">
        <v>550</v>
      </c>
      <c r="C12" s="399" t="s">
        <v>541</v>
      </c>
      <c r="D12" s="400" t="s">
        <v>542</v>
      </c>
      <c r="E12" s="400" t="s">
        <v>44</v>
      </c>
      <c r="F12" s="401" t="s">
        <v>117</v>
      </c>
      <c r="G12" s="400" t="s">
        <v>345</v>
      </c>
      <c r="H12" s="400" t="s">
        <v>45</v>
      </c>
      <c r="I12" s="387"/>
      <c r="J12" s="402">
        <v>26458.41</v>
      </c>
      <c r="K12" s="387"/>
      <c r="L12" s="403">
        <v>0</v>
      </c>
      <c r="M12" s="389"/>
    </row>
    <row r="13" spans="2:13">
      <c r="B13" s="428"/>
      <c r="C13" s="369" t="s">
        <v>512</v>
      </c>
      <c r="D13" s="370" t="s">
        <v>543</v>
      </c>
      <c r="E13" s="370" t="s">
        <v>45</v>
      </c>
      <c r="F13" s="368" t="s">
        <v>117</v>
      </c>
      <c r="G13" s="370" t="s">
        <v>345</v>
      </c>
      <c r="H13" s="370" t="s">
        <v>45</v>
      </c>
      <c r="I13" s="22"/>
      <c r="J13" s="383">
        <v>20000</v>
      </c>
      <c r="K13" s="22"/>
      <c r="L13" s="384">
        <v>0</v>
      </c>
      <c r="M13" s="390"/>
    </row>
    <row r="14" spans="2:13">
      <c r="B14" s="428"/>
      <c r="C14" s="369" t="s">
        <v>512</v>
      </c>
      <c r="D14" s="370" t="s">
        <v>544</v>
      </c>
      <c r="E14" s="370" t="s">
        <v>44</v>
      </c>
      <c r="F14" s="368" t="s">
        <v>117</v>
      </c>
      <c r="G14" s="370" t="s">
        <v>345</v>
      </c>
      <c r="H14" s="370" t="s">
        <v>45</v>
      </c>
      <c r="I14" s="22"/>
      <c r="J14" s="372">
        <v>5000</v>
      </c>
      <c r="K14" s="22"/>
      <c r="L14" s="385">
        <v>0</v>
      </c>
      <c r="M14" s="390"/>
    </row>
    <row r="15" spans="2:13">
      <c r="B15" s="428"/>
      <c r="C15" s="369" t="s">
        <v>541</v>
      </c>
      <c r="D15" s="370" t="s">
        <v>545</v>
      </c>
      <c r="E15" s="370" t="s">
        <v>44</v>
      </c>
      <c r="F15" s="368" t="s">
        <v>117</v>
      </c>
      <c r="G15" s="370" t="s">
        <v>345</v>
      </c>
      <c r="H15" s="370" t="s">
        <v>44</v>
      </c>
      <c r="I15" s="22"/>
      <c r="J15" s="372">
        <v>11486.09</v>
      </c>
      <c r="K15" s="22"/>
      <c r="L15" s="385">
        <v>0</v>
      </c>
      <c r="M15" s="390"/>
    </row>
    <row r="16" spans="2:13">
      <c r="B16" s="428"/>
      <c r="C16" s="369" t="s">
        <v>512</v>
      </c>
      <c r="D16" s="370" t="s">
        <v>546</v>
      </c>
      <c r="E16" s="370" t="s">
        <v>44</v>
      </c>
      <c r="F16" s="368" t="s">
        <v>117</v>
      </c>
      <c r="G16" s="370" t="s">
        <v>345</v>
      </c>
      <c r="H16" s="370" t="s">
        <v>45</v>
      </c>
      <c r="I16" s="22"/>
      <c r="J16" s="372">
        <v>8590</v>
      </c>
      <c r="K16" s="22"/>
      <c r="L16" s="385">
        <v>0</v>
      </c>
      <c r="M16" s="390"/>
    </row>
    <row r="17" spans="2:13">
      <c r="B17" s="428"/>
      <c r="C17" s="369" t="s">
        <v>541</v>
      </c>
      <c r="D17" s="370" t="s">
        <v>547</v>
      </c>
      <c r="E17" s="370" t="s">
        <v>45</v>
      </c>
      <c r="F17" s="368" t="s">
        <v>117</v>
      </c>
      <c r="G17" s="370" t="s">
        <v>345</v>
      </c>
      <c r="H17" s="370" t="s">
        <v>44</v>
      </c>
      <c r="I17" s="22"/>
      <c r="J17" s="372">
        <v>13531.55</v>
      </c>
      <c r="K17" s="22"/>
      <c r="L17" s="385">
        <v>0</v>
      </c>
      <c r="M17" s="390"/>
    </row>
    <row r="18" spans="2:13">
      <c r="B18" s="428"/>
      <c r="C18" s="369" t="s">
        <v>541</v>
      </c>
      <c r="D18" s="370" t="s">
        <v>548</v>
      </c>
      <c r="E18" s="370" t="s">
        <v>44</v>
      </c>
      <c r="F18" s="368" t="s">
        <v>117</v>
      </c>
      <c r="G18" s="370" t="s">
        <v>345</v>
      </c>
      <c r="H18" s="370" t="s">
        <v>44</v>
      </c>
      <c r="I18" s="22"/>
      <c r="J18" s="372">
        <v>48675</v>
      </c>
      <c r="K18" s="22"/>
      <c r="L18" s="385">
        <v>0</v>
      </c>
      <c r="M18" s="390"/>
    </row>
    <row r="19" spans="2:13" ht="15" customHeight="1">
      <c r="B19" s="428"/>
      <c r="C19" s="404" t="s">
        <v>541</v>
      </c>
      <c r="D19" s="405" t="s">
        <v>549</v>
      </c>
      <c r="E19" s="405" t="s">
        <v>44</v>
      </c>
      <c r="F19" s="406" t="s">
        <v>117</v>
      </c>
      <c r="G19" s="405" t="s">
        <v>345</v>
      </c>
      <c r="H19" s="405" t="s">
        <v>44</v>
      </c>
      <c r="I19" s="99"/>
      <c r="J19" s="407">
        <v>2655.75</v>
      </c>
      <c r="K19" s="99"/>
      <c r="L19" s="408">
        <v>0</v>
      </c>
      <c r="M19" s="409"/>
    </row>
    <row r="20" spans="2:13" ht="15" customHeight="1">
      <c r="B20" s="586" t="s">
        <v>551</v>
      </c>
      <c r="C20" s="411" t="s">
        <v>541</v>
      </c>
      <c r="D20" s="412" t="s">
        <v>548</v>
      </c>
      <c r="E20" s="413" t="s">
        <v>45</v>
      </c>
      <c r="F20" s="414" t="s">
        <v>117</v>
      </c>
      <c r="G20" s="413" t="s">
        <v>345</v>
      </c>
      <c r="H20" s="415" t="s">
        <v>44</v>
      </c>
      <c r="I20" s="387"/>
      <c r="J20" s="416">
        <v>42222</v>
      </c>
      <c r="K20" s="387"/>
      <c r="L20" s="402">
        <v>0</v>
      </c>
      <c r="M20" s="418" t="s">
        <v>552</v>
      </c>
    </row>
    <row r="21" spans="2:13" ht="15" customHeight="1">
      <c r="B21" s="428"/>
      <c r="C21" s="411" t="s">
        <v>541</v>
      </c>
      <c r="D21" s="413" t="s">
        <v>553</v>
      </c>
      <c r="E21" s="413" t="s">
        <v>44</v>
      </c>
      <c r="F21" s="413" t="s">
        <v>117</v>
      </c>
      <c r="G21" s="413" t="s">
        <v>345</v>
      </c>
      <c r="H21" s="415" t="s">
        <v>44</v>
      </c>
      <c r="I21" s="22"/>
      <c r="J21" s="366">
        <v>20722</v>
      </c>
      <c r="K21" s="22"/>
      <c r="L21" s="383">
        <v>0</v>
      </c>
      <c r="M21" s="418" t="s">
        <v>552</v>
      </c>
    </row>
    <row r="22" spans="2:13" ht="15" customHeight="1">
      <c r="B22" s="428"/>
      <c r="C22" s="411" t="s">
        <v>512</v>
      </c>
      <c r="D22" s="413" t="s">
        <v>554</v>
      </c>
      <c r="E22" s="413" t="s">
        <v>45</v>
      </c>
      <c r="F22" s="413" t="s">
        <v>117</v>
      </c>
      <c r="G22" s="413" t="s">
        <v>345</v>
      </c>
      <c r="H22" s="415" t="s">
        <v>45</v>
      </c>
      <c r="I22" s="22"/>
      <c r="J22" s="416">
        <v>19880</v>
      </c>
      <c r="K22" s="22"/>
      <c r="L22" s="383">
        <v>0</v>
      </c>
      <c r="M22" s="418" t="s">
        <v>552</v>
      </c>
    </row>
    <row r="23" spans="2:13" ht="15" customHeight="1">
      <c r="B23" s="428"/>
      <c r="C23" s="411" t="s">
        <v>512</v>
      </c>
      <c r="D23" s="413" t="s">
        <v>544</v>
      </c>
      <c r="E23" s="413" t="s">
        <v>44</v>
      </c>
      <c r="F23" s="413" t="s">
        <v>117</v>
      </c>
      <c r="G23" s="413" t="s">
        <v>345</v>
      </c>
      <c r="H23" s="415" t="s">
        <v>45</v>
      </c>
      <c r="I23" s="22"/>
      <c r="J23" s="417">
        <v>5000</v>
      </c>
      <c r="K23" s="22"/>
      <c r="L23" s="372">
        <v>0</v>
      </c>
      <c r="M23" s="418" t="s">
        <v>552</v>
      </c>
    </row>
    <row r="24" spans="2:13" ht="15" customHeight="1">
      <c r="B24" s="428"/>
      <c r="C24" s="411" t="s">
        <v>541</v>
      </c>
      <c r="D24" s="413" t="s">
        <v>545</v>
      </c>
      <c r="E24" s="413" t="s">
        <v>44</v>
      </c>
      <c r="F24" s="413" t="s">
        <v>117</v>
      </c>
      <c r="G24" s="413" t="s">
        <v>345</v>
      </c>
      <c r="H24" s="415" t="s">
        <v>44</v>
      </c>
      <c r="I24" s="22"/>
      <c r="J24" s="366">
        <v>11486.09</v>
      </c>
      <c r="K24" s="22"/>
      <c r="L24" s="372">
        <v>0</v>
      </c>
      <c r="M24" s="418" t="s">
        <v>552</v>
      </c>
    </row>
    <row r="25" spans="2:13" ht="15" customHeight="1">
      <c r="B25" s="428"/>
      <c r="C25" s="411" t="s">
        <v>512</v>
      </c>
      <c r="D25" s="413" t="s">
        <v>546</v>
      </c>
      <c r="E25" s="413" t="s">
        <v>44</v>
      </c>
      <c r="F25" s="413" t="s">
        <v>117</v>
      </c>
      <c r="G25" s="413" t="s">
        <v>345</v>
      </c>
      <c r="H25" s="415" t="s">
        <v>45</v>
      </c>
      <c r="I25" s="22"/>
      <c r="J25" s="417">
        <v>8590</v>
      </c>
      <c r="K25" s="22"/>
      <c r="L25" s="372">
        <v>0</v>
      </c>
      <c r="M25" s="418" t="s">
        <v>552</v>
      </c>
    </row>
    <row r="26" spans="2:13" ht="15" customHeight="1">
      <c r="B26" s="429"/>
      <c r="C26" s="411" t="s">
        <v>541</v>
      </c>
      <c r="D26" s="413" t="s">
        <v>547</v>
      </c>
      <c r="E26" s="413" t="s">
        <v>45</v>
      </c>
      <c r="F26" s="413" t="s">
        <v>117</v>
      </c>
      <c r="G26" s="413" t="s">
        <v>345</v>
      </c>
      <c r="H26" s="415" t="s">
        <v>44</v>
      </c>
      <c r="I26" s="393"/>
      <c r="J26" s="366">
        <v>13531.55</v>
      </c>
      <c r="K26" s="393"/>
      <c r="L26" s="410">
        <v>0</v>
      </c>
      <c r="M26" s="418" t="s">
        <v>552</v>
      </c>
    </row>
    <row r="27" spans="2:13" ht="15" customHeight="1"/>
  </sheetData>
  <mergeCells count="3">
    <mergeCell ref="B3:B11"/>
    <mergeCell ref="B12:B19"/>
    <mergeCell ref="B20:B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89999084444715716"/>
  </sheetPr>
  <dimension ref="A1"/>
  <sheetViews>
    <sheetView showGridLines="0" workbookViewId="0">
      <selection activeCell="O19" sqref="O19"/>
    </sheetView>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
  <sheetViews>
    <sheetView showGridLines="0" workbookViewId="0">
      <selection activeCell="B2" sqref="B2"/>
    </sheetView>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
  <sheetViews>
    <sheetView showGridLines="0"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89999084444715716"/>
  </sheetPr>
  <dimension ref="B3:E3"/>
  <sheetViews>
    <sheetView workbookViewId="0">
      <selection activeCell="E12" sqref="E12"/>
    </sheetView>
  </sheetViews>
  <sheetFormatPr defaultRowHeight="15"/>
  <cols>
    <col min="2" max="2" width="11" bestFit="1" customWidth="1"/>
    <col min="3" max="3" width="12.42578125" bestFit="1" customWidth="1"/>
    <col min="4" max="4" width="20.28515625" bestFit="1" customWidth="1"/>
    <col min="5" max="5" width="100.5703125" customWidth="1"/>
  </cols>
  <sheetData>
    <row r="3" spans="2:5">
      <c r="B3" t="s">
        <v>555</v>
      </c>
      <c r="C3" t="s">
        <v>556</v>
      </c>
      <c r="D3" t="s">
        <v>557</v>
      </c>
      <c r="E3" t="s">
        <v>558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9.9978637043366805E-2"/>
  </sheetPr>
  <dimension ref="B1:C11"/>
  <sheetViews>
    <sheetView showGridLines="0" workbookViewId="0">
      <selection activeCell="D33" sqref="D33"/>
    </sheetView>
  </sheetViews>
  <sheetFormatPr defaultRowHeight="15"/>
  <cols>
    <col min="1" max="1" width="3.140625" customWidth="1"/>
    <col min="2" max="2" width="51" customWidth="1"/>
    <col min="3" max="3" width="56.140625" bestFit="1" customWidth="1"/>
  </cols>
  <sheetData>
    <row r="1" spans="2:3" ht="15" customHeight="1" thickBot="1"/>
    <row r="2" spans="2:3" ht="15" customHeight="1" thickBot="1">
      <c r="B2" s="7" t="s">
        <v>7</v>
      </c>
      <c r="C2" s="7" t="s">
        <v>559</v>
      </c>
    </row>
    <row r="3" spans="2:3">
      <c r="B3" s="589" t="s">
        <v>19</v>
      </c>
      <c r="C3" s="588" t="s">
        <v>560</v>
      </c>
    </row>
    <row r="4" spans="2:3">
      <c r="B4" s="428"/>
      <c r="C4" s="439"/>
    </row>
    <row r="5" spans="2:3">
      <c r="B5" s="429"/>
      <c r="C5" s="9" t="s">
        <v>561</v>
      </c>
    </row>
    <row r="6" spans="2:3" ht="29.1" customHeight="1">
      <c r="B6" s="587" t="s">
        <v>62</v>
      </c>
      <c r="C6" s="9" t="s">
        <v>562</v>
      </c>
    </row>
    <row r="7" spans="2:3" ht="29.1" customHeight="1">
      <c r="B7" s="429"/>
      <c r="C7" s="9" t="s">
        <v>563</v>
      </c>
    </row>
    <row r="8" spans="2:3" ht="72.599999999999994" customHeight="1">
      <c r="B8" s="8" t="s">
        <v>88</v>
      </c>
      <c r="C8" s="9" t="s">
        <v>564</v>
      </c>
    </row>
    <row r="9" spans="2:3" ht="57.95" customHeight="1">
      <c r="B9" s="8" t="s">
        <v>93</v>
      </c>
      <c r="C9" s="9" t="s">
        <v>565</v>
      </c>
    </row>
    <row r="10" spans="2:3">
      <c r="B10" s="8" t="s">
        <v>97</v>
      </c>
      <c r="C10" s="9" t="s">
        <v>566</v>
      </c>
    </row>
    <row r="11" spans="2:3" ht="15" customHeight="1" thickBot="1">
      <c r="B11" s="10" t="s">
        <v>101</v>
      </c>
      <c r="C11" s="11"/>
    </row>
  </sheetData>
  <mergeCells count="3">
    <mergeCell ref="B6:B7"/>
    <mergeCell ref="C3:C4"/>
    <mergeCell ref="B3: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Site Selection Scorecard</vt:lpstr>
      <vt:lpstr>CAR Approval Page 0</vt:lpstr>
      <vt:lpstr>FA Inputs</vt:lpstr>
      <vt:lpstr>Topology Map</vt:lpstr>
      <vt:lpstr>Dropdowns (Hidden)</vt:lpstr>
      <vt:lpstr>Cash Flow</vt:lpstr>
      <vt:lpstr>Comps</vt:lpstr>
      <vt:lpstr>Cost Estimation</vt:lpstr>
      <vt:lpstr>Startup Templates</vt:lpstr>
      <vt:lpstr>Design</vt:lpstr>
      <vt:lpstr>Site Pictures</vt:lpstr>
      <vt:lpstr>Landlord Work</vt:lpstr>
      <vt:lpstr>Change Log</vt:lpstr>
      <vt:lpstr>Scorecard Category_Definitions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Blethen, Trace</dc:creator>
  <cp:lastModifiedBy>Kirkham, Jason [C]</cp:lastModifiedBy>
  <dcterms:created xsi:type="dcterms:W3CDTF">2025-06-05T17:39:43Z</dcterms:created>
  <dcterms:modified xsi:type="dcterms:W3CDTF">2026-05-22T15:11:40Z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9eed6f-34eb-4453-9f97-09510b9b219f_Enabled">
    <vt:lpwstr>true</vt:lpwstr>
  </property>
  <property fmtid="{D5CDD505-2E9C-101B-9397-08002B2CF9AE}" pid="3" name="MSIP_Label_929eed6f-34eb-4453-9f97-09510b9b219f_SetDate">
    <vt:lpwstr>2025-06-05T17:40:59Z</vt:lpwstr>
  </property>
  <property fmtid="{D5CDD505-2E9C-101B-9397-08002B2CF9AE}" pid="4" name="MSIP_Label_929eed6f-34eb-4453-9f97-09510b9b219f_Method">
    <vt:lpwstr>Standard</vt:lpwstr>
  </property>
  <property fmtid="{D5CDD505-2E9C-101B-9397-08002B2CF9AE}" pid="5" name="MSIP_Label_929eed6f-34eb-4453-9f97-09510b9b219f_Name">
    <vt:lpwstr>Amazon Pending_Classification</vt:lpwstr>
  </property>
  <property fmtid="{D5CDD505-2E9C-101B-9397-08002B2CF9AE}" pid="6" name="MSIP_Label_929eed6f-34eb-4453-9f97-09510b9b219f_SiteId">
    <vt:lpwstr>5280104a-472d-4538-9ccf-1e1d0efe8b1b</vt:lpwstr>
  </property>
  <property fmtid="{D5CDD505-2E9C-101B-9397-08002B2CF9AE}" pid="7" name="MSIP_Label_929eed6f-34eb-4453-9f97-09510b9b219f_ActionId">
    <vt:lpwstr>d8255d3d-c54b-4b48-9bd8-a539a0ed0997</vt:lpwstr>
  </property>
  <property fmtid="{D5CDD505-2E9C-101B-9397-08002B2CF9AE}" pid="8" name="MSIP_Label_929eed6f-34eb-4453-9f97-09510b9b219f_ContentBits">
    <vt:lpwstr>0</vt:lpwstr>
  </property>
  <property fmtid="{D5CDD505-2E9C-101B-9397-08002B2CF9AE}" pid="9" name="MSIP_Label_929eed6f-34eb-4453-9f97-09510b9b219f_Tag">
    <vt:lpwstr>10, 3, 0, 1</vt:lpwstr>
  </property>
  <property fmtid="{D5CDD505-2E9C-101B-9397-08002B2CF9AE}" pid="10" name="ContentTypeId">
    <vt:lpwstr>0x010100DB6F55B1ED12B14CA23F7B68F4FF7F36</vt:lpwstr>
  </property>
</Properties>
</file>