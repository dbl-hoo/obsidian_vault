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amazon-my.sharepoint.com/personal/baylaurx_amazon_com/Documents/Proccess WD/AMZL/"/>
    </mc:Choice>
  </mc:AlternateContent>
  <xr:revisionPtr revIDLastSave="0" documentId="8_{6F7CAC46-9C68-472C-806B-E694A110CB12}" xr6:coauthVersionLast="47" xr6:coauthVersionMax="47" xr10:uidLastSave="{00000000-0000-0000-0000-000000000000}"/>
  <bookViews>
    <workbookView xWindow="-51686" yWindow="0" windowWidth="25972" windowHeight="20966" xr2:uid="{00000000-000D-0000-FFFF-FFFF00000000}"/>
  </bookViews>
  <sheets>
    <sheet name="BTS Design Requirement Template" sheetId="1" r:id="rId1"/>
  </sheets>
  <definedNames>
    <definedName name="_xlnm.Print_Area" localSheetId="0">'BTS Design Requirement Template'!$A$1:$N$29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H8" i="1" l="1"/>
  <c r="F8" i="1"/>
  <c r="F25" i="1" l="1"/>
  <c r="H25" i="1"/>
  <c r="G25" i="1" l="1"/>
  <c r="I25" i="1"/>
  <c r="J25" i="1"/>
  <c r="J20" i="1" l="1"/>
  <c r="I20" i="1"/>
  <c r="G20" i="1"/>
  <c r="D8" i="1" l="1"/>
  <c r="D26" i="1"/>
  <c r="D27" i="1" s="1"/>
  <c r="E26" i="1"/>
  <c r="E27" i="1" s="1"/>
  <c r="E25" i="1"/>
  <c r="D25" i="1" l="1"/>
  <c r="L25" i="1" l="1"/>
  <c r="M25" i="1"/>
  <c r="K25" i="1"/>
  <c r="K20" i="1" l="1"/>
  <c r="L20" i="1"/>
  <c r="M20" i="1"/>
</calcChain>
</file>

<file path=xl/sharedStrings.xml><?xml version="1.0" encoding="utf-8"?>
<sst xmlns="http://schemas.openxmlformats.org/spreadsheetml/2006/main" count="102" uniqueCount="86">
  <si>
    <t>XXS</t>
  </si>
  <si>
    <t>XS</t>
  </si>
  <si>
    <t>S</t>
  </si>
  <si>
    <t>M</t>
  </si>
  <si>
    <t>L</t>
  </si>
  <si>
    <t>XL</t>
  </si>
  <si>
    <t>Tab Name</t>
  </si>
  <si>
    <t>DRS - BTS_1W1F</t>
  </si>
  <si>
    <t>DRS - BTS_2W2F</t>
  </si>
  <si>
    <t>DRS - BTS_2W3F</t>
  </si>
  <si>
    <t>DRS - BTS_2W4F_SS</t>
  </si>
  <si>
    <t>DRS - BTS_2W4F_DS</t>
  </si>
  <si>
    <t>DRS - BTS_2W6F_DS</t>
  </si>
  <si>
    <t>Delivery Station Type</t>
  </si>
  <si>
    <t>DS Design Type 
(MHE Platform)</t>
  </si>
  <si>
    <t>Loading Type</t>
  </si>
  <si>
    <t>Usable Acreage (acre)</t>
  </si>
  <si>
    <t>Building Size (sqft)</t>
  </si>
  <si>
    <t>Building Dims (Approx)</t>
  </si>
  <si>
    <t>Office Size (sqft)</t>
  </si>
  <si>
    <t>Main Sort Engine</t>
  </si>
  <si>
    <t>Small Sort Engine</t>
  </si>
  <si>
    <t>Target Sort Zones</t>
  </si>
  <si>
    <t>Total Daily Capacity</t>
  </si>
  <si>
    <t>Min # of Docks</t>
  </si>
  <si>
    <t>Min # of Loading Spots</t>
  </si>
  <si>
    <t>Template Loading Spots</t>
  </si>
  <si>
    <t># of Van Parking Stall (27' x 11')</t>
  </si>
  <si>
    <t>Total Parking Requirements</t>
  </si>
  <si>
    <t># of Total AA 
(Sort + P&amp;S)</t>
  </si>
  <si>
    <t>Breakroom Capacity</t>
  </si>
  <si>
    <t>Bathroom Fixtures</t>
  </si>
  <si>
    <t>1-Way, 1-Finger</t>
  </si>
  <si>
    <t>2-Way, 2-Finger</t>
  </si>
  <si>
    <t>2-Way, 3-Finger</t>
  </si>
  <si>
    <t>2-Way, 4-Finger</t>
  </si>
  <si>
    <t>2-Way, 6-Finger</t>
  </si>
  <si>
    <t>1-Way, 1-Finger;</t>
  </si>
  <si>
    <t>2-Way, 2-Finger;</t>
  </si>
  <si>
    <t>2-Way, 3-Finger; |HSD</t>
  </si>
  <si>
    <t>2-Way, 4-Finger; DTB, HSD|HSD</t>
  </si>
  <si>
    <t>2-Way, 6-Finger; DTB, HSD-HSD|HSD-HSD</t>
  </si>
  <si>
    <t>Single Side - OPL</t>
  </si>
  <si>
    <t>Dual Side - OPL</t>
  </si>
  <si>
    <t>MC Sort Span (Hrs)</t>
  </si>
  <si>
    <t>C0 Sort Span (Hrs)</t>
  </si>
  <si>
    <t>MC Sort Capacity</t>
  </si>
  <si>
    <t>C0 Sort Capacity</t>
  </si>
  <si>
    <t>Pick Cart Staging</t>
  </si>
  <si>
    <t>620 x 228</t>
  </si>
  <si>
    <t>726 x 250</t>
  </si>
  <si>
    <t>876 x 250</t>
  </si>
  <si>
    <t>Social Distancing- 38</t>
  </si>
  <si>
    <t>Social Distancing- 44</t>
  </si>
  <si>
    <t>Social Distancing- 57</t>
  </si>
  <si>
    <t>13-18</t>
  </si>
  <si>
    <t>39-46</t>
  </si>
  <si>
    <t>47-53</t>
  </si>
  <si>
    <t xml:space="preserve">Micro </t>
  </si>
  <si>
    <t>1-Way, 1/2-Finger</t>
  </si>
  <si>
    <t>1-Way, 1-Finger (Short)</t>
  </si>
  <si>
    <t>8-12</t>
  </si>
  <si>
    <t>260 x 120</t>
  </si>
  <si>
    <t>210 x 120</t>
  </si>
  <si>
    <t>5-7</t>
  </si>
  <si>
    <t>330 x 191</t>
  </si>
  <si>
    <t># of Car Parking Stall (18' x 9')</t>
  </si>
  <si>
    <t>19-25</t>
  </si>
  <si>
    <t>25-31</t>
  </si>
  <si>
    <t>31-38</t>
  </si>
  <si>
    <t>Micro</t>
  </si>
  <si>
    <t>10,776 (including mezzanine)</t>
  </si>
  <si>
    <t>12,875 (including mezzanine)</t>
  </si>
  <si>
    <t>507 x 244</t>
  </si>
  <si>
    <t>374 x 259</t>
  </si>
  <si>
    <t>2-Way, 4-Finger; Tsort|Tsort</t>
  </si>
  <si>
    <t>XS Multi Level</t>
  </si>
  <si>
    <t>11.1-13</t>
  </si>
  <si>
    <t>62,855 (mezzanine concept)</t>
  </si>
  <si>
    <t>96,957 (mezzanine concept)</t>
  </si>
  <si>
    <t>XXS Multi Level</t>
  </si>
  <si>
    <t>343 x 234</t>
  </si>
  <si>
    <t>5.5-8</t>
  </si>
  <si>
    <t>5 (6 shown on template)</t>
  </si>
  <si>
    <t>396 x 269</t>
  </si>
  <si>
    <t>BTS Station Size DRS 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</si>
</sst>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BFEFF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6D5F3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164" fontId="0" fillId="0" borderId="0"/>
  </cellStyleXfs>
  <cellXfs count="138">
    <xf numFmtId="164" fontId="0" fillId="0" borderId="0" xfId="0"/>
    <xf numFmtId="164" fontId="1" fillId="2" borderId="1" xfId="0" applyFont="1" applyFill="1" applyBorder="1" applyAlignment="1">
      <alignment horizontal="center"/>
    </xf>
    <xf numFmtId="164" fontId="1" fillId="2" borderId="2" xfId="0" applyFont="1" applyFill="1" applyBorder="1" applyAlignment="1">
      <alignment horizontal="center"/>
    </xf>
    <xf numFmtId="164" fontId="1" fillId="2" borderId="3" xfId="0" applyFont="1" applyFill="1" applyBorder="1" applyAlignment="1">
      <alignment horizontal="center"/>
    </xf>
    <xf numFmtId="164" fontId="1" fillId="2" borderId="4" xfId="0" applyFont="1" applyFill="1" applyBorder="1" applyAlignment="1">
      <alignment horizontal="center"/>
    </xf>
    <xf numFmtId="164" fontId="0" fillId="3" borderId="5" xfId="0" applyFill="1" applyBorder="1" applyAlignment="1">
      <alignment horizontal="left" indent="1"/>
    </xf>
    <xf numFmtId="164" fontId="0" fillId="0" borderId="6" xfId="0" applyBorder="1" applyAlignment="1">
      <alignment horizontal="right" indent="1"/>
    </xf>
    <xf numFmtId="164" fontId="0" fillId="4" borderId="7" xfId="0" applyFill="1" applyBorder="1" applyAlignment="1">
      <alignment horizontal="right" indent="1"/>
    </xf>
    <xf numFmtId="164" fontId="0" fillId="0" borderId="7" xfId="0" applyBorder="1" applyAlignment="1">
      <alignment horizontal="right" indent="1"/>
    </xf>
    <xf numFmtId="164" fontId="0" fillId="4" borderId="8" xfId="0" applyFill="1" applyBorder="1" applyAlignment="1">
      <alignment horizontal="right" indent="1"/>
    </xf>
    <xf numFmtId="164" fontId="0" fillId="3" borderId="9" xfId="0" applyFill="1" applyBorder="1" applyAlignment="1">
      <alignment horizontal="left" indent="1"/>
    </xf>
    <xf numFmtId="164" fontId="2" fillId="0" borderId="10" xfId="0" applyFont="1" applyBorder="1" applyAlignment="1">
      <alignment horizontal="right" indent="1" shrinkToFit="1"/>
    </xf>
    <xf numFmtId="164" fontId="2" fillId="4" borderId="11" xfId="0" applyFont="1" applyFill="1" applyBorder="1" applyAlignment="1">
      <alignment horizontal="right" indent="1" shrinkToFit="1"/>
    </xf>
    <xf numFmtId="164" fontId="2" fillId="0" borderId="11" xfId="0" applyFont="1" applyBorder="1" applyAlignment="1">
      <alignment horizontal="right" indent="1" shrinkToFit="1"/>
    </xf>
    <xf numFmtId="164" fontId="2" fillId="4" borderId="12" xfId="0" applyFont="1" applyFill="1" applyBorder="1" applyAlignment="1">
      <alignment horizontal="right" indent="1" shrinkToFit="1"/>
    </xf>
    <xf numFmtId="164" fontId="0" fillId="3" borderId="13" xfId="0" applyFill="1" applyBorder="1" applyAlignment="1">
      <alignment horizontal="left" indent="1"/>
    </xf>
    <xf numFmtId="164" fontId="2" fillId="0" borderId="14" xfId="0" applyFont="1" applyBorder="1" applyAlignment="1">
      <alignment horizontal="right" indent="1"/>
    </xf>
    <xf numFmtId="164" fontId="0" fillId="4" borderId="15" xfId="0" applyFill="1" applyBorder="1" applyAlignment="1">
      <alignment horizontal="right" indent="1"/>
    </xf>
    <xf numFmtId="164" fontId="0" fillId="0" borderId="15" xfId="0" applyBorder="1" applyAlignment="1">
      <alignment horizontal="right" indent="1"/>
    </xf>
    <xf numFmtId="164" fontId="0" fillId="4" borderId="16" xfId="0" applyFill="1" applyBorder="1" applyAlignment="1">
      <alignment horizontal="right" indent="1"/>
    </xf>
    <xf numFmtId="164" fontId="0" fillId="5" borderId="17" xfId="0" applyFill="1" applyBorder="1" applyAlignment="1">
      <alignment horizontal="left" indent="1"/>
    </xf>
    <xf numFmtId="164" fontId="0" fillId="5" borderId="9" xfId="0" applyFill="1" applyBorder="1" applyAlignment="1">
      <alignment horizontal="left" indent="1"/>
    </xf>
    <xf numFmtId="3" fontId="0" fillId="0" borderId="10" xfId="0" applyNumberFormat="1" applyBorder="1" applyAlignment="1">
      <alignment horizontal="right" indent="1"/>
    </xf>
    <xf numFmtId="3" fontId="0" fillId="4" borderId="11" xfId="0" applyNumberFormat="1" applyFill="1" applyBorder="1" applyAlignment="1">
      <alignment horizontal="right" indent="1"/>
    </xf>
    <xf numFmtId="3" fontId="0" fillId="0" borderId="11" xfId="0" applyNumberFormat="1" applyBorder="1" applyAlignment="1">
      <alignment horizontal="right" indent="1"/>
    </xf>
    <xf numFmtId="3" fontId="0" fillId="4" borderId="12" xfId="0" applyNumberFormat="1" applyFill="1" applyBorder="1" applyAlignment="1">
      <alignment horizontal="right" indent="1"/>
    </xf>
    <xf numFmtId="164" fontId="0" fillId="5" borderId="21" xfId="0" applyFill="1" applyBorder="1" applyAlignment="1">
      <alignment horizontal="left" indent="1"/>
    </xf>
    <xf numFmtId="164" fontId="0" fillId="6" borderId="17" xfId="0" applyFill="1" applyBorder="1" applyAlignment="1">
      <alignment horizontal="left" indent="1"/>
    </xf>
    <xf numFmtId="164" fontId="0" fillId="6" borderId="21" xfId="0" applyFill="1" applyBorder="1" applyAlignment="1">
      <alignment horizontal="left" indent="1"/>
    </xf>
    <xf numFmtId="164" fontId="0" fillId="7" borderId="17" xfId="0" applyFill="1" applyBorder="1" applyAlignment="1">
      <alignment horizontal="left" indent="1"/>
    </xf>
    <xf numFmtId="164" fontId="0" fillId="7" borderId="9" xfId="0" applyFill="1" applyBorder="1" applyAlignment="1">
      <alignment horizontal="left" indent="1"/>
    </xf>
    <xf numFmtId="164" fontId="0" fillId="7" borderId="21" xfId="0" applyFill="1" applyBorder="1" applyAlignment="1">
      <alignment horizontal="left" indent="1"/>
    </xf>
    <xf numFmtId="164" fontId="0" fillId="8" borderId="17" xfId="0" applyFill="1" applyBorder="1" applyAlignment="1">
      <alignment horizontal="left" indent="1"/>
    </xf>
    <xf numFmtId="164" fontId="0" fillId="8" borderId="9" xfId="0" applyFill="1" applyBorder="1" applyAlignment="1">
      <alignment horizontal="left" indent="1"/>
    </xf>
    <xf numFmtId="164" fontId="0" fillId="8" borderId="25" xfId="0" applyFill="1" applyBorder="1" applyAlignment="1">
      <alignment horizontal="left" indent="1"/>
    </xf>
    <xf numFmtId="164" fontId="0" fillId="9" borderId="17" xfId="0" applyFill="1" applyBorder="1" applyAlignment="1">
      <alignment horizontal="left" indent="1"/>
    </xf>
    <xf numFmtId="164" fontId="0" fillId="9" borderId="9" xfId="0" applyFill="1" applyBorder="1" applyAlignment="1">
      <alignment horizontal="left" indent="1"/>
    </xf>
    <xf numFmtId="164" fontId="0" fillId="9" borderId="21" xfId="0" applyFill="1" applyBorder="1" applyAlignment="1">
      <alignment horizontal="left" indent="1"/>
    </xf>
    <xf numFmtId="164" fontId="0" fillId="10" borderId="5" xfId="0" applyFill="1" applyBorder="1" applyAlignment="1">
      <alignment horizontal="left" indent="1"/>
    </xf>
    <xf numFmtId="164" fontId="0" fillId="10" borderId="9" xfId="0" applyFill="1" applyBorder="1" applyAlignment="1">
      <alignment horizontal="left" indent="1"/>
    </xf>
    <xf numFmtId="164" fontId="0" fillId="10" borderId="29" xfId="0" applyFill="1" applyBorder="1" applyAlignment="1">
      <alignment horizontal="left" indent="1"/>
    </xf>
    <xf numFmtId="3" fontId="0" fillId="0" borderId="0" xfId="0" applyNumberFormat="1"/>
    <xf numFmtId="3" fontId="3" fillId="4" borderId="19" xfId="0" applyNumberFormat="1" applyFont="1" applyFill="1" applyBorder="1" applyAlignment="1">
      <alignment horizontal="right" indent="1"/>
    </xf>
    <xf numFmtId="3" fontId="3" fillId="4" borderId="11" xfId="0" applyNumberFormat="1" applyFont="1" applyFill="1" applyBorder="1" applyAlignment="1">
      <alignment horizontal="right" indent="1"/>
    </xf>
    <xf numFmtId="165" fontId="3" fillId="4" borderId="11" xfId="0" applyNumberFormat="1" applyFont="1" applyFill="1" applyBorder="1" applyAlignment="1">
      <alignment horizontal="right" indent="1"/>
    </xf>
    <xf numFmtId="3" fontId="3" fillId="4" borderId="23" xfId="0" applyNumberFormat="1" applyFont="1" applyFill="1" applyBorder="1" applyAlignment="1">
      <alignment horizontal="right" indent="1"/>
    </xf>
    <xf numFmtId="164" fontId="4" fillId="4" borderId="11" xfId="0" applyFont="1" applyFill="1" applyBorder="1" applyAlignment="1">
      <alignment horizontal="right" indent="1"/>
    </xf>
    <xf numFmtId="3" fontId="3" fillId="0" borderId="11" xfId="0" applyNumberFormat="1" applyFont="1" applyBorder="1" applyAlignment="1">
      <alignment horizontal="right" indent="1"/>
    </xf>
    <xf numFmtId="3" fontId="3" fillId="4" borderId="12" xfId="0" applyNumberFormat="1" applyFont="1" applyFill="1" applyBorder="1" applyAlignment="1">
      <alignment horizontal="right" indent="1"/>
    </xf>
    <xf numFmtId="164" fontId="4" fillId="0" borderId="11" xfId="0" applyFont="1" applyBorder="1" applyAlignment="1">
      <alignment horizontal="right" indent="1"/>
    </xf>
    <xf numFmtId="164" fontId="4" fillId="4" borderId="12" xfId="0" applyFont="1" applyFill="1" applyBorder="1" applyAlignment="1">
      <alignment horizontal="right" indent="1"/>
    </xf>
    <xf numFmtId="3" fontId="3" fillId="0" borderId="19" xfId="0" applyNumberFormat="1" applyFont="1" applyBorder="1" applyAlignment="1">
      <alignment horizontal="right" indent="1"/>
    </xf>
    <xf numFmtId="3" fontId="3" fillId="4" borderId="20" xfId="0" applyNumberFormat="1" applyFont="1" applyFill="1" applyBorder="1" applyAlignment="1">
      <alignment horizontal="right" indent="1"/>
    </xf>
    <xf numFmtId="3" fontId="3" fillId="0" borderId="23" xfId="0" applyNumberFormat="1" applyFont="1" applyBorder="1" applyAlignment="1">
      <alignment horizontal="right" indent="1"/>
    </xf>
    <xf numFmtId="3" fontId="3" fillId="4" borderId="24" xfId="0" applyNumberFormat="1" applyFont="1" applyFill="1" applyBorder="1" applyAlignment="1">
      <alignment horizontal="right" indent="1"/>
    </xf>
    <xf numFmtId="165" fontId="3" fillId="0" borderId="11" xfId="0" applyNumberFormat="1" applyFont="1" applyBorder="1" applyAlignment="1">
      <alignment horizontal="right" indent="1"/>
    </xf>
    <xf numFmtId="165" fontId="3" fillId="4" borderId="12" xfId="0" applyNumberFormat="1" applyFont="1" applyFill="1" applyBorder="1" applyAlignment="1">
      <alignment horizontal="right" indent="1"/>
    </xf>
    <xf numFmtId="3" fontId="3" fillId="0" borderId="18" xfId="0" applyNumberFormat="1" applyFont="1" applyBorder="1" applyAlignment="1">
      <alignment horizontal="right" indent="1"/>
    </xf>
    <xf numFmtId="3" fontId="3" fillId="0" borderId="22" xfId="0" applyNumberFormat="1" applyFont="1" applyBorder="1" applyAlignment="1">
      <alignment horizontal="right" indent="1"/>
    </xf>
    <xf numFmtId="3" fontId="3" fillId="0" borderId="10" xfId="0" applyNumberFormat="1" applyFont="1" applyBorder="1" applyAlignment="1">
      <alignment horizontal="right" indent="1"/>
    </xf>
    <xf numFmtId="165" fontId="3" fillId="0" borderId="10" xfId="0" applyNumberFormat="1" applyFont="1" applyBorder="1" applyAlignment="1">
      <alignment horizontal="right" indent="1"/>
    </xf>
    <xf numFmtId="3" fontId="3" fillId="0" borderId="26" xfId="0" applyNumberFormat="1" applyFont="1" applyBorder="1" applyAlignment="1">
      <alignment horizontal="right" indent="1"/>
    </xf>
    <xf numFmtId="3" fontId="3" fillId="4" borderId="27" xfId="0" applyNumberFormat="1" applyFont="1" applyFill="1" applyBorder="1" applyAlignment="1">
      <alignment horizontal="right" indent="1"/>
    </xf>
    <xf numFmtId="3" fontId="3" fillId="0" borderId="27" xfId="0" applyNumberFormat="1" applyFont="1" applyBorder="1" applyAlignment="1">
      <alignment horizontal="right" indent="1"/>
    </xf>
    <xf numFmtId="3" fontId="4" fillId="0" borderId="22" xfId="0" applyNumberFormat="1" applyFont="1" applyBorder="1" applyAlignment="1">
      <alignment horizontal="right" indent="1"/>
    </xf>
    <xf numFmtId="3" fontId="4" fillId="0" borderId="10" xfId="0" applyNumberFormat="1" applyFont="1" applyBorder="1" applyAlignment="1">
      <alignment horizontal="right" indent="1"/>
    </xf>
    <xf numFmtId="3" fontId="4" fillId="4" borderId="23" xfId="0" applyNumberFormat="1" applyFont="1" applyFill="1" applyBorder="1" applyAlignment="1">
      <alignment horizontal="right" indent="1"/>
    </xf>
    <xf numFmtId="3" fontId="4" fillId="4" borderId="11" xfId="0" applyNumberFormat="1" applyFont="1" applyFill="1" applyBorder="1" applyAlignment="1">
      <alignment horizontal="right" indent="1"/>
    </xf>
    <xf numFmtId="3" fontId="4" fillId="0" borderId="23" xfId="0" applyNumberFormat="1" applyFont="1" applyBorder="1" applyAlignment="1">
      <alignment horizontal="right" indent="1"/>
    </xf>
    <xf numFmtId="3" fontId="4" fillId="0" borderId="11" xfId="0" applyNumberFormat="1" applyFont="1" applyBorder="1" applyAlignment="1">
      <alignment horizontal="right" indent="1"/>
    </xf>
    <xf numFmtId="3" fontId="4" fillId="4" borderId="24" xfId="0" applyNumberFormat="1" applyFont="1" applyFill="1" applyBorder="1" applyAlignment="1">
      <alignment horizontal="right" indent="1"/>
    </xf>
    <xf numFmtId="16" fontId="4" fillId="0" borderId="18" xfId="0" quotePrefix="1" applyNumberFormat="1" applyFont="1" applyBorder="1" applyAlignment="1">
      <alignment horizontal="right" indent="1"/>
    </xf>
    <xf numFmtId="164" fontId="4" fillId="4" borderId="19" xfId="0" quotePrefix="1" applyFont="1" applyFill="1" applyBorder="1" applyAlignment="1">
      <alignment horizontal="right" indent="1"/>
    </xf>
    <xf numFmtId="164" fontId="4" fillId="0" borderId="19" xfId="0" quotePrefix="1" applyFont="1" applyBorder="1" applyAlignment="1">
      <alignment horizontal="right" indent="1"/>
    </xf>
    <xf numFmtId="3" fontId="3" fillId="0" borderId="30" xfId="0" applyNumberFormat="1" applyFont="1" applyBorder="1" applyAlignment="1">
      <alignment horizontal="right" indent="1"/>
    </xf>
    <xf numFmtId="3" fontId="3" fillId="4" borderId="31" xfId="0" applyNumberFormat="1" applyFont="1" applyFill="1" applyBorder="1" applyAlignment="1">
      <alignment horizontal="right" indent="1"/>
    </xf>
    <xf numFmtId="3" fontId="3" fillId="0" borderId="31" xfId="0" applyNumberFormat="1" applyFont="1" applyBorder="1" applyAlignment="1">
      <alignment horizontal="right" indent="1"/>
    </xf>
    <xf numFmtId="3" fontId="4" fillId="4" borderId="12" xfId="0" applyNumberFormat="1" applyFont="1" applyFill="1" applyBorder="1" applyAlignment="1">
      <alignment horizontal="right" indent="1"/>
    </xf>
    <xf numFmtId="3" fontId="3" fillId="4" borderId="10" xfId="0" applyNumberFormat="1" applyFont="1" applyFill="1" applyBorder="1" applyAlignment="1">
      <alignment horizontal="right" indent="1"/>
    </xf>
    <xf numFmtId="3" fontId="3" fillId="4" borderId="28" xfId="0" applyNumberFormat="1" applyFont="1" applyFill="1" applyBorder="1" applyAlignment="1">
      <alignment horizontal="right" indent="1"/>
    </xf>
    <xf numFmtId="164" fontId="4" fillId="4" borderId="20" xfId="0" quotePrefix="1" applyFont="1" applyFill="1" applyBorder="1" applyAlignment="1">
      <alignment horizontal="right" indent="1"/>
    </xf>
    <xf numFmtId="164" fontId="4" fillId="0" borderId="10" xfId="0" applyFont="1" applyBorder="1" applyAlignment="1">
      <alignment horizontal="right" indent="1"/>
    </xf>
    <xf numFmtId="3" fontId="3" fillId="0" borderId="6" xfId="0" applyNumberFormat="1" applyFont="1" applyBorder="1" applyAlignment="1">
      <alignment horizontal="right" indent="1"/>
    </xf>
    <xf numFmtId="3" fontId="3" fillId="4" borderId="7" xfId="0" applyNumberFormat="1" applyFont="1" applyFill="1" applyBorder="1" applyAlignment="1">
      <alignment horizontal="right" indent="1"/>
    </xf>
    <xf numFmtId="3" fontId="3" fillId="0" borderId="7" xfId="0" applyNumberFormat="1" applyFont="1" applyBorder="1" applyAlignment="1">
      <alignment horizontal="right" indent="1"/>
    </xf>
    <xf numFmtId="3" fontId="3" fillId="4" borderId="8" xfId="0" applyNumberFormat="1" applyFont="1" applyFill="1" applyBorder="1" applyAlignment="1">
      <alignment horizontal="right" indent="1"/>
    </xf>
    <xf numFmtId="3" fontId="3" fillId="4" borderId="32" xfId="0" applyNumberFormat="1" applyFont="1" applyFill="1" applyBorder="1" applyAlignment="1">
      <alignment horizontal="right" indent="1"/>
    </xf>
    <xf numFmtId="164" fontId="1" fillId="2" borderId="33" xfId="0" applyFont="1" applyFill="1" applyBorder="1" applyAlignment="1">
      <alignment horizontal="center"/>
    </xf>
    <xf numFmtId="164" fontId="0" fillId="3" borderId="34" xfId="0" applyFill="1" applyBorder="1" applyAlignment="1">
      <alignment horizontal="left" indent="1"/>
    </xf>
    <xf numFmtId="164" fontId="0" fillId="3" borderId="35" xfId="0" applyFill="1" applyBorder="1" applyAlignment="1">
      <alignment horizontal="left" indent="1"/>
    </xf>
    <xf numFmtId="164" fontId="0" fillId="3" borderId="36" xfId="0" applyFill="1" applyBorder="1" applyAlignment="1">
      <alignment horizontal="left" indent="1"/>
    </xf>
    <xf numFmtId="164" fontId="0" fillId="5" borderId="37" xfId="0" applyFill="1" applyBorder="1" applyAlignment="1">
      <alignment horizontal="left" indent="1"/>
    </xf>
    <xf numFmtId="164" fontId="0" fillId="5" borderId="35" xfId="0" applyFill="1" applyBorder="1" applyAlignment="1">
      <alignment horizontal="left" indent="1"/>
    </xf>
    <xf numFmtId="164" fontId="0" fillId="5" borderId="38" xfId="0" applyFill="1" applyBorder="1" applyAlignment="1">
      <alignment horizontal="left" indent="1"/>
    </xf>
    <xf numFmtId="164" fontId="0" fillId="6" borderId="37" xfId="0" applyFill="1" applyBorder="1" applyAlignment="1">
      <alignment horizontal="left" indent="1"/>
    </xf>
    <xf numFmtId="164" fontId="0" fillId="6" borderId="38" xfId="0" applyFill="1" applyBorder="1" applyAlignment="1">
      <alignment horizontal="left" indent="1"/>
    </xf>
    <xf numFmtId="164" fontId="0" fillId="7" borderId="37" xfId="0" applyFill="1" applyBorder="1" applyAlignment="1">
      <alignment horizontal="left" indent="1"/>
    </xf>
    <xf numFmtId="164" fontId="0" fillId="7" borderId="35" xfId="0" applyFill="1" applyBorder="1" applyAlignment="1">
      <alignment horizontal="left" indent="1"/>
    </xf>
    <xf numFmtId="164" fontId="0" fillId="7" borderId="38" xfId="0" applyFill="1" applyBorder="1" applyAlignment="1">
      <alignment horizontal="left" indent="1"/>
    </xf>
    <xf numFmtId="164" fontId="0" fillId="8" borderId="37" xfId="0" applyFill="1" applyBorder="1" applyAlignment="1">
      <alignment horizontal="left" indent="1"/>
    </xf>
    <xf numFmtId="164" fontId="0" fillId="8" borderId="35" xfId="0" applyFill="1" applyBorder="1" applyAlignment="1">
      <alignment horizontal="left" indent="1"/>
    </xf>
    <xf numFmtId="164" fontId="0" fillId="8" borderId="39" xfId="0" applyFill="1" applyBorder="1" applyAlignment="1">
      <alignment horizontal="left" indent="1"/>
    </xf>
    <xf numFmtId="164" fontId="0" fillId="9" borderId="37" xfId="0" applyFill="1" applyBorder="1" applyAlignment="1">
      <alignment horizontal="left" indent="1"/>
    </xf>
    <xf numFmtId="164" fontId="0" fillId="9" borderId="35" xfId="0" applyFill="1" applyBorder="1" applyAlignment="1">
      <alignment horizontal="left" indent="1"/>
    </xf>
    <xf numFmtId="164" fontId="0" fillId="9" borderId="38" xfId="0" applyFill="1" applyBorder="1" applyAlignment="1">
      <alignment horizontal="left" indent="1"/>
    </xf>
    <xf numFmtId="164" fontId="0" fillId="10" borderId="34" xfId="0" applyFill="1" applyBorder="1" applyAlignment="1">
      <alignment horizontal="left" indent="1"/>
    </xf>
    <xf numFmtId="164" fontId="0" fillId="10" borderId="35" xfId="0" applyFill="1" applyBorder="1" applyAlignment="1">
      <alignment horizontal="left" indent="1"/>
    </xf>
    <xf numFmtId="164" fontId="0" fillId="10" borderId="40" xfId="0" applyFill="1" applyBorder="1" applyAlignment="1">
      <alignment horizontal="left" indent="1"/>
    </xf>
    <xf numFmtId="164" fontId="1" fillId="2" borderId="41" xfId="0" applyFont="1" applyFill="1" applyBorder="1" applyAlignment="1">
      <alignment horizontal="center"/>
    </xf>
    <xf numFmtId="164" fontId="0" fillId="0" borderId="42" xfId="0" applyBorder="1" applyAlignment="1">
      <alignment horizontal="right" indent="1"/>
    </xf>
    <xf numFmtId="16" fontId="4" fillId="0" borderId="44" xfId="0" quotePrefix="1" applyNumberFormat="1" applyFont="1" applyBorder="1" applyAlignment="1">
      <alignment horizontal="right" indent="1"/>
    </xf>
    <xf numFmtId="3" fontId="3" fillId="0" borderId="43" xfId="0" applyNumberFormat="1" applyFont="1" applyBorder="1" applyAlignment="1">
      <alignment horizontal="right" indent="1"/>
    </xf>
    <xf numFmtId="164" fontId="4" fillId="0" borderId="43" xfId="0" applyFont="1" applyBorder="1" applyAlignment="1">
      <alignment horizontal="right" indent="1"/>
    </xf>
    <xf numFmtId="3" fontId="4" fillId="0" borderId="45" xfId="0" applyNumberFormat="1" applyFont="1" applyBorder="1" applyAlignment="1">
      <alignment horizontal="right" indent="1"/>
    </xf>
    <xf numFmtId="3" fontId="3" fillId="0" borderId="44" xfId="0" applyNumberFormat="1" applyFont="1" applyBorder="1" applyAlignment="1">
      <alignment horizontal="right" indent="1"/>
    </xf>
    <xf numFmtId="3" fontId="3" fillId="0" borderId="45" xfId="0" applyNumberFormat="1" applyFont="1" applyBorder="1" applyAlignment="1">
      <alignment horizontal="right" indent="1"/>
    </xf>
    <xf numFmtId="3" fontId="0" fillId="0" borderId="43" xfId="0" applyNumberFormat="1" applyBorder="1" applyAlignment="1">
      <alignment horizontal="right" indent="1"/>
    </xf>
    <xf numFmtId="3" fontId="3" fillId="0" borderId="46" xfId="0" applyNumberFormat="1" applyFont="1" applyBorder="1" applyAlignment="1">
      <alignment horizontal="right" indent="1"/>
    </xf>
    <xf numFmtId="3" fontId="4" fillId="0" borderId="43" xfId="0" applyNumberFormat="1" applyFont="1" applyBorder="1" applyAlignment="1">
      <alignment horizontal="right" indent="1"/>
    </xf>
    <xf numFmtId="3" fontId="3" fillId="0" borderId="42" xfId="0" applyNumberFormat="1" applyFont="1" applyBorder="1" applyAlignment="1">
      <alignment horizontal="right" indent="1"/>
    </xf>
    <xf numFmtId="3" fontId="3" fillId="0" borderId="47" xfId="0" applyNumberFormat="1" applyFont="1" applyBorder="1" applyAlignment="1">
      <alignment horizontal="right" indent="1"/>
    </xf>
    <xf numFmtId="164" fontId="0" fillId="4" borderId="6" xfId="0" applyFill="1" applyBorder="1" applyAlignment="1">
      <alignment horizontal="right" indent="1"/>
    </xf>
    <xf numFmtId="164" fontId="2" fillId="4" borderId="10" xfId="0" applyFont="1" applyFill="1" applyBorder="1" applyAlignment="1">
      <alignment horizontal="right" indent="1" shrinkToFit="1"/>
    </xf>
    <xf numFmtId="164" fontId="2" fillId="4" borderId="14" xfId="0" applyFont="1" applyFill="1" applyBorder="1" applyAlignment="1">
      <alignment horizontal="right" indent="1"/>
    </xf>
    <xf numFmtId="16" fontId="4" fillId="4" borderId="18" xfId="0" quotePrefix="1" applyNumberFormat="1" applyFont="1" applyFill="1" applyBorder="1" applyAlignment="1">
      <alignment horizontal="right" indent="1"/>
    </xf>
    <xf numFmtId="164" fontId="4" fillId="4" borderId="10" xfId="0" applyFont="1" applyFill="1" applyBorder="1" applyAlignment="1">
      <alignment horizontal="right" indent="1"/>
    </xf>
    <xf numFmtId="3" fontId="4" fillId="4" borderId="22" xfId="0" applyNumberFormat="1" applyFont="1" applyFill="1" applyBorder="1" applyAlignment="1">
      <alignment horizontal="right" indent="1"/>
    </xf>
    <xf numFmtId="3" fontId="3" fillId="4" borderId="18" xfId="0" applyNumberFormat="1" applyFont="1" applyFill="1" applyBorder="1" applyAlignment="1">
      <alignment horizontal="right" indent="1"/>
    </xf>
    <xf numFmtId="3" fontId="3" fillId="4" borderId="22" xfId="0" applyNumberFormat="1" applyFont="1" applyFill="1" applyBorder="1" applyAlignment="1">
      <alignment horizontal="right" indent="1"/>
    </xf>
    <xf numFmtId="165" fontId="3" fillId="4" borderId="10" xfId="0" applyNumberFormat="1" applyFont="1" applyFill="1" applyBorder="1" applyAlignment="1">
      <alignment horizontal="right" indent="1"/>
    </xf>
    <xf numFmtId="3" fontId="0" fillId="4" borderId="10" xfId="0" applyNumberFormat="1" applyFill="1" applyBorder="1" applyAlignment="1">
      <alignment horizontal="right" indent="1"/>
    </xf>
    <xf numFmtId="3" fontId="3" fillId="4" borderId="26" xfId="0" applyNumberFormat="1" applyFont="1" applyFill="1" applyBorder="1" applyAlignment="1">
      <alignment horizontal="right" indent="1"/>
    </xf>
    <xf numFmtId="3" fontId="4" fillId="4" borderId="10" xfId="0" applyNumberFormat="1" applyFont="1" applyFill="1" applyBorder="1" applyAlignment="1">
      <alignment horizontal="right" indent="1"/>
    </xf>
    <xf numFmtId="3" fontId="3" fillId="4" borderId="6" xfId="0" applyNumberFormat="1" applyFont="1" applyFill="1" applyBorder="1" applyAlignment="1">
      <alignment horizontal="right" indent="1"/>
    </xf>
    <xf numFmtId="3" fontId="3" fillId="4" borderId="30" xfId="0" applyNumberFormat="1" applyFont="1" applyFill="1" applyBorder="1" applyAlignment="1">
      <alignment horizontal="right" indent="1"/>
    </xf>
    <xf numFmtId="2" fontId="4" fillId="0" borderId="44" xfId="0" quotePrefix="1" applyNumberFormat="1" applyFont="1" applyBorder="1" applyAlignment="1">
      <alignment horizontal="right" indent="1"/>
    </xf>
    <xf numFmtId="3" fontId="3" fillId="11" borderId="18" xfId="0" applyNumberFormat="1" applyFont="1" applyFill="1" applyBorder="1" applyAlignment="1">
      <alignment horizontal="right" indent="1"/>
    </xf>
    <xf numFmtId="3" fontId="3" fillId="11" borderId="44" xfId="0" applyNumberFormat="1" applyFont="1" applyFill="1" applyBorder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0">
    <tabColor theme="7" tint="0.59999389629810485"/>
  </sheetPr>
  <dimension ref="A1:O31"/>
  <sheetViews>
    <sheetView showGridLines="0" tabSelected="1" zoomScale="90" zoomScaleNormal="90" workbookViewId="0">
      <selection activeCell="A8" sqref="A8:XFD8"/>
    </sheetView>
  </sheetViews>
  <sheetFormatPr defaultColWidth="0" defaultRowHeight="14.6" zeroHeight="1" x14ac:dyDescent="0.4"/>
  <cols>
    <col min="1" max="1" width="1.4609375" customWidth="1"/>
    <col min="2" max="2" width="29.53515625" customWidth="1"/>
    <col min="3" max="3" width="1.4609375" customWidth="1"/>
    <col min="4" max="4" width="20" customWidth="1"/>
    <col min="5" max="5" width="22.84375" bestFit="1" customWidth="1"/>
    <col min="6" max="7" width="28.15234375" customWidth="1"/>
    <col min="8" max="8" width="21.15234375" customWidth="1"/>
    <col min="9" max="9" width="28.15234375" bestFit="1" customWidth="1"/>
    <col min="10" max="13" width="20" customWidth="1"/>
    <col min="14" max="14" width="1.4609375" customWidth="1"/>
    <col min="15" max="15" width="0" hidden="1" customWidth="1"/>
    <col min="16" max="16384" width="9" hidden="1"/>
  </cols>
  <sheetData>
    <row r="1" spans="2:14" ht="7.5" customHeight="1" thickBot="1" x14ac:dyDescent="0.45"/>
    <row r="2" spans="2:14" ht="15" thickBot="1" x14ac:dyDescent="0.45">
      <c r="B2" s="1" t="s">
        <v>85</v>
      </c>
      <c r="C2" s="87"/>
      <c r="D2" s="2" t="s">
        <v>58</v>
      </c>
      <c r="E2" s="2" t="s">
        <v>70</v>
      </c>
      <c r="F2" s="108" t="s">
        <v>80</v>
      </c>
      <c r="G2" s="2" t="s">
        <v>0</v>
      </c>
      <c r="H2" s="108" t="s">
        <v>76</v>
      </c>
      <c r="I2" s="3" t="s">
        <v>1</v>
      </c>
      <c r="J2" s="3" t="s">
        <v>2</v>
      </c>
      <c r="K2" s="3" t="s">
        <v>3</v>
      </c>
      <c r="L2" s="3" t="s">
        <v>4</v>
      </c>
      <c r="M2" s="4" t="s">
        <v>5</v>
      </c>
    </row>
    <row r="3" spans="2:14" hidden="1" x14ac:dyDescent="0.4">
      <c r="B3" s="5" t="s">
        <v>6</v>
      </c>
      <c r="C3" s="88"/>
      <c r="D3" s="6" t="s">
        <v>7</v>
      </c>
      <c r="E3" s="6"/>
      <c r="F3" s="109"/>
      <c r="G3" s="6" t="s">
        <v>7</v>
      </c>
      <c r="H3" s="109"/>
      <c r="I3" s="7" t="s">
        <v>8</v>
      </c>
      <c r="J3" s="8" t="s">
        <v>9</v>
      </c>
      <c r="K3" s="7" t="s">
        <v>10</v>
      </c>
      <c r="L3" s="8" t="s">
        <v>11</v>
      </c>
      <c r="M3" s="9" t="s">
        <v>12</v>
      </c>
    </row>
    <row r="4" spans="2:14" x14ac:dyDescent="0.4">
      <c r="B4" s="5" t="s">
        <v>13</v>
      </c>
      <c r="C4" s="88"/>
      <c r="D4" s="6" t="s">
        <v>59</v>
      </c>
      <c r="E4" s="121" t="s">
        <v>60</v>
      </c>
      <c r="F4" s="6" t="s">
        <v>32</v>
      </c>
      <c r="G4" s="121" t="s">
        <v>32</v>
      </c>
      <c r="H4" s="8" t="s">
        <v>33</v>
      </c>
      <c r="I4" s="7" t="s">
        <v>33</v>
      </c>
      <c r="J4" s="8" t="s">
        <v>34</v>
      </c>
      <c r="K4" s="7" t="s">
        <v>35</v>
      </c>
      <c r="L4" s="8" t="s">
        <v>35</v>
      </c>
      <c r="M4" s="9" t="s">
        <v>36</v>
      </c>
    </row>
    <row r="5" spans="2:14" x14ac:dyDescent="0.4">
      <c r="B5" s="10" t="s">
        <v>14</v>
      </c>
      <c r="C5" s="89"/>
      <c r="D5" s="11" t="s">
        <v>37</v>
      </c>
      <c r="E5" s="122" t="s">
        <v>37</v>
      </c>
      <c r="F5" s="11" t="s">
        <v>37</v>
      </c>
      <c r="G5" s="122" t="s">
        <v>37</v>
      </c>
      <c r="H5" s="13" t="s">
        <v>38</v>
      </c>
      <c r="I5" s="12" t="s">
        <v>38</v>
      </c>
      <c r="J5" s="13" t="s">
        <v>39</v>
      </c>
      <c r="K5" s="12" t="s">
        <v>75</v>
      </c>
      <c r="L5" s="13" t="s">
        <v>40</v>
      </c>
      <c r="M5" s="14" t="s">
        <v>41</v>
      </c>
    </row>
    <row r="6" spans="2:14" x14ac:dyDescent="0.4">
      <c r="B6" s="15" t="s">
        <v>15</v>
      </c>
      <c r="C6" s="90"/>
      <c r="D6" s="16" t="s">
        <v>42</v>
      </c>
      <c r="E6" s="123" t="s">
        <v>42</v>
      </c>
      <c r="F6" s="16" t="s">
        <v>42</v>
      </c>
      <c r="G6" s="123" t="s">
        <v>42</v>
      </c>
      <c r="H6" s="18" t="s">
        <v>42</v>
      </c>
      <c r="I6" s="17" t="s">
        <v>42</v>
      </c>
      <c r="J6" s="18" t="s">
        <v>42</v>
      </c>
      <c r="K6" s="17" t="s">
        <v>42</v>
      </c>
      <c r="L6" s="18" t="s">
        <v>43</v>
      </c>
      <c r="M6" s="19" t="s">
        <v>43</v>
      </c>
    </row>
    <row r="7" spans="2:14" x14ac:dyDescent="0.4">
      <c r="B7" s="20" t="s">
        <v>16</v>
      </c>
      <c r="C7" s="91"/>
      <c r="D7" s="71" t="s">
        <v>64</v>
      </c>
      <c r="E7" s="124" t="s">
        <v>61</v>
      </c>
      <c r="F7" s="110" t="s">
        <v>82</v>
      </c>
      <c r="G7" s="124" t="s">
        <v>55</v>
      </c>
      <c r="H7" s="135" t="s">
        <v>77</v>
      </c>
      <c r="I7" s="72" t="s">
        <v>67</v>
      </c>
      <c r="J7" s="73" t="s">
        <v>68</v>
      </c>
      <c r="K7" s="72" t="s">
        <v>69</v>
      </c>
      <c r="L7" s="73" t="s">
        <v>56</v>
      </c>
      <c r="M7" s="80" t="s">
        <v>57</v>
      </c>
      <c r="N7">
        <v>51.76</v>
      </c>
    </row>
    <row r="8" spans="2:14" x14ac:dyDescent="0.4">
      <c r="B8" s="21" t="s">
        <v>17</v>
      </c>
      <c r="C8" s="92"/>
      <c r="D8" s="59">
        <f>210*120</f>
        <v>25200</v>
      </c>
      <c r="E8" s="78">
        <v>31200</v>
      </c>
      <c r="F8" s="111">
        <f>343*234</f>
        <v>80262</v>
      </c>
      <c r="G8" s="78" t="s">
        <v>78</v>
      </c>
      <c r="H8" s="111">
        <f>396*269</f>
        <v>106524</v>
      </c>
      <c r="I8" s="43" t="s">
        <v>79</v>
      </c>
      <c r="J8" s="47">
        <v>123708</v>
      </c>
      <c r="K8" s="43">
        <v>141360</v>
      </c>
      <c r="L8" s="47">
        <v>181500</v>
      </c>
      <c r="M8" s="48">
        <v>219000</v>
      </c>
    </row>
    <row r="9" spans="2:14" x14ac:dyDescent="0.4">
      <c r="B9" s="21" t="s">
        <v>18</v>
      </c>
      <c r="C9" s="92"/>
      <c r="D9" s="81" t="s">
        <v>63</v>
      </c>
      <c r="E9" s="125" t="s">
        <v>62</v>
      </c>
      <c r="F9" s="112" t="s">
        <v>81</v>
      </c>
      <c r="G9" s="125" t="s">
        <v>65</v>
      </c>
      <c r="H9" s="112" t="s">
        <v>84</v>
      </c>
      <c r="I9" s="46" t="s">
        <v>74</v>
      </c>
      <c r="J9" s="49" t="s">
        <v>73</v>
      </c>
      <c r="K9" s="46" t="s">
        <v>49</v>
      </c>
      <c r="L9" s="49" t="s">
        <v>50</v>
      </c>
      <c r="M9" s="50" t="s">
        <v>51</v>
      </c>
    </row>
    <row r="10" spans="2:14" ht="17.5" customHeight="1" x14ac:dyDescent="0.4">
      <c r="B10" s="26" t="s">
        <v>19</v>
      </c>
      <c r="C10" s="93"/>
      <c r="D10" s="64">
        <v>3750</v>
      </c>
      <c r="E10" s="126">
        <v>7536</v>
      </c>
      <c r="F10" s="113">
        <v>8292</v>
      </c>
      <c r="G10" s="126" t="s">
        <v>71</v>
      </c>
      <c r="H10" s="113">
        <v>10253</v>
      </c>
      <c r="I10" s="66" t="s">
        <v>72</v>
      </c>
      <c r="J10" s="68">
        <v>12162</v>
      </c>
      <c r="K10" s="66">
        <v>14520</v>
      </c>
      <c r="L10" s="68">
        <v>15786</v>
      </c>
      <c r="M10" s="70">
        <v>16433</v>
      </c>
    </row>
    <row r="11" spans="2:14" x14ac:dyDescent="0.4">
      <c r="B11" s="27" t="s">
        <v>20</v>
      </c>
      <c r="C11" s="94"/>
      <c r="D11" s="136">
        <v>2100</v>
      </c>
      <c r="E11" s="136">
        <f>1440*18/7.5</f>
        <v>3456</v>
      </c>
      <c r="F11" s="137">
        <v>4500</v>
      </c>
      <c r="G11" s="127">
        <v>4500</v>
      </c>
      <c r="H11" s="114">
        <v>8000</v>
      </c>
      <c r="I11" s="42">
        <v>8000</v>
      </c>
      <c r="J11" s="51">
        <v>10000</v>
      </c>
      <c r="K11" s="42">
        <v>12000</v>
      </c>
      <c r="L11" s="51">
        <v>14000</v>
      </c>
      <c r="M11" s="52">
        <v>18000</v>
      </c>
    </row>
    <row r="12" spans="2:14" hidden="1" x14ac:dyDescent="0.4">
      <c r="B12" s="28" t="s">
        <v>21</v>
      </c>
      <c r="C12" s="95"/>
      <c r="D12" s="58">
        <v>0</v>
      </c>
      <c r="E12" s="128">
        <v>0</v>
      </c>
      <c r="F12" s="115"/>
      <c r="G12" s="128">
        <v>0</v>
      </c>
      <c r="H12" s="115"/>
      <c r="I12" s="45">
        <v>0</v>
      </c>
      <c r="J12" s="53">
        <v>0</v>
      </c>
      <c r="K12" s="45">
        <v>0</v>
      </c>
      <c r="L12" s="53">
        <v>0</v>
      </c>
      <c r="M12" s="54">
        <v>0</v>
      </c>
    </row>
    <row r="13" spans="2:14" x14ac:dyDescent="0.4">
      <c r="B13" s="29" t="s">
        <v>22</v>
      </c>
      <c r="C13" s="96"/>
      <c r="D13" s="57">
        <v>864</v>
      </c>
      <c r="E13" s="136">
        <v>1440</v>
      </c>
      <c r="F13" s="57">
        <v>1875</v>
      </c>
      <c r="G13" s="127">
        <v>1875</v>
      </c>
      <c r="H13" s="51">
        <v>3333.3333333333335</v>
      </c>
      <c r="I13" s="42">
        <v>3333.3333333333335</v>
      </c>
      <c r="J13" s="51">
        <v>4166.666666666667</v>
      </c>
      <c r="K13" s="42">
        <v>5000</v>
      </c>
      <c r="L13" s="51">
        <v>5833.333333333333</v>
      </c>
      <c r="M13" s="52">
        <v>7500</v>
      </c>
    </row>
    <row r="14" spans="2:14" x14ac:dyDescent="0.4">
      <c r="B14" s="30" t="s">
        <v>23</v>
      </c>
      <c r="C14" s="97"/>
      <c r="D14" s="59">
        <v>21500</v>
      </c>
      <c r="E14" s="78">
        <v>36000</v>
      </c>
      <c r="F14" s="59">
        <v>47250</v>
      </c>
      <c r="G14" s="78">
        <v>47250</v>
      </c>
      <c r="H14" s="47">
        <v>84000</v>
      </c>
      <c r="I14" s="43">
        <v>84000</v>
      </c>
      <c r="J14" s="47">
        <v>105000</v>
      </c>
      <c r="K14" s="43">
        <v>126000</v>
      </c>
      <c r="L14" s="47">
        <v>147000</v>
      </c>
      <c r="M14" s="48">
        <v>189000</v>
      </c>
    </row>
    <row r="15" spans="2:14" x14ac:dyDescent="0.4">
      <c r="B15" s="30" t="s">
        <v>46</v>
      </c>
      <c r="C15" s="97"/>
      <c r="D15" s="59">
        <v>15500</v>
      </c>
      <c r="E15" s="78">
        <v>26000</v>
      </c>
      <c r="F15" s="59">
        <v>33750</v>
      </c>
      <c r="G15" s="78">
        <v>33750</v>
      </c>
      <c r="H15" s="47">
        <v>60000</v>
      </c>
      <c r="I15" s="43">
        <v>60000</v>
      </c>
      <c r="J15" s="47">
        <v>75000</v>
      </c>
      <c r="K15" s="43">
        <v>90000</v>
      </c>
      <c r="L15" s="47">
        <v>105000</v>
      </c>
      <c r="M15" s="48">
        <v>135000</v>
      </c>
    </row>
    <row r="16" spans="2:14" x14ac:dyDescent="0.4">
      <c r="B16" s="30" t="s">
        <v>44</v>
      </c>
      <c r="C16" s="97"/>
      <c r="D16" s="60">
        <v>7.5</v>
      </c>
      <c r="E16" s="129">
        <v>7.5</v>
      </c>
      <c r="F16" s="60">
        <v>7.5</v>
      </c>
      <c r="G16" s="129">
        <v>7.5</v>
      </c>
      <c r="H16" s="55">
        <v>7.5</v>
      </c>
      <c r="I16" s="44">
        <v>7.5</v>
      </c>
      <c r="J16" s="55">
        <v>7.5</v>
      </c>
      <c r="K16" s="44">
        <v>7.5</v>
      </c>
      <c r="L16" s="55">
        <v>7.5</v>
      </c>
      <c r="M16" s="56">
        <v>7.5</v>
      </c>
    </row>
    <row r="17" spans="2:13" x14ac:dyDescent="0.4">
      <c r="B17" s="30" t="s">
        <v>47</v>
      </c>
      <c r="C17" s="97"/>
      <c r="D17" s="59">
        <v>6000</v>
      </c>
      <c r="E17" s="78">
        <v>10000</v>
      </c>
      <c r="F17" s="59">
        <v>13500</v>
      </c>
      <c r="G17" s="78">
        <v>13500</v>
      </c>
      <c r="H17" s="47">
        <v>24000</v>
      </c>
      <c r="I17" s="43">
        <v>24000</v>
      </c>
      <c r="J17" s="47">
        <v>30000</v>
      </c>
      <c r="K17" s="43">
        <v>36000</v>
      </c>
      <c r="L17" s="47">
        <v>42000</v>
      </c>
      <c r="M17" s="48">
        <v>54000</v>
      </c>
    </row>
    <row r="18" spans="2:13" x14ac:dyDescent="0.4">
      <c r="B18" s="31" t="s">
        <v>45</v>
      </c>
      <c r="C18" s="98"/>
      <c r="D18" s="58">
        <v>3</v>
      </c>
      <c r="E18" s="128">
        <v>3</v>
      </c>
      <c r="F18" s="58">
        <v>3</v>
      </c>
      <c r="G18" s="128">
        <v>3</v>
      </c>
      <c r="H18" s="53">
        <v>3</v>
      </c>
      <c r="I18" s="45">
        <v>3</v>
      </c>
      <c r="J18" s="53">
        <v>3</v>
      </c>
      <c r="K18" s="45">
        <v>3</v>
      </c>
      <c r="L18" s="53">
        <v>3</v>
      </c>
      <c r="M18" s="54">
        <v>3</v>
      </c>
    </row>
    <row r="19" spans="2:13" x14ac:dyDescent="0.4">
      <c r="B19" s="32" t="s">
        <v>24</v>
      </c>
      <c r="C19" s="99"/>
      <c r="D19" s="57">
        <v>5</v>
      </c>
      <c r="E19" s="127">
        <v>3</v>
      </c>
      <c r="F19" s="114" t="s">
        <v>83</v>
      </c>
      <c r="G19" s="127">
        <v>6</v>
      </c>
      <c r="H19" s="114">
        <v>7</v>
      </c>
      <c r="I19" s="42">
        <v>7</v>
      </c>
      <c r="J19" s="51">
        <v>9</v>
      </c>
      <c r="K19" s="42">
        <v>15</v>
      </c>
      <c r="L19" s="51">
        <v>17</v>
      </c>
      <c r="M19" s="52">
        <v>17</v>
      </c>
    </row>
    <row r="20" spans="2:13" x14ac:dyDescent="0.4">
      <c r="B20" s="33" t="s">
        <v>48</v>
      </c>
      <c r="C20" s="100"/>
      <c r="D20" s="59">
        <v>180</v>
      </c>
      <c r="E20" s="78">
        <v>240</v>
      </c>
      <c r="F20" s="59">
        <v>450</v>
      </c>
      <c r="G20" s="78">
        <f>G22*3*5</f>
        <v>450</v>
      </c>
      <c r="H20" s="59">
        <v>750</v>
      </c>
      <c r="I20" s="78">
        <f>I22*3*5</f>
        <v>750</v>
      </c>
      <c r="J20" s="59">
        <f>J22*3*5</f>
        <v>900</v>
      </c>
      <c r="K20" s="78">
        <f t="shared" ref="K20:M20" si="0">K22*3*4</f>
        <v>864</v>
      </c>
      <c r="L20" s="59">
        <f t="shared" si="0"/>
        <v>1080</v>
      </c>
      <c r="M20" s="78">
        <f t="shared" si="0"/>
        <v>1440</v>
      </c>
    </row>
    <row r="21" spans="2:13" hidden="1" x14ac:dyDescent="0.4">
      <c r="B21" s="33" t="s">
        <v>25</v>
      </c>
      <c r="C21" s="100"/>
      <c r="D21" s="22">
        <v>19</v>
      </c>
      <c r="E21" s="130"/>
      <c r="F21" s="116"/>
      <c r="G21" s="130">
        <v>19</v>
      </c>
      <c r="H21" s="116"/>
      <c r="I21" s="23">
        <v>32</v>
      </c>
      <c r="J21" s="24">
        <v>41</v>
      </c>
      <c r="K21" s="23">
        <v>49</v>
      </c>
      <c r="L21" s="24">
        <v>90</v>
      </c>
      <c r="M21" s="25">
        <v>117</v>
      </c>
    </row>
    <row r="22" spans="2:13" x14ac:dyDescent="0.4">
      <c r="B22" s="34" t="s">
        <v>26</v>
      </c>
      <c r="C22" s="101"/>
      <c r="D22" s="61">
        <v>15</v>
      </c>
      <c r="E22" s="131">
        <v>20</v>
      </c>
      <c r="F22" s="117">
        <v>30</v>
      </c>
      <c r="G22" s="131">
        <v>30</v>
      </c>
      <c r="H22" s="117">
        <v>50</v>
      </c>
      <c r="I22" s="62">
        <v>50</v>
      </c>
      <c r="J22" s="63">
        <v>60</v>
      </c>
      <c r="K22" s="62">
        <v>72</v>
      </c>
      <c r="L22" s="63">
        <v>90</v>
      </c>
      <c r="M22" s="79">
        <v>120</v>
      </c>
    </row>
    <row r="23" spans="2:13" x14ac:dyDescent="0.4">
      <c r="B23" s="35" t="s">
        <v>66</v>
      </c>
      <c r="C23" s="102"/>
      <c r="D23" s="57">
        <v>68</v>
      </c>
      <c r="E23" s="127">
        <v>97</v>
      </c>
      <c r="F23" s="114">
        <v>130</v>
      </c>
      <c r="G23" s="127">
        <v>126</v>
      </c>
      <c r="H23" s="114">
        <v>200</v>
      </c>
      <c r="I23" s="42">
        <v>209</v>
      </c>
      <c r="J23" s="51">
        <v>255</v>
      </c>
      <c r="K23" s="42">
        <v>301</v>
      </c>
      <c r="L23" s="51">
        <v>355</v>
      </c>
      <c r="M23" s="52">
        <v>457</v>
      </c>
    </row>
    <row r="24" spans="2:13" x14ac:dyDescent="0.4">
      <c r="B24" s="36" t="s">
        <v>27</v>
      </c>
      <c r="C24" s="103"/>
      <c r="D24" s="65">
        <v>114</v>
      </c>
      <c r="E24" s="132">
        <v>183</v>
      </c>
      <c r="F24" s="118">
        <v>284</v>
      </c>
      <c r="G24" s="132">
        <v>284</v>
      </c>
      <c r="H24" s="118">
        <v>501</v>
      </c>
      <c r="I24" s="67">
        <v>489</v>
      </c>
      <c r="J24" s="69">
        <v>609</v>
      </c>
      <c r="K24" s="67">
        <v>730</v>
      </c>
      <c r="L24" s="69">
        <v>857</v>
      </c>
      <c r="M24" s="77">
        <v>1103</v>
      </c>
    </row>
    <row r="25" spans="2:13" x14ac:dyDescent="0.4">
      <c r="B25" s="37" t="s">
        <v>28</v>
      </c>
      <c r="C25" s="104"/>
      <c r="D25" s="64">
        <f t="shared" ref="D25:K25" si="1">D23+D24</f>
        <v>182</v>
      </c>
      <c r="E25" s="126">
        <f t="shared" si="1"/>
        <v>280</v>
      </c>
      <c r="F25" s="113">
        <f>F24+F23</f>
        <v>414</v>
      </c>
      <c r="G25" s="126">
        <f t="shared" si="1"/>
        <v>410</v>
      </c>
      <c r="H25" s="113">
        <f>H24+H23</f>
        <v>701</v>
      </c>
      <c r="I25" s="66">
        <f t="shared" si="1"/>
        <v>698</v>
      </c>
      <c r="J25" s="68">
        <f t="shared" si="1"/>
        <v>864</v>
      </c>
      <c r="K25" s="66">
        <f t="shared" si="1"/>
        <v>1031</v>
      </c>
      <c r="L25" s="68">
        <f t="shared" ref="L25:M25" si="2">L23+L24</f>
        <v>1212</v>
      </c>
      <c r="M25" s="66">
        <f t="shared" si="2"/>
        <v>1560</v>
      </c>
    </row>
    <row r="26" spans="2:13" x14ac:dyDescent="0.4">
      <c r="B26" s="38" t="s">
        <v>29</v>
      </c>
      <c r="C26" s="105"/>
      <c r="D26" s="82">
        <f>2100/70</f>
        <v>30</v>
      </c>
      <c r="E26" s="133">
        <f>E11/70</f>
        <v>49.371428571428574</v>
      </c>
      <c r="F26" s="119">
        <v>65</v>
      </c>
      <c r="G26" s="133">
        <v>65</v>
      </c>
      <c r="H26" s="119">
        <v>115</v>
      </c>
      <c r="I26" s="83">
        <v>115</v>
      </c>
      <c r="J26" s="84">
        <v>143</v>
      </c>
      <c r="K26" s="83">
        <v>172</v>
      </c>
      <c r="L26" s="84">
        <v>200</v>
      </c>
      <c r="M26" s="85">
        <v>258</v>
      </c>
    </row>
    <row r="27" spans="2:13" x14ac:dyDescent="0.4">
      <c r="B27" s="39" t="s">
        <v>30</v>
      </c>
      <c r="C27" s="106"/>
      <c r="D27" s="59">
        <f>D26*0.8</f>
        <v>24</v>
      </c>
      <c r="E27" s="78">
        <f>E26*0.8</f>
        <v>39.497142857142862</v>
      </c>
      <c r="F27" s="111">
        <v>69</v>
      </c>
      <c r="G27" s="78">
        <v>56</v>
      </c>
      <c r="H27" s="111">
        <v>121</v>
      </c>
      <c r="I27" s="43">
        <v>100</v>
      </c>
      <c r="J27" s="47">
        <v>125</v>
      </c>
      <c r="K27" s="43" t="s">
        <v>52</v>
      </c>
      <c r="L27" s="47" t="s">
        <v>53</v>
      </c>
      <c r="M27" s="48" t="s">
        <v>54</v>
      </c>
    </row>
    <row r="28" spans="2:13" ht="15" thickBot="1" x14ac:dyDescent="0.45">
      <c r="B28" s="40" t="s">
        <v>31</v>
      </c>
      <c r="C28" s="107"/>
      <c r="D28" s="74">
        <v>8</v>
      </c>
      <c r="E28" s="134">
        <v>5</v>
      </c>
      <c r="F28" s="120">
        <v>5</v>
      </c>
      <c r="G28" s="134">
        <v>8</v>
      </c>
      <c r="H28" s="120">
        <v>9</v>
      </c>
      <c r="I28" s="75">
        <v>14</v>
      </c>
      <c r="J28" s="76">
        <v>16</v>
      </c>
      <c r="K28" s="75">
        <v>16</v>
      </c>
      <c r="L28" s="76">
        <v>28</v>
      </c>
      <c r="M28" s="86">
        <v>28</v>
      </c>
    </row>
    <row r="29" spans="2:13" ht="7.5" customHeight="1" x14ac:dyDescent="0.4"/>
    <row r="31" spans="2:13" hidden="1" x14ac:dyDescent="0.4">
      <c r="B31" s="41"/>
      <c r="C31" s="41"/>
    </row>
  </sheetData>
  <printOptions horizontalCentered="1" verticalCentered="1"/>
  <pageMargins left="0.25" right="0.25" top="0.75" bottom="0.75" header="0.3" footer="0.3"/>
  <pageSetup paperSize="3" scale="135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BTS Design Requirement Template</vt:lpstr>
      <vt:lpstr>'BTS Design Requirement Template'!Print_Area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Xiong, Zixuan</dc:creator>
  <cp:lastModifiedBy>Bays, Lauren [C]</cp:lastModifiedBy>
  <cp:lastPrinted>2021-06-17T17:35:23Z</cp:lastPrinted>
  <dcterms:created xsi:type="dcterms:W3CDTF">2020-05-08T16:34:59Z</dcterms:created>
  <dcterms:modified xsi:type="dcterms:W3CDTF">2026-01-07T17:11:18Z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2026-01-07T17:10:53Z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dec30c2a-c0b0-44d5-9410-2b7089cc1947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