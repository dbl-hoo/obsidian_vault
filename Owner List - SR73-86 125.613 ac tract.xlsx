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rkham\Documents\Vault\"/>
    </mc:Choice>
  </mc:AlternateContent>
  <xr:revisionPtr revIDLastSave="0" documentId="13_ncr:1_{19AA7DBD-56A0-4E96-81CC-BEAF123E44CD}" xr6:coauthVersionLast="47" xr6:coauthVersionMax="47" xr10:uidLastSave="{00000000-0000-0000-0000-000000000000}"/>
  <bookViews>
    <workbookView xWindow="9180" yWindow="4530" windowWidth="40800" windowHeight="16425" xr2:uid="{00000000-000D-0000-FFFF-FFFF00000000}"/>
  </bookViews>
  <sheets>
    <sheet name="Owner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9" i="1" s="1"/>
  <c r="B20" i="1" s="1"/>
</calcChain>
</file>

<file path=xl/sharedStrings.xml><?xml version="1.0" encoding="utf-8"?>
<sst xmlns="http://schemas.openxmlformats.org/spreadsheetml/2006/main" count="36" uniqueCount="35">
  <si>
    <t>Owner list for parcels that come out of 125.613 ac tract (SR73-86) in OR1033-979</t>
  </si>
  <si>
    <t>Parcel ID</t>
  </si>
  <si>
    <t>Acres</t>
  </si>
  <si>
    <t>Owner</t>
  </si>
  <si>
    <t>Notes</t>
  </si>
  <si>
    <t>0420101012</t>
  </si>
  <si>
    <t>FRANKLIN VISTA FARMS, INC</t>
  </si>
  <si>
    <t>0420101003</t>
  </si>
  <si>
    <t>NC WORKS, INC.</t>
  </si>
  <si>
    <t>0420101014</t>
  </si>
  <si>
    <t>TWAY COLUMBUS LLC</t>
  </si>
  <si>
    <t>0420101013</t>
  </si>
  <si>
    <t>BND PROPERTIES III, LLC</t>
  </si>
  <si>
    <t>0420101008</t>
  </si>
  <si>
    <t>VOELKER INVESTMENT COMPANY, LLC</t>
  </si>
  <si>
    <t>0420101006</t>
  </si>
  <si>
    <t>SCIP PARTNERSHIP</t>
  </si>
  <si>
    <t>0420102007</t>
  </si>
  <si>
    <t>FAURECIA EXHAUST SYSTEMS,, LLC</t>
  </si>
  <si>
    <t>0420102006</t>
  </si>
  <si>
    <t>RUSSELL P SHAW &amp; KRISTEN M CASTEN TRUSTEES of the SHAW-CASTEN LIVING TRUST, DATED MARCH 6, 2019</t>
  </si>
  <si>
    <t>0420101011</t>
  </si>
  <si>
    <t>NM NVLX LP</t>
  </si>
  <si>
    <t>0426200029</t>
  </si>
  <si>
    <t>BUNNELL HILL DEVELOPMENT CO, INC.</t>
  </si>
  <si>
    <t>East part of tract affected by development standards</t>
  </si>
  <si>
    <t>0426290004</t>
  </si>
  <si>
    <t>COMMERCE CENTER DRIVE LLC</t>
  </si>
  <si>
    <t>0420102001</t>
  </si>
  <si>
    <t>BEVERLY W. PARKER, TRUSTEE OF THE BEVERLY W. PARKER, CTS TRUST UNDER AGREEMENT OF TRUST DATED October 4, 2011</t>
  </si>
  <si>
    <t>0420102005</t>
  </si>
  <si>
    <t>FAURECIA EXHAUST SYSTEMS, LLC</t>
  </si>
  <si>
    <t>TOTAL</t>
  </si>
  <si>
    <t>Total excluding Franklin Vista</t>
  </si>
  <si>
    <t>2/3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</si>
</sst>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D20" sqref="A1:D20"/>
    </sheetView>
  </sheetViews>
  <sheetFormatPr defaultRowHeight="15" x14ac:dyDescent="0.25"/>
  <cols>
    <col min="1" max="1" width="24.7109375" customWidth="1"/>
    <col min="2" max="2" width="24.85546875" customWidth="1"/>
    <col min="3" max="3" width="60" customWidth="1"/>
    <col min="4" max="4" width="40" customWidth="1"/>
  </cols>
  <sheetData>
    <row r="1" spans="1:4" x14ac:dyDescent="0.25">
      <c r="A1" s="3" t="s">
        <v>0</v>
      </c>
      <c r="B1" s="4"/>
      <c r="C1" s="4"/>
      <c r="D1" s="4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2" t="s">
        <v>5</v>
      </c>
      <c r="B4" s="2">
        <v>22.566400000000002</v>
      </c>
      <c r="C4" s="2" t="s">
        <v>6</v>
      </c>
      <c r="D4" s="2"/>
    </row>
    <row r="5" spans="1:4" x14ac:dyDescent="0.25">
      <c r="A5" s="2" t="s">
        <v>21</v>
      </c>
      <c r="B5" s="2">
        <v>20.288499999999999</v>
      </c>
      <c r="C5" s="2" t="s">
        <v>22</v>
      </c>
      <c r="D5" s="2"/>
    </row>
    <row r="6" spans="1:4" x14ac:dyDescent="0.25">
      <c r="A6" s="2" t="s">
        <v>17</v>
      </c>
      <c r="B6" s="2">
        <v>15.3048</v>
      </c>
      <c r="C6" s="2" t="s">
        <v>18</v>
      </c>
      <c r="D6" s="2"/>
    </row>
    <row r="7" spans="1:4" x14ac:dyDescent="0.25">
      <c r="A7" s="2" t="s">
        <v>9</v>
      </c>
      <c r="B7" s="2">
        <v>15.0801</v>
      </c>
      <c r="C7" s="2" t="s">
        <v>10</v>
      </c>
      <c r="D7" s="2"/>
    </row>
    <row r="8" spans="1:4" x14ac:dyDescent="0.25">
      <c r="A8" s="2" t="s">
        <v>7</v>
      </c>
      <c r="B8" s="2">
        <v>10</v>
      </c>
      <c r="C8" s="2" t="s">
        <v>8</v>
      </c>
      <c r="D8" s="2"/>
    </row>
    <row r="9" spans="1:4" x14ac:dyDescent="0.25">
      <c r="A9" s="2" t="s">
        <v>11</v>
      </c>
      <c r="B9" s="2">
        <v>8</v>
      </c>
      <c r="C9" s="2" t="s">
        <v>12</v>
      </c>
      <c r="D9" s="2"/>
    </row>
    <row r="10" spans="1:4" ht="30" x14ac:dyDescent="0.25">
      <c r="A10" s="2" t="s">
        <v>19</v>
      </c>
      <c r="B10" s="2">
        <v>6.6096000000000004</v>
      </c>
      <c r="C10" s="2" t="s">
        <v>20</v>
      </c>
      <c r="D10" s="2"/>
    </row>
    <row r="11" spans="1:4" x14ac:dyDescent="0.25">
      <c r="A11" s="2" t="s">
        <v>30</v>
      </c>
      <c r="B11" s="2">
        <v>6.5909000000000004</v>
      </c>
      <c r="C11" s="2" t="s">
        <v>31</v>
      </c>
      <c r="D11" s="2"/>
    </row>
    <row r="12" spans="1:4" ht="30" x14ac:dyDescent="0.25">
      <c r="A12" s="2" t="s">
        <v>23</v>
      </c>
      <c r="B12" s="2">
        <v>6.0743999999999998</v>
      </c>
      <c r="C12" s="2" t="s">
        <v>24</v>
      </c>
      <c r="D12" s="2" t="s">
        <v>25</v>
      </c>
    </row>
    <row r="13" spans="1:4" x14ac:dyDescent="0.25">
      <c r="A13" s="2" t="s">
        <v>13</v>
      </c>
      <c r="B13" s="2">
        <v>4.9387999999999996</v>
      </c>
      <c r="C13" s="2" t="s">
        <v>14</v>
      </c>
      <c r="D13" s="2"/>
    </row>
    <row r="14" spans="1:4" ht="30" x14ac:dyDescent="0.25">
      <c r="A14" s="2" t="s">
        <v>26</v>
      </c>
      <c r="B14" s="2">
        <v>4.5190000000000001</v>
      </c>
      <c r="C14" s="2" t="s">
        <v>27</v>
      </c>
      <c r="D14" s="2" t="s">
        <v>25</v>
      </c>
    </row>
    <row r="15" spans="1:4" x14ac:dyDescent="0.25">
      <c r="A15" s="2" t="s">
        <v>15</v>
      </c>
      <c r="B15" s="2">
        <v>3.7313999999999998</v>
      </c>
      <c r="C15" s="2" t="s">
        <v>16</v>
      </c>
      <c r="D15" s="2"/>
    </row>
    <row r="16" spans="1:4" ht="30" x14ac:dyDescent="0.25">
      <c r="A16" s="2" t="s">
        <v>28</v>
      </c>
      <c r="B16" s="2">
        <v>3.5246</v>
      </c>
      <c r="C16" s="2" t="s">
        <v>29</v>
      </c>
      <c r="D16" s="2"/>
    </row>
    <row r="17" spans="1:4" x14ac:dyDescent="0.25">
      <c r="A17" s="1" t="s">
        <v>32</v>
      </c>
      <c r="B17" s="1">
        <f>SUM(B4:B16)</f>
        <v>127.22850000000001</v>
      </c>
      <c r="C17" s="2"/>
      <c r="D17" s="2"/>
    </row>
    <row r="19" spans="1:4" ht="30" x14ac:dyDescent="0.25">
      <c r="A19" s="2" t="s">
        <v>33</v>
      </c>
      <c r="B19">
        <f>B17-B4</f>
        <v>104.66210000000001</v>
      </c>
    </row>
    <row r="20" spans="1:4" x14ac:dyDescent="0.25">
      <c r="A20" s="2" t="s">
        <v>34</v>
      </c>
      <c r="B20">
        <f>B19*2/3</f>
        <v>69.774733333333344</v>
      </c>
    </row>
  </sheetData>
  <sortState xmlns:xlrd2="http://schemas.microsoft.com/office/spreadsheetml/2017/richdata2" ref="A4:D16">
    <sortCondition descending="1" ref="B4:B16"/>
  </sortState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Kirkham, Jason [C]</cp:lastModifiedBy>
  <dcterms:created xsi:type="dcterms:W3CDTF">2026-08-04T15:19:02Z</dcterms:created>
  <dcterms:modified xsi:type="dcterms:W3CDTF">2026-08-04T17:28:33Z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2026-08-04T17:28:33Z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c6555599-8396-45e9-9046-1ee54a1b41ba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