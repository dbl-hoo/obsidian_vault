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irkham/Library/CloudStorage/ProtonDrive-jason@kirkham.cloud-folder/Vault/"/>
    </mc:Choice>
  </mc:AlternateContent>
  <xr:revisionPtr revIDLastSave="0" documentId="13_ncr:1_{8E7E0F89-304B-BF46-94DF-E8872C8C206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partments" sheetId="1" r:id="rId1"/>
  </sheets>
  <definedNames>
    <definedName name="_xlnm._FilterDatabase" localSheetId="0" hidden="1">Apartments!$A$1:$W$22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1" l="1"/>
  <c r="W21" i="1"/>
  <c r="W22" i="1"/>
  <c r="W13" i="1"/>
  <c r="W16" i="1"/>
  <c r="W15" i="1"/>
  <c r="W14" i="1"/>
  <c r="W20" i="1"/>
  <c r="W12" i="1"/>
  <c r="W11" i="1"/>
  <c r="W10" i="1"/>
  <c r="W9" i="1"/>
  <c r="W8" i="1"/>
  <c r="W7" i="1"/>
  <c r="W6" i="1"/>
  <c r="W18" i="1"/>
  <c r="W17" i="1"/>
  <c r="W5" i="1"/>
  <c r="W4" i="1"/>
  <c r="W3" i="1"/>
  <c r="W2" i="1"/>
</calcChain>
</file>

<file path=xl/sharedStrings.xml><?xml version="1.0" encoding="utf-8"?>
<sst xmlns="http://schemas.openxmlformats.org/spreadsheetml/2006/main" count="169" uniqueCount="128">
  <si>
    <t>Ruled out</t>
  </si>
  <si>
    <t>Building — Address</t>
  </si>
  <si>
    <t>Neighborhood</t>
  </si>
  <si>
    <t>Website</t>
  </si>
  <si>
    <t>Tour</t>
  </si>
  <si>
    <t>Drive to KBC</t>
  </si>
  <si>
    <t>Walk to KBC</t>
  </si>
  <si>
    <t>Notes</t>
  </si>
  <si>
    <t>Rent $/mo (from)</t>
  </si>
  <si>
    <t>Sq ft</t>
  </si>
  <si>
    <t>Pool</t>
  </si>
  <si>
    <t>Fitness center</t>
  </si>
  <si>
    <t>Parking</t>
  </si>
  <si>
    <t>Concessions / specials</t>
  </si>
  <si>
    <t>Available date</t>
  </si>
  <si>
    <t>App fee / deposit</t>
  </si>
  <si>
    <t>Score (1-5)</t>
  </si>
  <si>
    <t>Lease term (mo)</t>
  </si>
  <si>
    <t>Free rent (mo)</t>
  </si>
  <si>
    <t>Parking $/mo</t>
  </si>
  <si>
    <t>Utilities est. $/mo</t>
  </si>
  <si>
    <t>Utilities structure</t>
  </si>
  <si>
    <t>Net effective $/mo</t>
  </si>
  <si>
    <t>x</t>
  </si>
  <si>
    <t>Normandy Columbus — 315 E Long St, 43215</t>
  </si>
  <si>
    <t>Downtown</t>
  </si>
  <si>
    <t>normandycolumbus.com</t>
  </si>
  <si>
    <t>6.20@4PM</t>
  </si>
  <si>
    <t>5 min (1.8 mi)</t>
  </si>
  <si>
    <t>35 min (1.6 mi)</t>
  </si>
  <si>
    <t>Toured 7/20 — ruled out. Disliked pool location; poor fitness center.</t>
  </si>
  <si>
    <t>X</t>
  </si>
  <si>
    <t>The Pembroke — 195 E Broad St, 43215</t>
  </si>
  <si>
    <t>thepembrokecolumbus.com</t>
  </si>
  <si>
    <t>6.18@4pm</t>
  </si>
  <si>
    <t>4 min (1.6 mi)</t>
  </si>
  <si>
    <t>36 min (1.7 mi)</t>
  </si>
  <si>
    <t>All apartments pretty dark.  Small and expensive. Nice pool.  Eliminating.  Mostly virew of parking garage.  Poor lighting.  Dark kitchen.  Would feel sad in the winter.</t>
  </si>
  <si>
    <t>The Nicholas — 12 W Gay St, 43215</t>
  </si>
  <si>
    <t>bethenicholas.com</t>
  </si>
  <si>
    <t>5 min (1.7 mi)</t>
  </si>
  <si>
    <t>32 min (1.5 mi, est.)</t>
  </si>
  <si>
    <t>Continental Tower — 150 E Gay St, 43215</t>
  </si>
  <si>
    <t>continentaltowercolumbus.com</t>
  </si>
  <si>
    <t>7.23 @ 5:30PM</t>
  </si>
  <si>
    <t>4 min (1.5 mi)</t>
  </si>
  <si>
    <t>25 min (1.3 mi, est.)</t>
  </si>
  <si>
    <t>River &amp; Rich — 401 W Rich St, 43215</t>
  </si>
  <si>
    <t>Franklinton</t>
  </si>
  <si>
    <t>liveriverandrich.com</t>
  </si>
  <si>
    <t>6.22@12pm</t>
  </si>
  <si>
    <t>7 min (3.4 mi)</t>
  </si>
  <si>
    <t>58 min (2.7 mi)</t>
  </si>
  <si>
    <t>Westrich — 509 W Rich St, 43215</t>
  </si>
  <si>
    <t>livewestrich.com</t>
  </si>
  <si>
    <t>6.18@3pm</t>
  </si>
  <si>
    <t>7 min (3.3 mi)</t>
  </si>
  <si>
    <t>60 min (2.8 mi)</t>
  </si>
  <si>
    <t>Toured 7/18 — really liked the floor plans; brand-new, very clean. 1st-floor units have extra-high ceilings. Strong contender.</t>
  </si>
  <si>
    <t>Add-on fee (NOT in rent) — get $/mo + confirm a space is available</t>
  </si>
  <si>
    <t>The Benjamin — 530 W Town St, 43215</t>
  </si>
  <si>
    <t>livethebenjamin.com</t>
  </si>
  <si>
    <t>6.21@12pm</t>
  </si>
  <si>
    <t>6 min (3.2 mi)</t>
  </si>
  <si>
    <t>58 min (2.8 mi, est.)</t>
  </si>
  <si>
    <t>The Thomas at GVX — 1444 City View Dr, 43215</t>
  </si>
  <si>
    <t>Grandview Crossing (GVX)</t>
  </si>
  <si>
    <t>thethomasatgvx.com</t>
  </si>
  <si>
    <t>8 min (4.3 mi)</t>
  </si>
  <si>
    <t>73 min (3.4 mi)</t>
  </si>
  <si>
    <t>Ruled out — Thrive-managed (poor management reviews).</t>
  </si>
  <si>
    <t>8 on the Park at GVX — 1366 Olivine Dr, 43215</t>
  </si>
  <si>
    <t>8ontheparkatgvx.com</t>
  </si>
  <si>
    <t>8 min (4.4 mi)</t>
  </si>
  <si>
    <t>75 min (3.5 mi)</t>
  </si>
  <si>
    <t>Midpoint East at GVX — 710 Grandview Crossing Way, 43215</t>
  </si>
  <si>
    <t>thrivecos.com (GVX)</t>
  </si>
  <si>
    <t>77 min (3.6 mi)</t>
  </si>
  <si>
    <t>Midpoint West at GVX — 721 Grandview Crossing Way, 43215</t>
  </si>
  <si>
    <t>76 min (3.5 mi)</t>
  </si>
  <si>
    <t>The View on Fifth — 1401 Holly Ave, 43212</t>
  </si>
  <si>
    <t>Grandview Heights / 5xNW</t>
  </si>
  <si>
    <t>theviewonfifth.com</t>
  </si>
  <si>
    <t>will stop by 6.18</t>
  </si>
  <si>
    <t>5 min (2.1 mi)</t>
  </si>
  <si>
    <t>45 min (2.1 mi)</t>
  </si>
  <si>
    <t>Stopped by.  Didn't like.  Not a lot in the area that looks good for me.</t>
  </si>
  <si>
    <t>4th &amp; 5th — 1206 N 4th St, 43201</t>
  </si>
  <si>
    <t>Italian Village</t>
  </si>
  <si>
    <t>thrivecos.com</t>
  </si>
  <si>
    <t>6.20@11:30AM</t>
  </si>
  <si>
    <t>2 min (0.3 mi)</t>
  </si>
  <si>
    <t>4 min (0.2 mi)</t>
  </si>
  <si>
    <t>Station 324 — 324 E 2nd Ave, 43201</t>
  </si>
  <si>
    <t>station324.com</t>
  </si>
  <si>
    <t>6.21@5PM</t>
  </si>
  <si>
    <t>1 min (0.3 mi)</t>
  </si>
  <si>
    <t>7 min (0.3 mi)</t>
  </si>
  <si>
    <t>Foundry at Jeffrey Park — 283 E 1st Ave, 43215</t>
  </si>
  <si>
    <t>Jeffrey Park / Italian Village</t>
  </si>
  <si>
    <t>foundryatjeffreypark.com</t>
  </si>
  <si>
    <t>6.20@5PM</t>
  </si>
  <si>
    <t>1 min (0.4 mi)</t>
  </si>
  <si>
    <t>10 min (0.4 mi)</t>
  </si>
  <si>
    <t>The Sage at Jeffrey Park — 680 Civitas Ave, 43215</t>
  </si>
  <si>
    <t>thesageatjeffreypark.com</t>
  </si>
  <si>
    <t>2 min (0.6 mi)</t>
  </si>
  <si>
    <t>14 min (0.6 mi)</t>
  </si>
  <si>
    <t>Legacy at Jeffrey Park — 773 Waldron St, 43215</t>
  </si>
  <si>
    <t>13 min (0.6 mi)</t>
  </si>
  <si>
    <t>Crossline — 300 E 5th Ave, 43201</t>
  </si>
  <si>
    <t>Italian Village / Weinland Park</t>
  </si>
  <si>
    <t>crosslinecolumbus.com</t>
  </si>
  <si>
    <t>8 min (0.4 mi, est.)</t>
  </si>
  <si>
    <t>The Guild — 303 E 6th Ave, 43201</t>
  </si>
  <si>
    <t>theguildcolumbus.com</t>
  </si>
  <si>
    <t>2 min (0.5 mi)</t>
  </si>
  <si>
    <t>9 min (0.4 mi, est.)</t>
  </si>
  <si>
    <t>Lusso — 370 Carmelina Ave, 43201</t>
  </si>
  <si>
    <t>livinglusso.com</t>
  </si>
  <si>
    <t>6 min (0.3 mi, est.)</t>
  </si>
  <si>
    <t>Gravity — 480 W Broad St, 43215</t>
  </si>
  <si>
    <t>gravitycolumbus.com</t>
  </si>
  <si>
    <t>8 min (3.5 mi)</t>
  </si>
  <si>
    <t>62 min (3.2 mi, est.)</t>
  </si>
  <si>
    <t xml:space="preserve">Toured 7/21 - really like it.  Top choice currently.  </t>
  </si>
  <si>
    <t>No</t>
  </si>
  <si>
    <t>Toured; has potential but limited availibility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</si>
</sst>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0"/>
      <color rgb="FF000000"/>
      <name val="Arial"/>
      <scheme val="minor"/>
    </font>
    <font>
      <u/>
      <sz val="10"/>
      <color rgb="FF0B57D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EF3F9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164" fontId="0" fillId="0" borderId="0" xfId="0" applyNumberFormat="1"/>
    <xf numFmtId="0" fontId="4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1" xfId="0" quotePrefix="1" applyFont="1" applyBorder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4" fillId="0" borderId="1" xfId="0" applyFont="1" applyBorder="1"/>
    <xf numFmtId="0" fontId="4" fillId="0" borderId="0" xfId="0" applyFont="1" applyFill="1" applyBorder="1"/>
    <xf numFmtId="0" fontId="0" fillId="0" borderId="0" xfId="0" applyFont="1"/>
    <xf numFmtId="0" fontId="0" fillId="0" borderId="0" xfId="0" applyFont="1" applyFill="1" applyBorder="1"/>
    <xf numFmtId="0" fontId="3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quotePrefix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/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1">
    <dxf>
      <font>
        <strike/>
        <color rgb="FF808080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rivecos.com/communities/oh/columbus/gvx/" TargetMode="External"/><Relationship Id="rId13" Type="http://schemas.openxmlformats.org/officeDocument/2006/relationships/hyperlink" Target="https://www.thesageatjeffreypark.com/columbus/the-sage-at-jeffrey-park/conventional/" TargetMode="External"/><Relationship Id="rId3" Type="http://schemas.openxmlformats.org/officeDocument/2006/relationships/hyperlink" Target="https://www.liveriverandrich.com/" TargetMode="External"/><Relationship Id="rId7" Type="http://schemas.openxmlformats.org/officeDocument/2006/relationships/hyperlink" Target="https://thrivecos.com/communities/oh/columbus/gvx/" TargetMode="External"/><Relationship Id="rId12" Type="http://schemas.openxmlformats.org/officeDocument/2006/relationships/hyperlink" Target="https://www.foundryatjeffreypark.com/" TargetMode="External"/><Relationship Id="rId2" Type="http://schemas.openxmlformats.org/officeDocument/2006/relationships/hyperlink" Target="https://www.thepembrokecolumbus.com/" TargetMode="External"/><Relationship Id="rId1" Type="http://schemas.openxmlformats.org/officeDocument/2006/relationships/hyperlink" Target="https://www.normandycolumbus.com/" TargetMode="External"/><Relationship Id="rId6" Type="http://schemas.openxmlformats.org/officeDocument/2006/relationships/hyperlink" Target="https://www.8ontheparkatgvx.com/" TargetMode="External"/><Relationship Id="rId11" Type="http://schemas.openxmlformats.org/officeDocument/2006/relationships/hyperlink" Target="https://www.station324.com/" TargetMode="External"/><Relationship Id="rId5" Type="http://schemas.openxmlformats.org/officeDocument/2006/relationships/hyperlink" Target="https://www.thethomasatgvx.com/" TargetMode="External"/><Relationship Id="rId10" Type="http://schemas.openxmlformats.org/officeDocument/2006/relationships/hyperlink" Target="https://thrivecos.com/communities/oh/columbus/4th-5th/" TargetMode="External"/><Relationship Id="rId4" Type="http://schemas.openxmlformats.org/officeDocument/2006/relationships/hyperlink" Target="https://www.livewestrich.com/" TargetMode="External"/><Relationship Id="rId9" Type="http://schemas.openxmlformats.org/officeDocument/2006/relationships/hyperlink" Target="https://theviewonfifth.com/" TargetMode="External"/><Relationship Id="rId14" Type="http://schemas.openxmlformats.org/officeDocument/2006/relationships/hyperlink" Target="https://thrivecos.com/communities/oh/columbus/jeffrey-park/legacy-at-jeffrey-par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2"/>
  <sheetViews>
    <sheetView tabSelected="1" workbookViewId="0">
      <pane xSplit="2" topLeftCell="C1" activePane="topRight" state="frozen"/>
      <selection pane="topRight" activeCell="H14" sqref="H14"/>
    </sheetView>
  </sheetViews>
  <sheetFormatPr baseColWidth="10" defaultColWidth="12.6640625" defaultRowHeight="15.75" customHeight="1" x14ac:dyDescent="0.15"/>
  <cols>
    <col min="1" max="1" width="10" customWidth="1"/>
    <col min="2" max="2" width="41.1640625" customWidth="1"/>
    <col min="3" max="4" width="22" customWidth="1"/>
    <col min="5" max="7" width="13" customWidth="1"/>
    <col min="8" max="8" width="51.33203125" style="15" customWidth="1"/>
    <col min="9" max="10" width="8" customWidth="1"/>
    <col min="11" max="11" width="12" customWidth="1"/>
    <col min="12" max="12" width="14" customWidth="1"/>
    <col min="13" max="13" width="26" customWidth="1"/>
    <col min="14" max="14" width="12" customWidth="1"/>
    <col min="15" max="15" width="15" customWidth="1"/>
    <col min="16" max="16" width="10" customWidth="1"/>
    <col min="17" max="17" width="13" customWidth="1"/>
    <col min="18" max="19" width="12" customWidth="1"/>
    <col min="20" max="20" width="16" customWidth="1"/>
    <col min="21" max="21" width="20" customWidth="1"/>
    <col min="22" max="22" width="16" customWidth="1"/>
  </cols>
  <sheetData>
    <row r="1" spans="1:23" ht="3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8" customHeight="1" x14ac:dyDescent="0.15">
      <c r="A2" t="s">
        <v>23</v>
      </c>
      <c r="B2" s="2" t="s">
        <v>24</v>
      </c>
      <c r="C2" s="3" t="s">
        <v>25</v>
      </c>
      <c r="D2" s="4" t="s">
        <v>26</v>
      </c>
      <c r="E2" s="10" t="s">
        <v>27</v>
      </c>
      <c r="F2" s="5" t="s">
        <v>28</v>
      </c>
      <c r="G2" s="5" t="s">
        <v>29</v>
      </c>
      <c r="H2" s="2" t="s">
        <v>30</v>
      </c>
      <c r="I2" s="3"/>
      <c r="J2" s="3"/>
      <c r="K2" s="3"/>
      <c r="L2" s="3"/>
      <c r="M2" s="3"/>
      <c r="N2" s="2"/>
      <c r="O2" s="3"/>
      <c r="P2" s="3"/>
      <c r="Q2" s="5"/>
      <c r="W2" s="12" t="str">
        <f>IF(AND(I2&lt;&gt;"",R2&lt;&gt;""),I2*(R2-S2)/R2+T2+U2,"")</f>
        <v/>
      </c>
    </row>
    <row r="3" spans="1:23" ht="28" customHeight="1" x14ac:dyDescent="0.15">
      <c r="A3" s="13" t="s">
        <v>31</v>
      </c>
      <c r="B3" s="2" t="s">
        <v>32</v>
      </c>
      <c r="C3" s="3" t="s">
        <v>25</v>
      </c>
      <c r="D3" s="4" t="s">
        <v>33</v>
      </c>
      <c r="E3" s="10" t="s">
        <v>34</v>
      </c>
      <c r="F3" s="5" t="s">
        <v>35</v>
      </c>
      <c r="G3" s="5" t="s">
        <v>36</v>
      </c>
      <c r="H3" s="2" t="s">
        <v>37</v>
      </c>
      <c r="I3" s="3"/>
      <c r="J3" s="3"/>
      <c r="K3" s="3"/>
      <c r="L3" s="3"/>
      <c r="M3" s="3"/>
      <c r="N3" s="2"/>
      <c r="O3" s="3"/>
      <c r="P3" s="3"/>
      <c r="Q3" s="5"/>
      <c r="W3" s="12" t="str">
        <f>IF(AND(I3&lt;&gt;"",R3&lt;&gt;""),I3*(R3-S3)/R3+T3+U3,"")</f>
        <v/>
      </c>
    </row>
    <row r="4" spans="1:23" ht="28" customHeight="1" x14ac:dyDescent="0.15">
      <c r="A4" s="13" t="s">
        <v>23</v>
      </c>
      <c r="B4" s="16" t="s">
        <v>38</v>
      </c>
      <c r="C4" s="16" t="s">
        <v>25</v>
      </c>
      <c r="D4" s="23" t="s">
        <v>39</v>
      </c>
      <c r="E4" s="16"/>
      <c r="F4" s="16" t="s">
        <v>40</v>
      </c>
      <c r="G4" s="16" t="s">
        <v>41</v>
      </c>
      <c r="H4" s="22"/>
      <c r="I4" s="16"/>
      <c r="J4" s="16"/>
      <c r="K4" s="16"/>
      <c r="L4" s="16"/>
      <c r="M4" s="16"/>
      <c r="N4" s="16"/>
      <c r="O4" s="16"/>
      <c r="P4" s="16"/>
      <c r="Q4" s="16"/>
      <c r="W4" s="12" t="str">
        <f>IF(AND(I4&lt;&gt;"",R4&lt;&gt;""),I4*(R4-S4)/R4+T4+U4,"")</f>
        <v/>
      </c>
    </row>
    <row r="5" spans="1:23" ht="28" customHeight="1" x14ac:dyDescent="0.15">
      <c r="A5" s="24" t="s">
        <v>23</v>
      </c>
      <c r="B5" s="16" t="s">
        <v>42</v>
      </c>
      <c r="C5" s="16" t="s">
        <v>25</v>
      </c>
      <c r="D5" s="16" t="s">
        <v>43</v>
      </c>
      <c r="E5" s="16" t="s">
        <v>44</v>
      </c>
      <c r="F5" s="16" t="s">
        <v>45</v>
      </c>
      <c r="G5" s="16" t="s">
        <v>46</v>
      </c>
      <c r="H5" s="22"/>
      <c r="I5" s="16"/>
      <c r="J5" s="16"/>
      <c r="K5" s="16"/>
      <c r="L5" s="16"/>
      <c r="M5" s="16"/>
      <c r="N5" s="16"/>
      <c r="O5" s="16"/>
      <c r="P5" s="16"/>
      <c r="Q5" s="16"/>
      <c r="W5" s="12" t="str">
        <f>IF(AND(I5&lt;&gt;"",R5&lt;&gt;""),I5*(R5-S5)/R5+T5+U5,"")</f>
        <v/>
      </c>
    </row>
    <row r="6" spans="1:23" ht="28" customHeight="1" x14ac:dyDescent="0.15">
      <c r="A6" s="25" t="s">
        <v>23</v>
      </c>
      <c r="B6" s="16" t="s">
        <v>60</v>
      </c>
      <c r="C6" s="16" t="s">
        <v>48</v>
      </c>
      <c r="D6" s="16" t="s">
        <v>61</v>
      </c>
      <c r="E6" s="20" t="s">
        <v>62</v>
      </c>
      <c r="F6" s="16" t="s">
        <v>63</v>
      </c>
      <c r="G6" s="16" t="s">
        <v>64</v>
      </c>
      <c r="H6" s="22"/>
      <c r="I6" s="16"/>
      <c r="J6" s="16"/>
      <c r="K6" s="16"/>
      <c r="L6" s="16"/>
      <c r="M6" s="16"/>
      <c r="N6" s="16"/>
      <c r="O6" s="16"/>
      <c r="P6" s="16"/>
      <c r="Q6" s="16"/>
      <c r="W6" s="12" t="str">
        <f>IF(AND(I6&lt;&gt;"",R6&lt;&gt;""),I6*(R6-S6)/R6+T6+U6,"")</f>
        <v/>
      </c>
    </row>
    <row r="7" spans="1:23" ht="28" customHeight="1" x14ac:dyDescent="0.15">
      <c r="A7" t="s">
        <v>23</v>
      </c>
      <c r="B7" s="2" t="s">
        <v>65</v>
      </c>
      <c r="C7" s="3" t="s">
        <v>66</v>
      </c>
      <c r="D7" s="4" t="s">
        <v>67</v>
      </c>
      <c r="E7" s="4"/>
      <c r="F7" s="5" t="s">
        <v>68</v>
      </c>
      <c r="G7" s="5" t="s">
        <v>69</v>
      </c>
      <c r="H7" s="2" t="s">
        <v>70</v>
      </c>
      <c r="I7" s="3"/>
      <c r="J7" s="3"/>
      <c r="K7" s="3"/>
      <c r="L7" s="3"/>
      <c r="M7" s="3"/>
      <c r="N7" s="2"/>
      <c r="O7" s="3"/>
      <c r="P7" s="3"/>
      <c r="Q7" s="5"/>
      <c r="W7" s="12" t="str">
        <f>IF(AND(I7&lt;&gt;"",R7&lt;&gt;""),I7*(R7-S7)/R7+T7+U7,"")</f>
        <v/>
      </c>
    </row>
    <row r="8" spans="1:23" ht="28" customHeight="1" x14ac:dyDescent="0.15">
      <c r="A8" t="s">
        <v>23</v>
      </c>
      <c r="B8" s="2" t="s">
        <v>71</v>
      </c>
      <c r="C8" s="3" t="s">
        <v>66</v>
      </c>
      <c r="D8" s="4" t="s">
        <v>72</v>
      </c>
      <c r="E8" s="4"/>
      <c r="F8" s="5" t="s">
        <v>73</v>
      </c>
      <c r="G8" s="5" t="s">
        <v>74</v>
      </c>
      <c r="H8" s="2" t="s">
        <v>70</v>
      </c>
      <c r="I8" s="3"/>
      <c r="J8" s="3"/>
      <c r="K8" s="3"/>
      <c r="L8" s="3"/>
      <c r="M8" s="3"/>
      <c r="N8" s="2"/>
      <c r="O8" s="3"/>
      <c r="P8" s="3"/>
      <c r="Q8" s="5"/>
      <c r="W8" s="12" t="str">
        <f>IF(AND(I8&lt;&gt;"",R8&lt;&gt;""),I8*(R8-S8)/R8+T8+U8,"")</f>
        <v/>
      </c>
    </row>
    <row r="9" spans="1:23" ht="28" customHeight="1" x14ac:dyDescent="0.15">
      <c r="A9" t="s">
        <v>23</v>
      </c>
      <c r="B9" s="2" t="s">
        <v>75</v>
      </c>
      <c r="C9" s="3" t="s">
        <v>66</v>
      </c>
      <c r="D9" s="4" t="s">
        <v>76</v>
      </c>
      <c r="E9" s="4"/>
      <c r="F9" s="5" t="s">
        <v>73</v>
      </c>
      <c r="G9" s="5" t="s">
        <v>77</v>
      </c>
      <c r="H9" s="2" t="s">
        <v>70</v>
      </c>
      <c r="I9" s="3"/>
      <c r="J9" s="3"/>
      <c r="K9" s="3"/>
      <c r="L9" s="3"/>
      <c r="M9" s="3"/>
      <c r="N9" s="2"/>
      <c r="O9" s="3"/>
      <c r="P9" s="3"/>
      <c r="Q9" s="5"/>
      <c r="W9" s="12" t="str">
        <f>IF(AND(I9&lt;&gt;"",R9&lt;&gt;""),I9*(R9-S9)/R9+T9+U9,"")</f>
        <v/>
      </c>
    </row>
    <row r="10" spans="1:23" ht="28" customHeight="1" x14ac:dyDescent="0.15">
      <c r="A10" t="s">
        <v>23</v>
      </c>
      <c r="B10" s="2" t="s">
        <v>78</v>
      </c>
      <c r="C10" s="3" t="s">
        <v>66</v>
      </c>
      <c r="D10" s="4" t="s">
        <v>76</v>
      </c>
      <c r="E10" s="4"/>
      <c r="F10" s="5" t="s">
        <v>73</v>
      </c>
      <c r="G10" s="5" t="s">
        <v>79</v>
      </c>
      <c r="H10" s="2" t="s">
        <v>70</v>
      </c>
      <c r="I10" s="3"/>
      <c r="J10" s="3"/>
      <c r="K10" s="3"/>
      <c r="L10" s="3"/>
      <c r="M10" s="3"/>
      <c r="N10" s="2"/>
      <c r="O10" s="3"/>
      <c r="P10" s="3"/>
      <c r="Q10" s="5"/>
      <c r="W10" s="12" t="str">
        <f>IF(AND(I10&lt;&gt;"",R10&lt;&gt;""),I10*(R10-S10)/R10+T10+U10,"")</f>
        <v/>
      </c>
    </row>
    <row r="11" spans="1:23" ht="28" customHeight="1" x14ac:dyDescent="0.15">
      <c r="A11" s="13" t="s">
        <v>31</v>
      </c>
      <c r="B11" s="6" t="s">
        <v>80</v>
      </c>
      <c r="C11" s="7" t="s">
        <v>81</v>
      </c>
      <c r="D11" s="8" t="s">
        <v>82</v>
      </c>
      <c r="E11" s="11" t="s">
        <v>83</v>
      </c>
      <c r="F11" s="9" t="s">
        <v>84</v>
      </c>
      <c r="G11" s="9" t="s">
        <v>85</v>
      </c>
      <c r="H11" s="6" t="s">
        <v>86</v>
      </c>
      <c r="I11" s="7"/>
      <c r="J11" s="7"/>
      <c r="K11" s="7"/>
      <c r="L11" s="7"/>
      <c r="M11" s="7"/>
      <c r="N11" s="6"/>
      <c r="O11" s="7"/>
      <c r="P11" s="7"/>
      <c r="Q11" s="9"/>
      <c r="W11" s="12" t="str">
        <f>IF(AND(I11&lt;&gt;"",R11&lt;&gt;""),I11*(R11-S11)/R11+T11+U11,"")</f>
        <v/>
      </c>
    </row>
    <row r="12" spans="1:23" ht="28" customHeight="1" x14ac:dyDescent="0.15">
      <c r="A12" t="s">
        <v>23</v>
      </c>
      <c r="B12" s="2" t="s">
        <v>87</v>
      </c>
      <c r="C12" s="3" t="s">
        <v>88</v>
      </c>
      <c r="D12" s="4" t="s">
        <v>89</v>
      </c>
      <c r="E12" s="10" t="s">
        <v>90</v>
      </c>
      <c r="F12" s="5" t="s">
        <v>91</v>
      </c>
      <c r="G12" s="5" t="s">
        <v>92</v>
      </c>
      <c r="H12" s="2" t="s">
        <v>70</v>
      </c>
      <c r="I12" s="3"/>
      <c r="J12" s="3"/>
      <c r="K12" s="3"/>
      <c r="L12" s="3"/>
      <c r="M12" s="3"/>
      <c r="N12" s="2"/>
      <c r="O12" s="3"/>
      <c r="P12" s="3"/>
      <c r="Q12" s="5"/>
      <c r="W12" s="12" t="str">
        <f>IF(AND(I12&lt;&gt;"",R12&lt;&gt;""),I12*(R12-S12)/R12+T12+U12,"")</f>
        <v/>
      </c>
    </row>
    <row r="13" spans="1:23" ht="28" customHeight="1" x14ac:dyDescent="0.15">
      <c r="A13" s="26"/>
      <c r="B13" s="16" t="s">
        <v>110</v>
      </c>
      <c r="C13" s="16" t="s">
        <v>111</v>
      </c>
      <c r="D13" s="16" t="s">
        <v>112</v>
      </c>
      <c r="E13" s="16"/>
      <c r="F13" s="16" t="s">
        <v>102</v>
      </c>
      <c r="G13" s="16" t="s">
        <v>113</v>
      </c>
      <c r="H13" s="40" t="s">
        <v>127</v>
      </c>
      <c r="I13" s="16"/>
      <c r="J13" s="16"/>
      <c r="K13" s="16"/>
      <c r="L13" s="16"/>
      <c r="M13" s="16"/>
      <c r="N13" s="16"/>
      <c r="O13" s="16"/>
      <c r="P13" s="16"/>
      <c r="Q13" s="16"/>
      <c r="W13" s="12" t="str">
        <f>IF(AND(I13&lt;&gt;"",R13&lt;&gt;""),I13*(R13-S13)/R13+T13+U13,"")</f>
        <v/>
      </c>
    </row>
    <row r="14" spans="1:23" ht="28" customHeight="1" x14ac:dyDescent="0.15">
      <c r="A14" t="s">
        <v>23</v>
      </c>
      <c r="B14" s="6" t="s">
        <v>98</v>
      </c>
      <c r="C14" s="7" t="s">
        <v>99</v>
      </c>
      <c r="D14" s="8" t="s">
        <v>100</v>
      </c>
      <c r="E14" s="11" t="s">
        <v>101</v>
      </c>
      <c r="F14" s="9" t="s">
        <v>102</v>
      </c>
      <c r="G14" s="9" t="s">
        <v>103</v>
      </c>
      <c r="H14" s="6" t="s">
        <v>70</v>
      </c>
      <c r="I14" s="7"/>
      <c r="J14" s="7"/>
      <c r="K14" s="7"/>
      <c r="L14" s="7"/>
      <c r="M14" s="7"/>
      <c r="N14" s="6"/>
      <c r="O14" s="7"/>
      <c r="P14" s="7"/>
      <c r="Q14" s="9"/>
      <c r="W14" s="12" t="str">
        <f>IF(AND(I14&lt;&gt;"",R14&lt;&gt;""),I14*(R14-S14)/R14+T14+U14,"")</f>
        <v/>
      </c>
    </row>
    <row r="15" spans="1:23" ht="28" customHeight="1" x14ac:dyDescent="0.15">
      <c r="A15" t="s">
        <v>23</v>
      </c>
      <c r="B15" s="6" t="s">
        <v>104</v>
      </c>
      <c r="C15" s="7" t="s">
        <v>99</v>
      </c>
      <c r="D15" s="8" t="s">
        <v>105</v>
      </c>
      <c r="E15" s="8"/>
      <c r="F15" s="9" t="s">
        <v>106</v>
      </c>
      <c r="G15" s="9" t="s">
        <v>107</v>
      </c>
      <c r="H15" s="6" t="s">
        <v>70</v>
      </c>
      <c r="I15" s="7"/>
      <c r="J15" s="7"/>
      <c r="K15" s="7"/>
      <c r="L15" s="7"/>
      <c r="M15" s="7"/>
      <c r="N15" s="6"/>
      <c r="O15" s="7"/>
      <c r="P15" s="7"/>
      <c r="Q15" s="9"/>
      <c r="W15" s="12" t="str">
        <f>IF(AND(I15&lt;&gt;"",R15&lt;&gt;""),I15*(R15-S15)/R15+T15+U15,"")</f>
        <v/>
      </c>
    </row>
    <row r="16" spans="1:23" ht="13" customHeight="1" x14ac:dyDescent="0.15">
      <c r="A16" t="s">
        <v>23</v>
      </c>
      <c r="B16" s="17" t="s">
        <v>108</v>
      </c>
      <c r="C16" s="18" t="s">
        <v>99</v>
      </c>
      <c r="D16" s="19" t="s">
        <v>89</v>
      </c>
      <c r="E16" s="19"/>
      <c r="F16" s="21" t="s">
        <v>106</v>
      </c>
      <c r="G16" s="21" t="s">
        <v>109</v>
      </c>
      <c r="H16" s="17" t="s">
        <v>70</v>
      </c>
      <c r="I16" s="18"/>
      <c r="J16" s="18"/>
      <c r="K16" s="18"/>
      <c r="L16" s="18"/>
      <c r="M16" s="18"/>
      <c r="N16" s="17"/>
      <c r="O16" s="18"/>
      <c r="P16" s="18"/>
      <c r="Q16" s="21"/>
      <c r="W16" s="12" t="str">
        <f>IF(AND(I16&lt;&gt;"",R16&lt;&gt;""),I16*(R16-S16)/R16+T16+U16,"")</f>
        <v/>
      </c>
    </row>
    <row r="17" spans="1:23" ht="25.5" customHeight="1" x14ac:dyDescent="0.15">
      <c r="B17" s="32" t="s">
        <v>47</v>
      </c>
      <c r="C17" s="34" t="s">
        <v>48</v>
      </c>
      <c r="D17" s="35" t="s">
        <v>49</v>
      </c>
      <c r="E17" s="36" t="s">
        <v>50</v>
      </c>
      <c r="F17" s="37" t="s">
        <v>51</v>
      </c>
      <c r="G17" s="37" t="s">
        <v>52</v>
      </c>
      <c r="H17" s="32"/>
      <c r="I17" s="34"/>
      <c r="J17" s="34"/>
      <c r="K17" s="34"/>
      <c r="L17" s="34"/>
      <c r="M17" s="34"/>
      <c r="N17" s="32"/>
      <c r="O17" s="34"/>
      <c r="P17" s="34"/>
      <c r="Q17" s="37"/>
      <c r="W17" s="12" t="str">
        <f>IF(AND(I17&lt;&gt;"",R17&lt;&gt;""),I17*(R17-S17)/R17+T17+U17,"")</f>
        <v/>
      </c>
    </row>
    <row r="18" spans="1:23" ht="25.5" customHeight="1" x14ac:dyDescent="0.15">
      <c r="B18" s="32" t="s">
        <v>53</v>
      </c>
      <c r="C18" s="34" t="s">
        <v>48</v>
      </c>
      <c r="D18" s="35" t="s">
        <v>54</v>
      </c>
      <c r="E18" s="36" t="s">
        <v>55</v>
      </c>
      <c r="F18" s="37" t="s">
        <v>56</v>
      </c>
      <c r="G18" s="37" t="s">
        <v>57</v>
      </c>
      <c r="H18" s="32" t="s">
        <v>58</v>
      </c>
      <c r="I18" s="34">
        <v>1609</v>
      </c>
      <c r="J18" s="34"/>
      <c r="K18" s="34"/>
      <c r="L18" s="34"/>
      <c r="M18" s="34" t="s">
        <v>59</v>
      </c>
      <c r="N18" s="32"/>
      <c r="O18" s="34"/>
      <c r="P18" s="34"/>
      <c r="Q18" s="37"/>
      <c r="R18">
        <v>13</v>
      </c>
      <c r="S18">
        <v>1</v>
      </c>
      <c r="W18" s="12">
        <f>IF(AND(I18&lt;&gt;"",R18&lt;&gt;""),I18*(R18-S18)/R18+T18+U18,"")</f>
        <v>1485.2307692307693</v>
      </c>
    </row>
    <row r="19" spans="1:23" ht="13" x14ac:dyDescent="0.15">
      <c r="B19" s="33" t="s">
        <v>121</v>
      </c>
      <c r="C19" s="33" t="s">
        <v>48</v>
      </c>
      <c r="D19" s="33" t="s">
        <v>122</v>
      </c>
      <c r="E19" s="33"/>
      <c r="F19" s="33" t="s">
        <v>123</v>
      </c>
      <c r="G19" s="33" t="s">
        <v>124</v>
      </c>
      <c r="H19" s="38"/>
      <c r="I19" s="33"/>
      <c r="J19" s="33"/>
      <c r="K19" s="33"/>
      <c r="L19" s="33"/>
      <c r="M19" s="33"/>
      <c r="N19" s="33"/>
      <c r="O19" s="33"/>
      <c r="P19" s="33"/>
      <c r="Q19" s="33"/>
      <c r="W19" s="12" t="str">
        <f>IF(AND(I19&lt;&gt;"",R19&lt;&gt;""),I19*(R19-S19)/R19+T19+U19,"")</f>
        <v/>
      </c>
    </row>
    <row r="20" spans="1:23" ht="14" x14ac:dyDescent="0.15">
      <c r="A20" s="13" t="s">
        <v>23</v>
      </c>
      <c r="B20" s="27" t="s">
        <v>93</v>
      </c>
      <c r="C20" s="28" t="s">
        <v>88</v>
      </c>
      <c r="D20" s="29" t="s">
        <v>94</v>
      </c>
      <c r="E20" s="30" t="s">
        <v>95</v>
      </c>
      <c r="F20" s="31" t="s">
        <v>96</v>
      </c>
      <c r="G20" s="31" t="s">
        <v>97</v>
      </c>
      <c r="H20" s="27" t="s">
        <v>126</v>
      </c>
      <c r="I20" s="28"/>
      <c r="J20" s="28"/>
      <c r="K20" s="28"/>
      <c r="L20" s="28"/>
      <c r="M20" s="28"/>
      <c r="N20" s="27"/>
      <c r="O20" s="28"/>
      <c r="P20" s="28"/>
      <c r="Q20" s="31"/>
      <c r="W20" s="12" t="str">
        <f>IF(AND(I20&lt;&gt;"",R20&lt;&gt;""),I20*(R20-S20)/R20+T20+U20,"")</f>
        <v/>
      </c>
    </row>
    <row r="21" spans="1:23" ht="13" x14ac:dyDescent="0.15">
      <c r="B21" t="s">
        <v>118</v>
      </c>
      <c r="C21" t="s">
        <v>88</v>
      </c>
      <c r="D21" t="s">
        <v>119</v>
      </c>
      <c r="F21" t="s">
        <v>96</v>
      </c>
      <c r="G21" t="s">
        <v>120</v>
      </c>
      <c r="W21" s="12" t="str">
        <f>IF(AND(I21&lt;&gt;"",R21&lt;&gt;""),I21*(R21-S21)/R21+T21+U21,"")</f>
        <v/>
      </c>
    </row>
    <row r="22" spans="1:23" ht="14" x14ac:dyDescent="0.15">
      <c r="B22" t="s">
        <v>114</v>
      </c>
      <c r="C22" t="s">
        <v>111</v>
      </c>
      <c r="D22" t="s">
        <v>115</v>
      </c>
      <c r="F22" t="s">
        <v>116</v>
      </c>
      <c r="G22" t="s">
        <v>117</v>
      </c>
      <c r="H22" s="39" t="s">
        <v>125</v>
      </c>
      <c r="W22" s="12" t="str">
        <f>IF(AND(I22&lt;&gt;"",R22&lt;&gt;""),I22*(R22-S22)/R22+T22+U22,"")</f>
        <v/>
      </c>
    </row>
  </sheetData>
  <autoFilter ref="A1:W22" xr:uid="{00000000-0009-0000-0000-000000000000}">
    <sortState xmlns:xlrd2="http://schemas.microsoft.com/office/spreadsheetml/2017/richdata2" ref="A2:W22">
      <sortCondition ref="A1:A22"/>
    </sortState>
  </autoFilter>
  <conditionalFormatting sqref="A2:W22">
    <cfRule type="expression" dxfId="0" priority="1">
      <formula>$A2&lt;&gt;""</formula>
    </cfRule>
  </conditionalFormatting>
  <hyperlinks>
    <hyperlink ref="C2" r:id="rId1" xr:uid="{00000000-0004-0000-0000-000000000000}"/>
    <hyperlink ref="C3" r:id="rId2" xr:uid="{00000000-0004-0000-0000-000001000000}"/>
    <hyperlink ref="C17" r:id="rId3" xr:uid="{00000000-0004-0000-0000-000002000000}"/>
    <hyperlink ref="C18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20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Kirkham</cp:lastModifiedBy>
  <dcterms:created xsi:type="dcterms:W3CDTF">2026-07-17T15:36:52Z</dcterms:created>
  <dcterms:modified xsi:type="dcterms:W3CDTF">2026-07-22T00:35:56Z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2026-07-20T14:40:09Z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1a9b36a6-aa9e-41f4-809a-caea864ec1b5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